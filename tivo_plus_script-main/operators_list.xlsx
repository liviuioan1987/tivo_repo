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viu.gherasim/Downloads/tivo_repo-main/Tivo_2025_scripts-/"/>
    </mc:Choice>
  </mc:AlternateContent>
  <xr:revisionPtr revIDLastSave="0" documentId="13_ncr:1_{2305F625-A75A-EC4D-893B-0C9FE50CE09A}" xr6:coauthVersionLast="47" xr6:coauthVersionMax="47" xr10:uidLastSave="{00000000-0000-0000-0000-000000000000}"/>
  <bookViews>
    <workbookView xWindow="0" yWindow="780" windowWidth="34200" windowHeight="20340" xr2:uid="{D12ECBF5-5E0C-B84E-93D1-DE74E7B74647}"/>
  </bookViews>
  <sheets>
    <sheet name="Production" sheetId="1" r:id="rId1"/>
    <sheet name="Stag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G2" i="1"/>
  <c r="D2" i="1"/>
  <c r="D2" i="2"/>
  <c r="F2" i="2"/>
  <c r="E2" i="2"/>
  <c r="F2" i="1"/>
  <c r="E3" i="1"/>
  <c r="E2" i="1"/>
  <c r="D11" i="1"/>
  <c r="E11" i="1"/>
  <c r="F11" i="1"/>
  <c r="G11" i="1"/>
  <c r="D12" i="1"/>
  <c r="E12" i="1"/>
  <c r="F12" i="1"/>
  <c r="G12" i="1"/>
  <c r="D9" i="1"/>
  <c r="E9" i="1"/>
  <c r="F9" i="1"/>
  <c r="G9" i="1"/>
  <c r="E10" i="1"/>
  <c r="F10" i="1"/>
  <c r="G10" i="1"/>
  <c r="G8" i="1"/>
  <c r="E8" i="1"/>
  <c r="D8" i="1"/>
  <c r="G12" i="2"/>
  <c r="F12" i="2"/>
  <c r="E12" i="2"/>
  <c r="G11" i="2"/>
  <c r="F11" i="2"/>
  <c r="E11" i="2"/>
  <c r="D11" i="2"/>
  <c r="D14" i="2"/>
  <c r="E14" i="2"/>
  <c r="F14" i="2"/>
  <c r="G14" i="2"/>
  <c r="D13" i="2"/>
  <c r="E13" i="2"/>
  <c r="F13" i="2"/>
  <c r="G13" i="2"/>
  <c r="G10" i="2"/>
  <c r="E10" i="2"/>
  <c r="D10" i="2"/>
  <c r="F7" i="2"/>
  <c r="E7" i="2"/>
  <c r="D7" i="2"/>
  <c r="G7" i="2"/>
  <c r="D4" i="1"/>
  <c r="E4" i="1"/>
  <c r="F4" i="1"/>
  <c r="G4" i="1"/>
  <c r="D5" i="1"/>
  <c r="E5" i="1"/>
  <c r="F5" i="1"/>
  <c r="G5" i="1"/>
  <c r="D6" i="1"/>
  <c r="E6" i="1"/>
  <c r="F6" i="1"/>
  <c r="G6" i="1"/>
  <c r="D7" i="1"/>
  <c r="E7" i="1"/>
  <c r="F7" i="1"/>
  <c r="G7" i="1"/>
  <c r="G9" i="2"/>
  <c r="F9" i="2"/>
  <c r="E9" i="2"/>
  <c r="D9" i="2"/>
  <c r="G6" i="2"/>
  <c r="F6" i="2"/>
  <c r="E6" i="2"/>
  <c r="D6" i="2"/>
  <c r="G5" i="2"/>
  <c r="F5" i="2"/>
  <c r="E5" i="2"/>
  <c r="D5" i="2"/>
  <c r="G4" i="2"/>
  <c r="F4" i="2"/>
  <c r="E4" i="2"/>
  <c r="D4" i="2"/>
  <c r="G3" i="2"/>
  <c r="F3" i="2"/>
  <c r="E3" i="2"/>
  <c r="D3" i="2"/>
  <c r="D3" i="1"/>
  <c r="F3" i="1"/>
  <c r="G3" i="1"/>
</calcChain>
</file>

<file path=xl/sharedStrings.xml><?xml version="1.0" encoding="utf-8"?>
<sst xmlns="http://schemas.openxmlformats.org/spreadsheetml/2006/main" count="132" uniqueCount="77">
  <si>
    <t>Operator</t>
  </si>
  <si>
    <t>Xumo Range</t>
  </si>
  <si>
    <t>Plex Range</t>
  </si>
  <si>
    <t>Reserved for Future</t>
  </si>
  <si>
    <t>PlutoTv Range</t>
  </si>
  <si>
    <t>Hotwire-Production</t>
  </si>
  <si>
    <t>BlueStream-Production</t>
  </si>
  <si>
    <t>Start Range</t>
  </si>
  <si>
    <t>BlueRidge-Production</t>
  </si>
  <si>
    <t>Mediacom-Production</t>
  </si>
  <si>
    <t>SECV-Production</t>
  </si>
  <si>
    <t>Altafiber-Production</t>
  </si>
  <si>
    <t>Breezeline-Production</t>
  </si>
  <si>
    <t>Armstrong-Production</t>
  </si>
  <si>
    <t>Midco-Production</t>
  </si>
  <si>
    <t>Astound-Production</t>
  </si>
  <si>
    <t>Eastlink-Production</t>
  </si>
  <si>
    <t>Hotwire-Staging</t>
  </si>
  <si>
    <t>BlueStream-Staging</t>
  </si>
  <si>
    <t>BlueRidge-Staging</t>
  </si>
  <si>
    <t>Mediacom-Staging</t>
  </si>
  <si>
    <t>SECV-Staging</t>
  </si>
  <si>
    <t>CableCo11-Staging</t>
  </si>
  <si>
    <t>CableCo3-Staging</t>
  </si>
  <si>
    <t>Altafiber-Staging</t>
  </si>
  <si>
    <t>Breezeline-Staging</t>
  </si>
  <si>
    <t>Armstrong-Staging</t>
  </si>
  <si>
    <t>Midco-Staging</t>
  </si>
  <si>
    <t>Astound-Staging</t>
  </si>
  <si>
    <t>Eastlink-Staging</t>
  </si>
  <si>
    <t>MSO_Localities</t>
  </si>
  <si>
    <t>Operator file</t>
  </si>
  <si>
    <t>Operator File</t>
  </si>
  <si>
    <t>Xumo partner ID</t>
  </si>
  <si>
    <t>CC11 Localities CA</t>
  </si>
  <si>
    <t>TIVOPLUS_CA,TIVOCO_SALES, TIVOCOCENTRAL</t>
  </si>
  <si>
    <t>TIVOPLUS_US,TIVOCO1, OTT_OPTIMIZED</t>
  </si>
  <si>
    <t>Frumos 1.20</t>
  </si>
  <si>
    <t>yes</t>
  </si>
  <si>
    <t>Delta_ip
Halifax_ip
Sudbury_ip
Utopia_ip</t>
  </si>
  <si>
    <t>Station policy</t>
  </si>
  <si>
    <t>TiVo Plus</t>
  </si>
  <si>
    <t>TivoPlusPolicy</t>
  </si>
  <si>
    <t>Tivo Plus</t>
  </si>
  <si>
    <t>emo-lp-tivoplus</t>
  </si>
  <si>
    <t>Tivo plus</t>
  </si>
  <si>
    <t>TiVo Pluto - TiVo Plus</t>
  </si>
  <si>
    <t>Linear packages</t>
  </si>
  <si>
    <t>STREAMING_TIVO_PLUS,NPL</t>
  </si>
  <si>
    <t>Linear pkg Operator file</t>
  </si>
  <si>
    <t>NPL,MIA,PAL,SRS,ORD,STREAMING_TIVO_PLUS,TRA,TIVO+,JAX</t>
  </si>
  <si>
    <t>STREAMING_TIVO_PLUS</t>
  </si>
  <si>
    <t>FreeView,TIVOPLUS</t>
  </si>
  <si>
    <t>TIVO_PLUS</t>
  </si>
  <si>
    <t>STREAMING_TIVO_PLUS,TIVOPLUS</t>
  </si>
  <si>
    <t>F Basic,F Premier,F BaseMyWay,F Foundation,F CLASSIC,F Starter,STREAMING_TIVO_PLUS</t>
  </si>
  <si>
    <t>OFFICE_FAST,BULK_FAST,COM_FAST,EMP_FAST,LOCAL_PLUS_FAST,FREE_FAST</t>
  </si>
  <si>
    <t>Local Advantage Channels (Does Not Include Music Choice),Classic Cable Channels (Includes Local Advantage &amp;amp; Music Choice),Tivo Broadband</t>
  </si>
  <si>
    <t>Alexandria_ip
Amherst_ip
Antigonish_ip
Aylesford_ip
Aylmer_ip
Baccalieu_ip
Barrington_ip
Bashaw_ip
Bay_Cable_ip
Bedford_Sackville_ip
Blind_river_ip
Blockhouse_ip
Bluewater_ip
Bonnyville_ip
Bourget_ip
Cambray_ip
Campbellford_ip
Camrose_ip
Casselman_ip
Charlottetown_ip
Chetwynd_ip
Clare_ip
Clarenville_ip
Coast_ip
Cochrane_ip
Coldwater_ip
Dartmouth_ip
Delta_ip
Diamond_Valley_ip
Digby_ip
Elliot_Lake_ip
Espanola_ip
Forest_ip
Glencoe_ip
Golden_ip
Grand_Prairie_ip
Grimshaw_ip
Halifax_ip
Hanover_ip
Happy_Valley_ip
Harbour_Breton_ip
Harbour_Grace_ip
Irricana_ip
Island_Rural_ip
Kapuskasing_ip
Kirkland_Lake_ip
Langdon_ip
Lewisporte_ip
Limoges_ip
Liverpool_ip
Markdale_ip
Marystown_ip
Marysvale_ip
Mayerthorpe_ip
Milford_ip
Milltown_ip
New_Germany_ip
New_Glasgow_ip
New_Liskeard_ip
New_Minas_ip
Oliver_ip
Oxford_ip
Parrsboro_ip
Peace_River_ip
Picton_ip
Port_Elgin_ip
Port_Hawkesbury_ip
Porters_Lake_ip
Princeton_ip
Pubnico_ip
Redwood_Meadows_ip
Sackville_NB_ip
Shelburne_ip
Simcoe_ip
Slave_Lake_ip
Springdale_ip
St_Lawrence_Shores_ip
Stephenville_ip
Sturgeon_Falls_ip
Sudbury_ip
Summerside_Rebuilt_ip
Sydney_ip
Three_Hills_ip
Timmins_ip
Truro_ip
Utopia_ip
Wainwright_ip
Wetaskiwin_ip
Whitecourt_ip
Windsor_ip
Yarmouth_ip</t>
  </si>
  <si>
    <t>no</t>
  </si>
  <si>
    <t>STREAMING_TIVO_PLUS,Fision Stream,OTT Optimized</t>
  </si>
  <si>
    <t>009,999,CC_GA558_PKG</t>
  </si>
  <si>
    <t>All-In,Fision Stream</t>
  </si>
  <si>
    <t>TIVOPLUS,TEST PACKAGE 3</t>
  </si>
  <si>
    <t>hotwire_staging_linear_upload.xlsx</t>
  </si>
  <si>
    <t>hotwire_staging_package_upload.xlsx</t>
  </si>
  <si>
    <t>cc11_linear_upload.xlsx</t>
  </si>
  <si>
    <t>cc11_package_upload.xlsx</t>
  </si>
  <si>
    <t>eastlink_staging_linear_upload.xlsx</t>
  </si>
  <si>
    <t>eastlink_staging_packages_upload.xlsx</t>
  </si>
  <si>
    <t>LOCAL_PLUS_FAST</t>
  </si>
  <si>
    <t>eastlink_prod_channels.xlsx</t>
  </si>
  <si>
    <t>eastlink_prod_packages.xlsx</t>
  </si>
  <si>
    <t>hotwire_prod_channels.xlsx</t>
  </si>
  <si>
    <t>hotwire_prod_packages.xlsx</t>
  </si>
  <si>
    <t>mediacom_staging_linear_upload.xlsx</t>
  </si>
  <si>
    <t>mediacom_staging_packages_upload.xlsx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</si>
</sst>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FF0000"/>
      <name val="Aptos Narrow"/>
      <family val="2"/>
      <scheme val="minor"/>
    </font>
    <font>
      <sz val="11"/>
      <color rgb="FF333333"/>
      <name val="Arial"/>
      <family val="2"/>
    </font>
    <font>
      <b/>
      <sz val="12"/>
      <color rgb="FF000000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0" xfId="0" applyAlignment="1">
      <alignment wrapText="1"/>
    </xf>
    <xf numFmtId="49" fontId="0" fillId="0" borderId="1" xfId="0" applyNumberFormat="1" applyBorder="1" applyAlignment="1">
      <alignment wrapText="1"/>
    </xf>
    <xf numFmtId="49" fontId="0" fillId="0" borderId="0" xfId="0" applyNumberFormat="1" applyAlignment="1">
      <alignment wrapText="1"/>
    </xf>
    <xf numFmtId="49" fontId="0" fillId="2" borderId="1" xfId="0" applyNumberFormat="1" applyFill="1" applyBorder="1" applyAlignment="1">
      <alignment wrapText="1"/>
    </xf>
    <xf numFmtId="49" fontId="0" fillId="3" borderId="1" xfId="0" applyNumberFormat="1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1" fillId="0" borderId="1" xfId="0" applyFont="1" applyBorder="1"/>
    <xf numFmtId="0" fontId="2" fillId="0" borderId="1" xfId="0" applyFont="1" applyBorder="1"/>
    <xf numFmtId="0" fontId="1" fillId="3" borderId="1" xfId="0" applyFont="1" applyFill="1" applyBorder="1"/>
    <xf numFmtId="0" fontId="0" fillId="3" borderId="1" xfId="0" applyFill="1" applyBorder="1"/>
    <xf numFmtId="0" fontId="2" fillId="3" borderId="1" xfId="0" applyFont="1" applyFill="1" applyBorder="1"/>
    <xf numFmtId="0" fontId="1" fillId="2" borderId="1" xfId="0" applyFont="1" applyFill="1" applyBorder="1"/>
    <xf numFmtId="0" fontId="0" fillId="2" borderId="1" xfId="0" applyFill="1" applyBorder="1"/>
    <xf numFmtId="0" fontId="2" fillId="2" borderId="1" xfId="0" applyFont="1" applyFill="1" applyBorder="1"/>
    <xf numFmtId="49" fontId="0" fillId="0" borderId="1" xfId="0" applyNumberFormat="1" applyBorder="1"/>
    <xf numFmtId="0" fontId="1" fillId="0" borderId="1" xfId="0" applyFont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49" fontId="2" fillId="5" borderId="1" xfId="0" applyNumberFormat="1" applyFont="1" applyFill="1" applyBorder="1" applyAlignment="1">
      <alignment wrapText="1"/>
    </xf>
    <xf numFmtId="0" fontId="0" fillId="6" borderId="1" xfId="0" applyFill="1" applyBorder="1"/>
    <xf numFmtId="0" fontId="3" fillId="4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4" fillId="0" borderId="0" xfId="0" applyFont="1"/>
    <xf numFmtId="0" fontId="5" fillId="0" borderId="0" xfId="0" applyFont="1"/>
    <xf numFmtId="0" fontId="0" fillId="2" borderId="0" xfId="0" applyFill="1"/>
    <xf numFmtId="3" fontId="0" fillId="0" borderId="1" xfId="0" applyNumberFormat="1" applyBorder="1" applyAlignment="1">
      <alignment wrapText="1"/>
    </xf>
    <xf numFmtId="0" fontId="2" fillId="2" borderId="1" xfId="0" applyFont="1" applyFill="1" applyBorder="1" applyAlignment="1">
      <alignment wrapText="1"/>
    </xf>
    <xf numFmtId="49" fontId="0" fillId="0" borderId="0" xfId="0" applyNumberFormat="1"/>
    <xf numFmtId="0" fontId="0" fillId="7" borderId="1" xfId="0" applyFill="1" applyBorder="1" applyAlignment="1">
      <alignment wrapText="1"/>
    </xf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A41E7-8B43-564A-8CD9-25140CFF6326}">
  <dimension ref="A1:BC12"/>
  <sheetViews>
    <sheetView tabSelected="1" zoomScale="93" zoomScaleNormal="140" workbookViewId="0">
      <selection activeCell="N14" sqref="N14"/>
    </sheetView>
  </sheetViews>
  <sheetFormatPr baseColWidth="10" defaultRowHeight="20" customHeight="1" x14ac:dyDescent="0.2"/>
  <cols>
    <col min="1" max="1" width="20.5" bestFit="1" customWidth="1"/>
    <col min="2" max="2" width="14.1640625" customWidth="1"/>
    <col min="3" max="3" width="10.6640625" style="1" customWidth="1"/>
    <col min="4" max="4" width="13" bestFit="1" customWidth="1"/>
    <col min="5" max="5" width="11.6640625" bestFit="1" customWidth="1"/>
    <col min="6" max="6" width="10.33203125" bestFit="1" customWidth="1"/>
    <col min="7" max="7" width="17.83203125" bestFit="1" customWidth="1"/>
    <col min="8" max="8" width="35.1640625" style="5" customWidth="1"/>
    <col min="9" max="9" width="26" customWidth="1"/>
    <col min="10" max="10" width="17.33203125" bestFit="1" customWidth="1"/>
    <col min="11" max="11" width="11.6640625" bestFit="1" customWidth="1"/>
    <col min="12" max="12" width="12.83203125" bestFit="1" customWidth="1"/>
    <col min="13" max="13" width="17" customWidth="1"/>
    <col min="14" max="14" width="27.33203125" bestFit="1" customWidth="1"/>
  </cols>
  <sheetData>
    <row r="1" spans="1:55" ht="20" customHeight="1" x14ac:dyDescent="0.2">
      <c r="A1" s="25" t="s">
        <v>0</v>
      </c>
      <c r="B1" s="25" t="s">
        <v>33</v>
      </c>
      <c r="C1" s="25" t="s">
        <v>7</v>
      </c>
      <c r="D1" s="25" t="s">
        <v>4</v>
      </c>
      <c r="E1" s="25" t="s">
        <v>1</v>
      </c>
      <c r="F1" s="25" t="s">
        <v>2</v>
      </c>
      <c r="G1" s="25" t="s">
        <v>3</v>
      </c>
      <c r="H1" s="25" t="s">
        <v>32</v>
      </c>
      <c r="I1" s="25" t="s">
        <v>30</v>
      </c>
      <c r="J1" s="25" t="s">
        <v>34</v>
      </c>
      <c r="K1" s="25" t="s">
        <v>37</v>
      </c>
      <c r="L1" s="25" t="s">
        <v>40</v>
      </c>
      <c r="M1" s="25" t="s">
        <v>47</v>
      </c>
      <c r="N1" s="25" t="s">
        <v>49</v>
      </c>
    </row>
    <row r="2" spans="1:55" ht="20" customHeight="1" x14ac:dyDescent="0.2">
      <c r="A2" s="21" t="s">
        <v>5</v>
      </c>
      <c r="B2" s="3">
        <v>1007714</v>
      </c>
      <c r="C2" s="1">
        <v>10000</v>
      </c>
      <c r="D2" s="3">
        <f>C2+101</f>
        <v>10101</v>
      </c>
      <c r="E2" s="3">
        <f>C2+401</f>
        <v>10401</v>
      </c>
      <c r="F2" s="3">
        <f>C2+701</f>
        <v>10701</v>
      </c>
      <c r="G2" s="3">
        <f>C2+1001</f>
        <v>11001</v>
      </c>
      <c r="H2" s="3" t="s">
        <v>73</v>
      </c>
      <c r="I2" s="33"/>
      <c r="J2" s="3"/>
      <c r="K2" s="24" t="s">
        <v>59</v>
      </c>
      <c r="L2" s="32" t="s">
        <v>42</v>
      </c>
      <c r="M2" s="3" t="s">
        <v>62</v>
      </c>
      <c r="N2" s="3" t="s">
        <v>74</v>
      </c>
    </row>
    <row r="3" spans="1:55" ht="20" customHeight="1" x14ac:dyDescent="0.2">
      <c r="A3" s="21" t="s">
        <v>6</v>
      </c>
      <c r="B3" s="3">
        <v>1007704</v>
      </c>
      <c r="C3" s="4">
        <v>1000</v>
      </c>
      <c r="D3" s="3">
        <f>C3+101</f>
        <v>1101</v>
      </c>
      <c r="E3" s="3">
        <f>C3+401</f>
        <v>1401</v>
      </c>
      <c r="F3" s="3">
        <f t="shared" ref="F3:F12" si="0">C3 +701</f>
        <v>1701</v>
      </c>
      <c r="G3" s="3">
        <f t="shared" ref="G3:G12" si="1">C3 + 1001</f>
        <v>2001</v>
      </c>
      <c r="H3" s="3"/>
      <c r="J3" s="3"/>
      <c r="K3" s="28" t="s">
        <v>38</v>
      </c>
      <c r="L3" s="11" t="s">
        <v>41</v>
      </c>
      <c r="M3" s="6" t="s">
        <v>50</v>
      </c>
      <c r="N3" s="3"/>
    </row>
    <row r="4" spans="1:55" ht="20" customHeight="1" x14ac:dyDescent="0.2">
      <c r="A4" s="21" t="s">
        <v>8</v>
      </c>
      <c r="B4" s="3">
        <v>1007776</v>
      </c>
      <c r="C4" s="4">
        <v>2000</v>
      </c>
      <c r="D4" s="3">
        <f t="shared" ref="D4:D12" si="2">C4+101</f>
        <v>2101</v>
      </c>
      <c r="E4" s="3">
        <f t="shared" ref="E4:E12" si="3">C4+401</f>
        <v>2401</v>
      </c>
      <c r="F4" s="3">
        <f t="shared" si="0"/>
        <v>2701</v>
      </c>
      <c r="G4" s="3">
        <f t="shared" si="1"/>
        <v>3001</v>
      </c>
      <c r="H4" s="3"/>
      <c r="I4" s="3"/>
      <c r="J4" s="3"/>
      <c r="K4" s="28" t="s">
        <v>38</v>
      </c>
      <c r="L4" s="11" t="s">
        <v>41</v>
      </c>
      <c r="M4" s="3" t="s">
        <v>53</v>
      </c>
      <c r="N4" s="3"/>
    </row>
    <row r="5" spans="1:55" ht="20" customHeight="1" x14ac:dyDescent="0.2">
      <c r="A5" s="21" t="s">
        <v>10</v>
      </c>
      <c r="B5" s="3">
        <v>1007713</v>
      </c>
      <c r="C5" s="4">
        <v>1056</v>
      </c>
      <c r="D5" s="3">
        <f t="shared" si="2"/>
        <v>1157</v>
      </c>
      <c r="E5" s="3">
        <f t="shared" si="3"/>
        <v>1457</v>
      </c>
      <c r="F5" s="3">
        <f t="shared" si="0"/>
        <v>1757</v>
      </c>
      <c r="G5" s="3">
        <f t="shared" si="1"/>
        <v>2057</v>
      </c>
      <c r="H5" s="3"/>
      <c r="I5" s="3"/>
      <c r="J5" s="3"/>
      <c r="K5" s="28" t="s">
        <v>38</v>
      </c>
      <c r="L5" s="11" t="s">
        <v>42</v>
      </c>
      <c r="M5" s="3" t="s">
        <v>57</v>
      </c>
      <c r="N5" s="3"/>
    </row>
    <row r="6" spans="1:55" ht="20" customHeight="1" x14ac:dyDescent="0.2">
      <c r="A6" s="22" t="s">
        <v>9</v>
      </c>
      <c r="B6" s="10">
        <v>1007721</v>
      </c>
      <c r="C6" s="23">
        <v>3101</v>
      </c>
      <c r="D6" s="10">
        <f t="shared" si="2"/>
        <v>3202</v>
      </c>
      <c r="E6" s="10">
        <f t="shared" si="3"/>
        <v>3502</v>
      </c>
      <c r="F6" s="10">
        <f t="shared" si="0"/>
        <v>3802</v>
      </c>
      <c r="G6" s="10">
        <f t="shared" si="1"/>
        <v>4102</v>
      </c>
      <c r="H6" s="10"/>
      <c r="I6" s="10"/>
      <c r="J6" s="10"/>
      <c r="K6" s="24" t="s">
        <v>59</v>
      </c>
      <c r="L6" s="11" t="s">
        <v>41</v>
      </c>
      <c r="M6" s="3" t="s">
        <v>56</v>
      </c>
      <c r="N6" s="3"/>
    </row>
    <row r="7" spans="1:55" ht="20" customHeight="1" x14ac:dyDescent="0.2">
      <c r="A7" s="21" t="s">
        <v>11</v>
      </c>
      <c r="B7" s="3">
        <v>1007707</v>
      </c>
      <c r="C7" s="4">
        <v>1000</v>
      </c>
      <c r="D7" s="3">
        <f t="shared" si="2"/>
        <v>1101</v>
      </c>
      <c r="E7" s="3">
        <f t="shared" si="3"/>
        <v>1401</v>
      </c>
      <c r="F7" s="3">
        <f t="shared" si="0"/>
        <v>1701</v>
      </c>
      <c r="G7" s="3">
        <f t="shared" si="1"/>
        <v>2001</v>
      </c>
      <c r="H7" s="3"/>
      <c r="I7" s="3"/>
      <c r="J7" s="3"/>
      <c r="K7" s="28" t="s">
        <v>38</v>
      </c>
      <c r="L7" s="11" t="s">
        <v>45</v>
      </c>
      <c r="M7" s="3" t="s">
        <v>55</v>
      </c>
      <c r="N7" s="3"/>
    </row>
    <row r="8" spans="1:55" ht="20" customHeight="1" x14ac:dyDescent="0.2">
      <c r="A8" s="21" t="s">
        <v>15</v>
      </c>
      <c r="B8" s="3">
        <v>1007703</v>
      </c>
      <c r="C8" s="4">
        <v>2000</v>
      </c>
      <c r="D8" s="3">
        <f t="shared" ref="D8:D9" si="4">C8+101</f>
        <v>2101</v>
      </c>
      <c r="E8" s="3">
        <f t="shared" ref="E8:E10" si="5">C8+401</f>
        <v>2401</v>
      </c>
      <c r="F8" s="3"/>
      <c r="G8" s="3">
        <f t="shared" ref="G8:G10" si="6">C8 + 1001</f>
        <v>3001</v>
      </c>
      <c r="H8" s="3"/>
      <c r="I8" s="3"/>
      <c r="J8" s="3"/>
      <c r="K8" s="24" t="s">
        <v>59</v>
      </c>
      <c r="L8" s="11" t="s">
        <v>41</v>
      </c>
      <c r="M8" s="3" t="s">
        <v>54</v>
      </c>
      <c r="N8" s="3"/>
    </row>
    <row r="9" spans="1:55" ht="20" customHeight="1" x14ac:dyDescent="0.2">
      <c r="A9" s="21" t="s">
        <v>14</v>
      </c>
      <c r="B9" s="3">
        <v>1007163</v>
      </c>
      <c r="C9" s="4">
        <v>3000</v>
      </c>
      <c r="D9" s="3">
        <f t="shared" si="4"/>
        <v>3101</v>
      </c>
      <c r="E9" s="3">
        <f t="shared" si="5"/>
        <v>3401</v>
      </c>
      <c r="F9" s="3">
        <f t="shared" ref="F9:F10" si="7">C9 +701</f>
        <v>3701</v>
      </c>
      <c r="G9" s="3">
        <f t="shared" si="6"/>
        <v>4001</v>
      </c>
      <c r="H9" s="3"/>
      <c r="I9" s="3"/>
      <c r="J9" s="3"/>
      <c r="K9" s="28" t="s">
        <v>38</v>
      </c>
      <c r="L9" s="11" t="s">
        <v>42</v>
      </c>
      <c r="M9" s="3" t="s">
        <v>53</v>
      </c>
      <c r="N9" s="3"/>
    </row>
    <row r="10" spans="1:55" s="32" customFormat="1" ht="20" customHeight="1" x14ac:dyDescent="0.2">
      <c r="A10" s="29" t="s">
        <v>16</v>
      </c>
      <c r="B10" s="29">
        <v>1007779</v>
      </c>
      <c r="C10" s="34">
        <v>2500</v>
      </c>
      <c r="D10" s="11"/>
      <c r="E10" s="11">
        <f t="shared" si="5"/>
        <v>2901</v>
      </c>
      <c r="F10" s="11">
        <f t="shared" si="7"/>
        <v>3201</v>
      </c>
      <c r="G10" s="11">
        <f t="shared" si="6"/>
        <v>3501</v>
      </c>
      <c r="H10" s="11" t="s">
        <v>71</v>
      </c>
      <c r="I10" s="11" t="s">
        <v>58</v>
      </c>
      <c r="J10" s="11"/>
      <c r="K10" s="24" t="s">
        <v>59</v>
      </c>
      <c r="L10" s="11" t="s">
        <v>41</v>
      </c>
      <c r="M10" s="11" t="s">
        <v>52</v>
      </c>
      <c r="N10" s="11" t="s">
        <v>72</v>
      </c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</row>
    <row r="11" spans="1:55" ht="20" customHeight="1" x14ac:dyDescent="0.2">
      <c r="A11" s="21" t="s">
        <v>12</v>
      </c>
      <c r="B11" s="3">
        <v>1007725</v>
      </c>
      <c r="C11" s="4">
        <v>2000</v>
      </c>
      <c r="D11" s="3">
        <f t="shared" si="2"/>
        <v>2101</v>
      </c>
      <c r="E11" s="3">
        <f t="shared" si="3"/>
        <v>2401</v>
      </c>
      <c r="F11" s="3">
        <f t="shared" si="0"/>
        <v>2701</v>
      </c>
      <c r="G11" s="3">
        <f t="shared" si="1"/>
        <v>3001</v>
      </c>
      <c r="H11" s="3"/>
      <c r="I11" s="3"/>
      <c r="J11" s="3"/>
      <c r="K11" s="24" t="s">
        <v>59</v>
      </c>
      <c r="L11" s="11" t="s">
        <v>46</v>
      </c>
      <c r="M11" s="20" t="s">
        <v>41</v>
      </c>
      <c r="N11" s="3"/>
    </row>
    <row r="12" spans="1:55" ht="20" customHeight="1" x14ac:dyDescent="0.2">
      <c r="A12" s="21" t="s">
        <v>13</v>
      </c>
      <c r="B12" s="3">
        <v>1007769</v>
      </c>
      <c r="C12" s="4">
        <v>1000</v>
      </c>
      <c r="D12" s="3">
        <f t="shared" si="2"/>
        <v>1101</v>
      </c>
      <c r="E12" s="3">
        <f t="shared" si="3"/>
        <v>1401</v>
      </c>
      <c r="F12" s="3">
        <f t="shared" si="0"/>
        <v>1701</v>
      </c>
      <c r="G12" s="3">
        <f t="shared" si="1"/>
        <v>2001</v>
      </c>
      <c r="H12" s="3"/>
      <c r="I12" s="3"/>
      <c r="J12" s="3"/>
      <c r="K12" s="28" t="s">
        <v>38</v>
      </c>
      <c r="L12" s="11" t="s">
        <v>42</v>
      </c>
      <c r="M12" s="3" t="s">
        <v>51</v>
      </c>
      <c r="N12" s="3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AFAE6-C0C1-D14B-BE97-7629DB13CC4C}">
  <dimension ref="A1:N14"/>
  <sheetViews>
    <sheetView zoomScaleNormal="140" workbookViewId="0">
      <selection activeCell="H8" sqref="H8"/>
    </sheetView>
  </sheetViews>
  <sheetFormatPr baseColWidth="10" defaultRowHeight="20" customHeight="1" x14ac:dyDescent="0.2"/>
  <cols>
    <col min="1" max="1" width="17.33203125" bestFit="1" customWidth="1"/>
    <col min="2" max="2" width="14.83203125" bestFit="1" customWidth="1"/>
    <col min="3" max="3" width="10.6640625" style="1" bestFit="1" customWidth="1"/>
    <col min="4" max="4" width="13" bestFit="1" customWidth="1"/>
    <col min="5" max="5" width="11.6640625" bestFit="1" customWidth="1"/>
    <col min="6" max="6" width="10.33203125" bestFit="1" customWidth="1"/>
    <col min="7" max="7" width="17.83203125" bestFit="1" customWidth="1"/>
    <col min="8" max="8" width="67.5" style="5" bestFit="1" customWidth="1"/>
    <col min="9" max="9" width="22.1640625" customWidth="1"/>
    <col min="10" max="10" width="16.5" style="7" bestFit="1" customWidth="1"/>
    <col min="11" max="11" width="11.6640625" bestFit="1" customWidth="1"/>
    <col min="12" max="12" width="14" bestFit="1" customWidth="1"/>
    <col min="13" max="13" width="24.5" style="5" bestFit="1" customWidth="1"/>
    <col min="14" max="14" width="35" bestFit="1" customWidth="1"/>
  </cols>
  <sheetData>
    <row r="1" spans="1:14" s="5" customFormat="1" ht="21" customHeight="1" x14ac:dyDescent="0.2">
      <c r="A1" s="25" t="s">
        <v>0</v>
      </c>
      <c r="B1" s="25" t="s">
        <v>33</v>
      </c>
      <c r="C1" s="25" t="s">
        <v>7</v>
      </c>
      <c r="D1" s="25" t="s">
        <v>4</v>
      </c>
      <c r="E1" s="25" t="s">
        <v>1</v>
      </c>
      <c r="F1" s="25" t="s">
        <v>2</v>
      </c>
      <c r="G1" s="25" t="s">
        <v>3</v>
      </c>
      <c r="H1" s="25" t="s">
        <v>31</v>
      </c>
      <c r="I1" s="25" t="s">
        <v>30</v>
      </c>
      <c r="J1" s="26" t="s">
        <v>34</v>
      </c>
      <c r="K1" s="25" t="s">
        <v>37</v>
      </c>
      <c r="L1" s="25" t="s">
        <v>40</v>
      </c>
      <c r="M1" s="25" t="s">
        <v>47</v>
      </c>
      <c r="N1" s="25" t="s">
        <v>49</v>
      </c>
    </row>
    <row r="2" spans="1:14" ht="25" customHeight="1" x14ac:dyDescent="0.2">
      <c r="A2" s="12" t="s">
        <v>17</v>
      </c>
      <c r="B2" s="2">
        <v>1007709</v>
      </c>
      <c r="C2" s="31">
        <v>10000</v>
      </c>
      <c r="D2" s="30">
        <f>C2+101</f>
        <v>10101</v>
      </c>
      <c r="E2" s="3">
        <f>C2+401</f>
        <v>10401</v>
      </c>
      <c r="F2" s="3">
        <f>C2+701</f>
        <v>10701</v>
      </c>
      <c r="G2" s="2">
        <f>C2+1001</f>
        <v>11001</v>
      </c>
      <c r="H2" s="3" t="s">
        <v>64</v>
      </c>
      <c r="I2" s="3" t="s">
        <v>61</v>
      </c>
      <c r="J2" s="6"/>
      <c r="K2" s="27" t="s">
        <v>38</v>
      </c>
      <c r="L2" s="18" t="s">
        <v>41</v>
      </c>
      <c r="M2" s="5" t="s">
        <v>60</v>
      </c>
      <c r="N2" s="3" t="s">
        <v>65</v>
      </c>
    </row>
    <row r="3" spans="1:14" ht="20" customHeight="1" x14ac:dyDescent="0.2">
      <c r="A3" s="2" t="s">
        <v>18</v>
      </c>
      <c r="B3" s="2">
        <v>1007705</v>
      </c>
      <c r="C3" s="13">
        <v>1000</v>
      </c>
      <c r="D3" s="2">
        <f t="shared" ref="D3:D14" si="0">C3+101</f>
        <v>1101</v>
      </c>
      <c r="E3" s="2">
        <f t="shared" ref="E3:E9" si="1">C3+401</f>
        <v>1401</v>
      </c>
      <c r="F3" s="2">
        <f t="shared" ref="F3:F9" si="2">C3 +701</f>
        <v>1701</v>
      </c>
      <c r="G3" s="2">
        <f t="shared" ref="G3:G9" si="3">C3 + 1001</f>
        <v>2001</v>
      </c>
      <c r="H3" s="3"/>
      <c r="I3" s="20"/>
      <c r="J3" s="6"/>
      <c r="K3" s="27" t="s">
        <v>38</v>
      </c>
      <c r="L3" s="18" t="s">
        <v>41</v>
      </c>
      <c r="M3" s="6" t="s">
        <v>48</v>
      </c>
      <c r="N3" s="3"/>
    </row>
    <row r="4" spans="1:14" ht="20" customHeight="1" x14ac:dyDescent="0.2">
      <c r="A4" s="12" t="s">
        <v>19</v>
      </c>
      <c r="B4" s="2">
        <v>1007767</v>
      </c>
      <c r="C4" s="13">
        <v>2000</v>
      </c>
      <c r="D4" s="2">
        <f t="shared" si="0"/>
        <v>2101</v>
      </c>
      <c r="E4" s="2">
        <f t="shared" si="1"/>
        <v>2401</v>
      </c>
      <c r="F4" s="2">
        <f t="shared" si="2"/>
        <v>2701</v>
      </c>
      <c r="G4" s="2">
        <f t="shared" si="3"/>
        <v>3001</v>
      </c>
      <c r="H4" s="3"/>
      <c r="I4" s="2"/>
      <c r="J4" s="6"/>
      <c r="K4" s="27" t="s">
        <v>38</v>
      </c>
      <c r="L4" s="18" t="s">
        <v>41</v>
      </c>
      <c r="M4" s="3"/>
      <c r="N4" s="2"/>
    </row>
    <row r="5" spans="1:14" ht="20" customHeight="1" x14ac:dyDescent="0.2">
      <c r="A5" s="12" t="s">
        <v>21</v>
      </c>
      <c r="B5" s="2">
        <v>1007712</v>
      </c>
      <c r="C5" s="13">
        <v>1056</v>
      </c>
      <c r="D5" s="2">
        <f t="shared" si="0"/>
        <v>1157</v>
      </c>
      <c r="E5" s="2">
        <f t="shared" si="1"/>
        <v>1457</v>
      </c>
      <c r="F5" s="2">
        <f t="shared" si="2"/>
        <v>1757</v>
      </c>
      <c r="G5" s="2">
        <f t="shared" si="3"/>
        <v>2057</v>
      </c>
      <c r="H5" s="3"/>
      <c r="I5" s="2"/>
      <c r="J5" s="6"/>
      <c r="K5" s="27" t="s">
        <v>38</v>
      </c>
      <c r="L5" s="18" t="s">
        <v>42</v>
      </c>
      <c r="M5" s="3"/>
      <c r="N5" s="2"/>
    </row>
    <row r="6" spans="1:14" ht="20" customHeight="1" x14ac:dyDescent="0.2">
      <c r="A6" s="14" t="s">
        <v>20</v>
      </c>
      <c r="B6" s="15">
        <v>1007720</v>
      </c>
      <c r="C6" s="16">
        <v>3101</v>
      </c>
      <c r="D6" s="15">
        <f t="shared" si="0"/>
        <v>3202</v>
      </c>
      <c r="E6" s="15">
        <f t="shared" si="1"/>
        <v>3502</v>
      </c>
      <c r="F6" s="15">
        <f t="shared" si="2"/>
        <v>3802</v>
      </c>
      <c r="G6" s="15">
        <f t="shared" si="3"/>
        <v>4102</v>
      </c>
      <c r="H6" s="10" t="s">
        <v>75</v>
      </c>
      <c r="I6" s="15"/>
      <c r="J6" s="9"/>
      <c r="K6" s="27" t="s">
        <v>38</v>
      </c>
      <c r="L6" s="18" t="s">
        <v>41</v>
      </c>
      <c r="M6" s="35" t="s">
        <v>70</v>
      </c>
      <c r="N6" s="2" t="s">
        <v>76</v>
      </c>
    </row>
    <row r="7" spans="1:14" ht="20" customHeight="1" x14ac:dyDescent="0.2">
      <c r="A7" s="17" t="s">
        <v>22</v>
      </c>
      <c r="B7" s="18">
        <v>1007998</v>
      </c>
      <c r="C7" s="19">
        <v>11400</v>
      </c>
      <c r="D7" s="18">
        <f>C7+101</f>
        <v>11501</v>
      </c>
      <c r="E7" s="18">
        <f>C7+401</f>
        <v>11801</v>
      </c>
      <c r="F7" s="18">
        <f>C7+701</f>
        <v>12101</v>
      </c>
      <c r="G7" s="18">
        <f t="shared" si="3"/>
        <v>12401</v>
      </c>
      <c r="H7" s="11" t="s">
        <v>66</v>
      </c>
      <c r="I7" s="18" t="s">
        <v>36</v>
      </c>
      <c r="J7" s="8" t="s">
        <v>35</v>
      </c>
      <c r="K7" s="27" t="s">
        <v>38</v>
      </c>
      <c r="L7" s="18" t="s">
        <v>43</v>
      </c>
      <c r="M7" s="36"/>
      <c r="N7" s="2" t="s">
        <v>67</v>
      </c>
    </row>
    <row r="8" spans="1:14" ht="20" customHeight="1" x14ac:dyDescent="0.2">
      <c r="A8" s="18" t="s">
        <v>23</v>
      </c>
      <c r="B8" s="18">
        <v>1007181</v>
      </c>
      <c r="C8" s="19"/>
      <c r="D8" s="18">
        <v>11000</v>
      </c>
      <c r="E8" s="18">
        <v>99000</v>
      </c>
      <c r="F8" s="18">
        <v>99500</v>
      </c>
      <c r="G8" s="18"/>
      <c r="H8" s="11"/>
      <c r="I8" s="18"/>
      <c r="J8" s="8"/>
      <c r="K8" s="27" t="s">
        <v>38</v>
      </c>
      <c r="L8" s="18" t="s">
        <v>44</v>
      </c>
      <c r="M8" s="3"/>
      <c r="N8" s="2"/>
    </row>
    <row r="9" spans="1:14" ht="20" customHeight="1" x14ac:dyDescent="0.2">
      <c r="A9" s="12" t="s">
        <v>24</v>
      </c>
      <c r="B9" s="2">
        <v>1007706</v>
      </c>
      <c r="C9" s="13">
        <v>1000</v>
      </c>
      <c r="D9" s="2">
        <f t="shared" si="0"/>
        <v>1101</v>
      </c>
      <c r="E9" s="2">
        <f t="shared" si="1"/>
        <v>1401</v>
      </c>
      <c r="F9" s="2">
        <f t="shared" si="2"/>
        <v>1701</v>
      </c>
      <c r="G9" s="2">
        <f t="shared" si="3"/>
        <v>2001</v>
      </c>
      <c r="H9" s="3"/>
      <c r="I9" s="2"/>
      <c r="J9" s="6"/>
      <c r="K9" s="27" t="s">
        <v>38</v>
      </c>
      <c r="L9" s="18" t="s">
        <v>45</v>
      </c>
      <c r="M9" s="3"/>
      <c r="N9" s="2"/>
    </row>
    <row r="10" spans="1:14" ht="20" customHeight="1" x14ac:dyDescent="0.2">
      <c r="A10" s="12" t="s">
        <v>28</v>
      </c>
      <c r="B10" s="2">
        <v>1007702</v>
      </c>
      <c r="C10" s="13">
        <v>2000</v>
      </c>
      <c r="D10" s="2">
        <f t="shared" ref="D10" si="4">C10+101</f>
        <v>2101</v>
      </c>
      <c r="E10" s="2">
        <f>C10+401</f>
        <v>2401</v>
      </c>
      <c r="F10" s="2">
        <v>701</v>
      </c>
      <c r="G10" s="2">
        <f>C10 + 1001</f>
        <v>3001</v>
      </c>
      <c r="H10" s="3"/>
      <c r="I10" s="2"/>
      <c r="J10" s="6"/>
      <c r="K10" s="27" t="s">
        <v>38</v>
      </c>
      <c r="L10" s="18" t="s">
        <v>41</v>
      </c>
      <c r="M10" s="3"/>
      <c r="N10" s="2"/>
    </row>
    <row r="11" spans="1:14" ht="20" customHeight="1" x14ac:dyDescent="0.2">
      <c r="A11" s="12" t="s">
        <v>27</v>
      </c>
      <c r="B11" s="2">
        <v>1007164</v>
      </c>
      <c r="C11" s="13">
        <v>3000</v>
      </c>
      <c r="D11" s="2">
        <f>C11+101</f>
        <v>3101</v>
      </c>
      <c r="E11" s="2">
        <f>C11+401</f>
        <v>3401</v>
      </c>
      <c r="F11" s="2">
        <f>C11 +701</f>
        <v>3701</v>
      </c>
      <c r="G11" s="2">
        <f>C11 + 1001</f>
        <v>4001</v>
      </c>
      <c r="H11" s="3"/>
      <c r="I11" s="2"/>
      <c r="J11" s="6"/>
      <c r="K11" s="27" t="s">
        <v>38</v>
      </c>
      <c r="L11" s="18" t="s">
        <v>42</v>
      </c>
      <c r="M11" s="3"/>
      <c r="N11" s="2"/>
    </row>
    <row r="12" spans="1:14" ht="20" customHeight="1" x14ac:dyDescent="0.2">
      <c r="A12" s="12" t="s">
        <v>29</v>
      </c>
      <c r="B12" s="2">
        <v>1007779</v>
      </c>
      <c r="C12" s="13">
        <v>2500</v>
      </c>
      <c r="D12" s="2"/>
      <c r="E12" s="2">
        <f>C12+401</f>
        <v>2901</v>
      </c>
      <c r="F12" s="2">
        <f>C12 +701</f>
        <v>3201</v>
      </c>
      <c r="G12" s="2">
        <f>C12 + 1001</f>
        <v>3501</v>
      </c>
      <c r="H12" s="3" t="s">
        <v>68</v>
      </c>
      <c r="I12" s="3" t="s">
        <v>39</v>
      </c>
      <c r="J12" s="6"/>
      <c r="K12" s="27" t="s">
        <v>38</v>
      </c>
      <c r="L12" s="18" t="s">
        <v>41</v>
      </c>
      <c r="M12" s="3" t="s">
        <v>63</v>
      </c>
      <c r="N12" s="2" t="s">
        <v>69</v>
      </c>
    </row>
    <row r="13" spans="1:14" ht="20" customHeight="1" x14ac:dyDescent="0.2">
      <c r="A13" s="12" t="s">
        <v>25</v>
      </c>
      <c r="B13" s="2">
        <v>1007723</v>
      </c>
      <c r="C13" s="13">
        <v>2000</v>
      </c>
      <c r="D13" s="2">
        <f t="shared" si="0"/>
        <v>2101</v>
      </c>
      <c r="E13" s="2">
        <f>C13+401</f>
        <v>2401</v>
      </c>
      <c r="F13" s="2">
        <f>C13 +701</f>
        <v>2701</v>
      </c>
      <c r="G13" s="2">
        <f>C13 + 1001</f>
        <v>3001</v>
      </c>
      <c r="H13" s="3"/>
      <c r="I13" s="2"/>
      <c r="J13" s="6"/>
      <c r="K13" s="27" t="s">
        <v>38</v>
      </c>
      <c r="L13" s="18" t="s">
        <v>41</v>
      </c>
      <c r="M13" s="3"/>
      <c r="N13" s="2"/>
    </row>
    <row r="14" spans="1:14" ht="20" customHeight="1" x14ac:dyDescent="0.2">
      <c r="A14" s="12" t="s">
        <v>26</v>
      </c>
      <c r="B14" s="2">
        <v>1007768</v>
      </c>
      <c r="C14" s="13">
        <v>1000</v>
      </c>
      <c r="D14" s="2">
        <f t="shared" si="0"/>
        <v>1101</v>
      </c>
      <c r="E14" s="2">
        <f>C14+401</f>
        <v>1401</v>
      </c>
      <c r="F14" s="2">
        <f>C14 +701</f>
        <v>1701</v>
      </c>
      <c r="G14" s="2">
        <f>C14 + 1001</f>
        <v>2001</v>
      </c>
      <c r="H14" s="3"/>
      <c r="I14" s="2"/>
      <c r="J14" s="6"/>
      <c r="K14" s="27" t="s">
        <v>38</v>
      </c>
      <c r="L14" s="18" t="s">
        <v>42</v>
      </c>
      <c r="M14" s="3"/>
      <c r="N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Production</vt:lpstr>
      <vt:lpstr>Staging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Liviu Gherasim</dc:creator>
  <cp:lastModifiedBy>Liviu Gherasim</cp:lastModifiedBy>
  <dcterms:created xsi:type="dcterms:W3CDTF">2025-02-20T07:16:43Z</dcterms:created>
  <dcterms:modified xsi:type="dcterms:W3CDTF">2025-12-16T12:13:02Z</dcterms:modified>
</cp:coreProperties>
</file>