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mc:AlternateContent xmlns:mc="http://schemas.openxmlformats.org/markup-compatibility/2006">
    <mc:Choice Requires="x15">
      <x15ac:absPath xmlns:x15ac="http://schemas.microsoft.com/office/spreadsheetml/2010/11/ac" url="https://xpericorp.sharepoint.com/teams/TiVoPlus/Shared Documents/TiVo Plus IPTV and TMIS channel list/"/>
    </mc:Choice>
  </mc:AlternateContent>
  <xr:revisionPtr revIDLastSave="0" documentId="8_{44174B75-E863-48AD-BFAE-1470DF75327D}" xr6:coauthVersionLast="47" xr6:coauthVersionMax="47" xr10:uidLastSave="{00000000-0000-0000-0000-000000000000}"/>
  <bookViews>
    <workbookView xWindow="-120" yWindow="-120" windowWidth="29040" windowHeight="17520" firstSheet="2" activeTab="2" xr2:uid="{AC1C10EE-19E8-4431-B24E-AEECA84F2A57}"/>
  </bookViews>
  <sheets>
    <sheet name="IPTV US" sheetId="1" r:id="rId1"/>
    <sheet name="IPTV CA" sheetId="3" r:id="rId2"/>
    <sheet name="TMIS US" sheetId="2" r:id="rId3"/>
    <sheet name="TMIS CA" sheetId="4" r:id="rId4"/>
    <sheet name="operator_config" sheetId="6" r:id="rId5"/>
    <sheet name="Ch_Add_Remove_Alert" sheetId="5" r:id="rId6"/>
  </sheets>
  <definedNames>
    <definedName name="_xlnm._FilterDatabase" localSheetId="1" hidden="1">'IPTV CA'!$A$1:$Q$705</definedName>
    <definedName name="_xlnm._FilterDatabase" localSheetId="0" hidden="1">'IPTV US'!$A$1:$AD$998</definedName>
    <definedName name="_xlnm._FilterDatabase" localSheetId="3" hidden="1">'TMIS CA'!$A$1:$M$728</definedName>
    <definedName name="_xlnm._FilterDatabase" localSheetId="2" hidden="1">'TMIS US'!$A$1:$M$1021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4" i="5" l="1"/>
  <c r="V15" i="5"/>
  <c r="V17" i="5"/>
  <c r="V18" i="5"/>
  <c r="V19" i="5"/>
  <c r="V20" i="5"/>
  <c r="V22" i="5"/>
  <c r="V23" i="5"/>
  <c r="V24" i="5"/>
  <c r="V25" i="5"/>
  <c r="V26" i="5"/>
  <c r="V29" i="5"/>
  <c r="V30" i="5"/>
  <c r="V31" i="5"/>
  <c r="V32" i="5"/>
  <c r="V33" i="5"/>
  <c r="V36" i="5"/>
  <c r="V37" i="5"/>
  <c r="V38" i="5"/>
  <c r="V39" i="5"/>
  <c r="V42" i="5"/>
  <c r="V43" i="5"/>
  <c r="V44" i="5"/>
  <c r="V45" i="5"/>
  <c r="V46" i="5"/>
  <c r="V49" i="5"/>
  <c r="V50" i="5"/>
  <c r="V51" i="5"/>
  <c r="V53" i="5"/>
  <c r="V54" i="5"/>
  <c r="V55" i="5"/>
  <c r="V56" i="5"/>
  <c r="V58" i="5"/>
  <c r="V59" i="5"/>
  <c r="V60" i="5"/>
  <c r="V63" i="5"/>
  <c r="V64" i="5"/>
  <c r="V65" i="5"/>
  <c r="V66" i="5"/>
  <c r="V68" i="5"/>
  <c r="V69" i="5"/>
  <c r="V71" i="5"/>
  <c r="V72" i="5"/>
  <c r="V73" i="5"/>
  <c r="V75" i="5"/>
  <c r="V76" i="5"/>
  <c r="V77" i="5"/>
  <c r="V79" i="5"/>
  <c r="V80" i="5"/>
  <c r="V81" i="5"/>
  <c r="V82" i="5"/>
  <c r="V83" i="5"/>
  <c r="V84" i="5"/>
  <c r="V85" i="5"/>
  <c r="V86" i="5"/>
  <c r="V87" i="5"/>
  <c r="V88" i="5"/>
  <c r="V89" i="5"/>
  <c r="V90" i="5"/>
  <c r="V91" i="5"/>
  <c r="V92" i="5"/>
  <c r="V94" i="5"/>
  <c r="V95" i="5"/>
  <c r="V96" i="5"/>
  <c r="V98" i="5"/>
  <c r="V99" i="5"/>
  <c r="V100" i="5"/>
  <c r="V102" i="5"/>
  <c r="V103" i="5"/>
  <c r="V106" i="5"/>
  <c r="V107" i="5"/>
  <c r="V108" i="5"/>
  <c r="V109" i="5"/>
  <c r="V110" i="5"/>
  <c r="V111" i="5"/>
  <c r="V112" i="5"/>
  <c r="V113" i="5"/>
  <c r="V116" i="5"/>
  <c r="V117" i="5"/>
  <c r="V119" i="5"/>
  <c r="V120" i="5"/>
  <c r="V123" i="5"/>
  <c r="V124" i="5"/>
  <c r="V128" i="5"/>
  <c r="V129" i="5"/>
  <c r="V130" i="5"/>
  <c r="V131" i="5"/>
  <c r="V134" i="5"/>
  <c r="V135" i="5"/>
  <c r="V137" i="5"/>
  <c r="V138" i="5"/>
  <c r="V141" i="5"/>
  <c r="V143" i="5"/>
  <c r="V144" i="5"/>
  <c r="V146" i="5"/>
  <c r="V147" i="5"/>
  <c r="V148" i="5"/>
  <c r="V150" i="5"/>
  <c r="V151" i="5"/>
  <c r="V154" i="5"/>
  <c r="V157" i="5"/>
  <c r="V158" i="5"/>
  <c r="V160" i="5"/>
  <c r="V161" i="5"/>
  <c r="V162" i="5"/>
  <c r="V164" i="5"/>
  <c r="V165" i="5"/>
  <c r="V168" i="5"/>
  <c r="V169" i="5"/>
  <c r="V176" i="5"/>
  <c r="V177" i="5"/>
  <c r="V179" i="5"/>
  <c r="V180" i="5"/>
  <c r="V185" i="5"/>
  <c r="V186" i="5"/>
  <c r="V190" i="5"/>
  <c r="V191" i="5"/>
  <c r="V192" i="5"/>
  <c r="V194" i="5"/>
  <c r="V195" i="5"/>
  <c r="V197" i="5"/>
  <c r="V198" i="5"/>
  <c r="V200" i="5"/>
  <c r="V201" i="5"/>
  <c r="V202" i="5"/>
  <c r="V203" i="5"/>
  <c r="V205" i="5"/>
  <c r="V206" i="5"/>
  <c r="V211" i="5"/>
  <c r="V213" i="5"/>
  <c r="V214" i="5"/>
  <c r="V218" i="5"/>
  <c r="V219" i="5"/>
  <c r="V223" i="5"/>
  <c r="V224" i="5"/>
  <c r="V225" i="5"/>
  <c r="V227" i="5"/>
  <c r="V228" i="5"/>
  <c r="V231" i="5"/>
  <c r="V232" i="5"/>
  <c r="V237" i="5"/>
  <c r="V238" i="5"/>
  <c r="V240" i="5"/>
  <c r="V241" i="5"/>
  <c r="V243" i="5"/>
  <c r="V244" i="5"/>
  <c r="V248" i="5"/>
  <c r="V249" i="5"/>
  <c r="V251" i="5"/>
  <c r="V253" i="5"/>
  <c r="V254" i="5"/>
  <c r="V256" i="5"/>
  <c r="V257" i="5"/>
  <c r="V258" i="5"/>
  <c r="V260" i="5"/>
  <c r="V261" i="5"/>
  <c r="V264" i="5"/>
  <c r="V265" i="5"/>
  <c r="V267" i="5"/>
  <c r="V268" i="5"/>
  <c r="V269" i="5"/>
  <c r="V270" i="5"/>
  <c r="V273" i="5"/>
  <c r="V274" i="5"/>
  <c r="V279" i="5"/>
  <c r="V280" i="5"/>
  <c r="V281" i="5"/>
  <c r="V282" i="5"/>
  <c r="V284" i="5"/>
  <c r="V285" i="5"/>
  <c r="V287" i="5"/>
  <c r="V288" i="5"/>
  <c r="V290" i="5"/>
  <c r="V291" i="5"/>
  <c r="V292" i="5"/>
  <c r="V295" i="5"/>
  <c r="V296" i="5"/>
  <c r="V297" i="5"/>
  <c r="V299" i="5"/>
  <c r="V300" i="5"/>
  <c r="V302" i="5"/>
  <c r="V303" i="5"/>
  <c r="V306" i="5"/>
  <c r="V307" i="5"/>
  <c r="V310" i="5"/>
  <c r="V311" i="5"/>
  <c r="V315" i="5"/>
  <c r="V316" i="5"/>
  <c r="V319" i="5"/>
  <c r="V320" i="5"/>
  <c r="V324" i="5"/>
  <c r="V325" i="5"/>
  <c r="V327" i="5"/>
  <c r="V328" i="5"/>
  <c r="V333" i="5"/>
  <c r="V334" i="5"/>
  <c r="V335" i="5"/>
  <c r="V336" i="5"/>
  <c r="V338" i="5"/>
  <c r="V339" i="5"/>
  <c r="V343" i="5"/>
  <c r="V344" i="5"/>
  <c r="V345" i="5"/>
  <c r="V346" i="5"/>
  <c r="V348" i="5"/>
  <c r="V349" i="5"/>
  <c r="V352" i="5"/>
  <c r="V354" i="5"/>
  <c r="V355" i="5"/>
  <c r="V357" i="5"/>
  <c r="V359" i="5"/>
  <c r="V360" i="5"/>
  <c r="V361" i="5"/>
  <c r="V364" i="5"/>
  <c r="V365" i="5"/>
  <c r="V369" i="5"/>
  <c r="V370" i="5"/>
  <c r="V372" i="5"/>
  <c r="V373" i="5"/>
  <c r="V375" i="5"/>
  <c r="V376" i="5"/>
  <c r="V379" i="5"/>
  <c r="V380" i="5"/>
  <c r="V383" i="5"/>
  <c r="V384" i="5"/>
  <c r="V385" i="5"/>
  <c r="V386" i="5"/>
  <c r="V387" i="5"/>
  <c r="V391" i="5"/>
  <c r="V392" i="5"/>
  <c r="V393" i="5"/>
  <c r="V394" i="5"/>
  <c r="V397" i="5"/>
  <c r="V398" i="5"/>
  <c r="V401" i="5"/>
  <c r="V402" i="5"/>
  <c r="V405" i="5"/>
  <c r="V406" i="5"/>
  <c r="V408" i="5"/>
  <c r="V409" i="5"/>
  <c r="V411" i="5"/>
  <c r="V412" i="5"/>
  <c r="V415" i="5"/>
  <c r="V416" i="5"/>
  <c r="V419" i="5"/>
  <c r="V420" i="5"/>
  <c r="V422" i="5"/>
  <c r="V423" i="5"/>
  <c r="V426" i="5"/>
  <c r="V427" i="5"/>
  <c r="V429" i="5"/>
  <c r="V430" i="5"/>
  <c r="V435" i="5"/>
  <c r="V437" i="5"/>
  <c r="V438" i="5"/>
  <c r="V442" i="5"/>
  <c r="V443" i="5"/>
  <c r="V446" i="5"/>
  <c r="V447" i="5"/>
  <c r="V449" i="5"/>
  <c r="V450" i="5"/>
  <c r="V453" i="5"/>
  <c r="V456" i="5"/>
  <c r="V457" i="5"/>
  <c r="V460" i="5"/>
  <c r="V461" i="5"/>
  <c r="V462" i="5"/>
  <c r="V463" i="5"/>
  <c r="V467" i="5"/>
  <c r="V468" i="5"/>
  <c r="V471" i="5"/>
  <c r="V472" i="5"/>
  <c r="V475" i="5"/>
  <c r="V476" i="5"/>
  <c r="V480" i="5"/>
  <c r="V481" i="5"/>
  <c r="V483" i="5"/>
  <c r="V486" i="5"/>
  <c r="V487" i="5"/>
  <c r="V490" i="5"/>
  <c r="V491" i="5"/>
  <c r="V494" i="5"/>
  <c r="V496" i="5"/>
  <c r="V497" i="5"/>
  <c r="V499" i="5"/>
  <c r="V500" i="5"/>
  <c r="V502" i="5"/>
  <c r="V503" i="5"/>
  <c r="V506" i="5"/>
  <c r="V507" i="5"/>
  <c r="V509" i="5"/>
  <c r="V510" i="5"/>
  <c r="V514" i="5"/>
  <c r="V515" i="5"/>
  <c r="V520" i="5"/>
  <c r="V521" i="5"/>
  <c r="V523" i="5"/>
  <c r="V524" i="5"/>
  <c r="V525" i="5"/>
  <c r="V529" i="5"/>
  <c r="V530" i="5"/>
  <c r="V532" i="5"/>
  <c r="V533" i="5"/>
  <c r="V539" i="5"/>
  <c r="V540" i="5"/>
  <c r="V545" i="5"/>
  <c r="V546" i="5"/>
  <c r="V547" i="5"/>
  <c r="V548" i="5"/>
  <c r="V552" i="5"/>
  <c r="V553" i="5"/>
  <c r="V554" i="5"/>
  <c r="V559" i="5"/>
  <c r="V562" i="5"/>
  <c r="V563" i="5"/>
  <c r="V568" i="5"/>
  <c r="V569" i="5"/>
  <c r="V572" i="5"/>
  <c r="V573" i="5"/>
  <c r="V577" i="5"/>
  <c r="V578" i="5"/>
  <c r="V583" i="5"/>
  <c r="V584" i="5"/>
  <c r="V589" i="5"/>
  <c r="V590" i="5"/>
  <c r="V594" i="5"/>
  <c r="V595" i="5"/>
  <c r="V603" i="5"/>
  <c r="V604" i="5"/>
  <c r="V605" i="5"/>
  <c r="V606" i="5"/>
  <c r="V609" i="5"/>
  <c r="V610" i="5"/>
  <c r="V612" i="5"/>
  <c r="V613" i="5"/>
  <c r="V614" i="5"/>
  <c r="V615" i="5"/>
  <c r="V616" i="5"/>
  <c r="V619" i="5"/>
  <c r="V620" i="5"/>
  <c r="V621" i="5"/>
  <c r="V628" i="5"/>
  <c r="V629" i="5"/>
  <c r="V635" i="5"/>
  <c r="V636" i="5"/>
  <c r="V645" i="5"/>
  <c r="V646" i="5"/>
  <c r="V647" i="5"/>
  <c r="V648" i="5"/>
  <c r="V653" i="5"/>
  <c r="V654" i="5"/>
  <c r="V662" i="5"/>
  <c r="V663" i="5"/>
  <c r="V669" i="5"/>
  <c r="V670" i="5"/>
  <c r="V672" i="5"/>
  <c r="V673" i="5"/>
  <c r="V676" i="5"/>
  <c r="V677" i="5"/>
  <c r="V690" i="5"/>
  <c r="V691" i="5"/>
  <c r="V692" i="5"/>
  <c r="V693" i="5"/>
  <c r="V695" i="5"/>
  <c r="V696" i="5"/>
  <c r="V697" i="5"/>
  <c r="V698" i="5"/>
  <c r="V701" i="5"/>
  <c r="V702"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W12" i="5"/>
  <c r="W16" i="5"/>
  <c r="W21" i="5"/>
  <c r="W27" i="5"/>
  <c r="W28" i="5"/>
  <c r="W34" i="5"/>
  <c r="W35" i="5"/>
  <c r="W40" i="5"/>
  <c r="W41" i="5"/>
  <c r="W47" i="5"/>
  <c r="W48" i="5"/>
  <c r="W52" i="5"/>
  <c r="W57" i="5"/>
  <c r="W61" i="5"/>
  <c r="W62" i="5"/>
  <c r="W67" i="5"/>
  <c r="W70" i="5"/>
  <c r="W74" i="5"/>
  <c r="W78" i="5"/>
  <c r="W93" i="5"/>
  <c r="W97" i="5"/>
  <c r="W101" i="5"/>
  <c r="W104" i="5"/>
  <c r="W105" i="5"/>
  <c r="W114" i="5"/>
  <c r="W115" i="5"/>
  <c r="W118" i="5"/>
  <c r="W121" i="5"/>
  <c r="W122" i="5"/>
  <c r="W125" i="5"/>
  <c r="W126" i="5"/>
  <c r="W127" i="5"/>
  <c r="W132" i="5"/>
  <c r="W133" i="5"/>
  <c r="W136" i="5"/>
  <c r="W139" i="5"/>
  <c r="W140" i="5"/>
  <c r="W142" i="5"/>
  <c r="W145" i="5"/>
  <c r="W149" i="5"/>
  <c r="W152" i="5"/>
  <c r="W153" i="5"/>
  <c r="W155" i="5"/>
  <c r="W156" i="5"/>
  <c r="W159" i="5"/>
  <c r="W163" i="5"/>
  <c r="W166" i="5"/>
  <c r="W167" i="5"/>
  <c r="W170" i="5"/>
  <c r="W171" i="5"/>
  <c r="W172" i="5"/>
  <c r="W173" i="5"/>
  <c r="W174" i="5"/>
  <c r="W175" i="5"/>
  <c r="W178" i="5"/>
  <c r="W181" i="5"/>
  <c r="W182" i="5"/>
  <c r="W183" i="5"/>
  <c r="W184" i="5"/>
  <c r="W187" i="5"/>
  <c r="W188" i="5"/>
  <c r="W189" i="5"/>
  <c r="W193" i="5"/>
  <c r="W196" i="5"/>
  <c r="W199" i="5"/>
  <c r="W204" i="5"/>
  <c r="W207" i="5"/>
  <c r="W208" i="5"/>
  <c r="W209" i="5"/>
  <c r="W210" i="5"/>
  <c r="W212" i="5"/>
  <c r="W215" i="5"/>
  <c r="W216" i="5"/>
  <c r="W217" i="5"/>
  <c r="W220" i="5"/>
  <c r="W221" i="5"/>
  <c r="W222" i="5"/>
  <c r="W226" i="5"/>
  <c r="W229" i="5"/>
  <c r="W230" i="5"/>
  <c r="W233" i="5"/>
  <c r="W234" i="5"/>
  <c r="W235" i="5"/>
  <c r="W236" i="5"/>
  <c r="W239" i="5"/>
  <c r="W242" i="5"/>
  <c r="W245" i="5"/>
  <c r="W246" i="5"/>
  <c r="W247" i="5"/>
  <c r="W250" i="5"/>
  <c r="W252" i="5"/>
  <c r="W255" i="5"/>
  <c r="W259" i="5"/>
  <c r="W262" i="5"/>
  <c r="W263" i="5"/>
  <c r="W266" i="5"/>
  <c r="W271" i="5"/>
  <c r="W272" i="5"/>
  <c r="W275" i="5"/>
  <c r="W276" i="5"/>
  <c r="W277" i="5"/>
  <c r="W278" i="5"/>
  <c r="W283" i="5"/>
  <c r="W286" i="5"/>
  <c r="W289" i="5"/>
  <c r="W293" i="5"/>
  <c r="W294" i="5"/>
  <c r="W298" i="5"/>
  <c r="W301" i="5"/>
  <c r="W304" i="5"/>
  <c r="W305" i="5"/>
  <c r="W308" i="5"/>
  <c r="W309" i="5"/>
  <c r="W312" i="5"/>
  <c r="W313" i="5"/>
  <c r="W314" i="5"/>
  <c r="W317" i="5"/>
  <c r="W318" i="5"/>
  <c r="W321" i="5"/>
  <c r="W322" i="5"/>
  <c r="W323" i="5"/>
  <c r="W326" i="5"/>
  <c r="W329" i="5"/>
  <c r="W330" i="5"/>
  <c r="W331" i="5"/>
  <c r="W332" i="5"/>
  <c r="W337" i="5"/>
  <c r="W340" i="5"/>
  <c r="W341" i="5"/>
  <c r="W342" i="5"/>
  <c r="W347" i="5"/>
  <c r="W350" i="5"/>
  <c r="W351" i="5"/>
  <c r="W353" i="5"/>
  <c r="W356" i="5"/>
  <c r="W358" i="5"/>
  <c r="W362" i="5"/>
  <c r="W363" i="5"/>
  <c r="W366" i="5"/>
  <c r="W367" i="5"/>
  <c r="W368" i="5"/>
  <c r="W371" i="5"/>
  <c r="W374" i="5"/>
  <c r="W377" i="5"/>
  <c r="W378" i="5"/>
  <c r="W381" i="5"/>
  <c r="W382" i="5"/>
  <c r="W388" i="5"/>
  <c r="W389" i="5"/>
  <c r="W390" i="5"/>
  <c r="W395" i="5"/>
  <c r="W396" i="5"/>
  <c r="W399" i="5"/>
  <c r="W400" i="5"/>
  <c r="W403" i="5"/>
  <c r="W404" i="5"/>
  <c r="W407" i="5"/>
  <c r="W410" i="5"/>
  <c r="W413" i="5"/>
  <c r="W414" i="5"/>
  <c r="W417" i="5"/>
  <c r="W418" i="5"/>
  <c r="W421" i="5"/>
  <c r="W424" i="5"/>
  <c r="W425" i="5"/>
  <c r="W428" i="5"/>
  <c r="W431" i="5"/>
  <c r="W432" i="5"/>
  <c r="W433" i="5"/>
  <c r="W434" i="5"/>
  <c r="W436" i="5"/>
  <c r="W439" i="5"/>
  <c r="W440" i="5"/>
  <c r="W441" i="5"/>
  <c r="W444" i="5"/>
  <c r="W445" i="5"/>
  <c r="W448" i="5"/>
  <c r="W451" i="5"/>
  <c r="W452" i="5"/>
  <c r="W454" i="5"/>
  <c r="W455" i="5"/>
  <c r="W458" i="5"/>
  <c r="W459" i="5"/>
  <c r="W464" i="5"/>
  <c r="W465" i="5"/>
  <c r="W466" i="5"/>
  <c r="W469" i="5"/>
  <c r="W470" i="5"/>
  <c r="W473" i="5"/>
  <c r="W474" i="5"/>
  <c r="W477" i="5"/>
  <c r="W478" i="5"/>
  <c r="W479" i="5"/>
  <c r="W482" i="5"/>
  <c r="W484" i="5"/>
  <c r="W485" i="5"/>
  <c r="W488" i="5"/>
  <c r="W489" i="5"/>
  <c r="W492" i="5"/>
  <c r="W493" i="5"/>
  <c r="W495" i="5"/>
  <c r="W498" i="5"/>
  <c r="W501" i="5"/>
  <c r="W504" i="5"/>
  <c r="W505" i="5"/>
  <c r="W508" i="5"/>
  <c r="W511" i="5"/>
  <c r="W512" i="5"/>
  <c r="W513" i="5"/>
  <c r="W516" i="5"/>
  <c r="W517" i="5"/>
  <c r="W518" i="5"/>
  <c r="W519" i="5"/>
  <c r="W522" i="5"/>
  <c r="W526" i="5"/>
  <c r="W527" i="5"/>
  <c r="W528" i="5"/>
  <c r="W531" i="5"/>
  <c r="W534" i="5"/>
  <c r="W535" i="5"/>
  <c r="W536" i="5"/>
  <c r="W537" i="5"/>
  <c r="W538" i="5"/>
  <c r="W541" i="5"/>
  <c r="W542" i="5"/>
  <c r="W543" i="5"/>
  <c r="W544" i="5"/>
  <c r="W549" i="5"/>
  <c r="W550" i="5"/>
  <c r="W551" i="5"/>
  <c r="W555" i="5"/>
  <c r="W556" i="5"/>
  <c r="W557" i="5"/>
  <c r="W558" i="5"/>
  <c r="W560" i="5"/>
  <c r="W561" i="5"/>
  <c r="W564" i="5"/>
  <c r="W565" i="5"/>
  <c r="W566" i="5"/>
  <c r="W567" i="5"/>
  <c r="W570" i="5"/>
  <c r="W571" i="5"/>
  <c r="W574" i="5"/>
  <c r="W575" i="5"/>
  <c r="W576" i="5"/>
  <c r="W579" i="5"/>
  <c r="W580" i="5"/>
  <c r="W581" i="5"/>
  <c r="W582" i="5"/>
  <c r="W585" i="5"/>
  <c r="W586" i="5"/>
  <c r="W587" i="5"/>
  <c r="W588" i="5"/>
  <c r="W591" i="5"/>
  <c r="W592" i="5"/>
  <c r="W593" i="5"/>
  <c r="W596" i="5"/>
  <c r="W597" i="5"/>
  <c r="W598" i="5"/>
  <c r="W599" i="5"/>
  <c r="W600" i="5"/>
  <c r="W601" i="5"/>
  <c r="W602" i="5"/>
  <c r="W607" i="5"/>
  <c r="W608" i="5"/>
  <c r="W611" i="5"/>
  <c r="W617" i="5"/>
  <c r="W618" i="5"/>
  <c r="W622" i="5"/>
  <c r="W623" i="5"/>
  <c r="W624" i="5"/>
  <c r="W625" i="5"/>
  <c r="W626" i="5"/>
  <c r="W627" i="5"/>
  <c r="W630" i="5"/>
  <c r="W631" i="5"/>
  <c r="W632" i="5"/>
  <c r="W633" i="5"/>
  <c r="W634" i="5"/>
  <c r="W637" i="5"/>
  <c r="W638" i="5"/>
  <c r="W639" i="5"/>
  <c r="W640" i="5"/>
  <c r="W641" i="5"/>
  <c r="W642" i="5"/>
  <c r="W643" i="5"/>
  <c r="W644" i="5"/>
  <c r="W649" i="5"/>
  <c r="W650" i="5"/>
  <c r="W651" i="5"/>
  <c r="W652" i="5"/>
  <c r="W655" i="5"/>
  <c r="W656" i="5"/>
  <c r="W657" i="5"/>
  <c r="W658" i="5"/>
  <c r="W659" i="5"/>
  <c r="W660" i="5"/>
  <c r="W661" i="5"/>
  <c r="W664" i="5"/>
  <c r="W665" i="5"/>
  <c r="W666" i="5"/>
  <c r="W667" i="5"/>
  <c r="W668" i="5"/>
  <c r="W671" i="5"/>
  <c r="W674" i="5"/>
  <c r="W675" i="5"/>
  <c r="W678" i="5"/>
  <c r="W679" i="5"/>
  <c r="W680" i="5"/>
  <c r="W681" i="5"/>
  <c r="W682" i="5"/>
  <c r="W683" i="5"/>
  <c r="W684" i="5"/>
  <c r="W685" i="5"/>
  <c r="W686" i="5"/>
  <c r="W687" i="5"/>
  <c r="W688" i="5"/>
  <c r="W689" i="5"/>
  <c r="W694" i="5"/>
  <c r="W699" i="5"/>
  <c r="W700" i="5"/>
  <c r="W703" i="5"/>
  <c r="W704" i="5"/>
  <c r="W705" i="5"/>
  <c r="W706" i="5"/>
  <c r="W707" i="5"/>
  <c r="W708" i="5"/>
  <c r="W709" i="5"/>
  <c r="W710"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V13" i="5"/>
  <c r="W11" i="5"/>
  <c r="K1484" i="5"/>
  <c r="T11" i="5"/>
  <c r="V11" i="5" s="1"/>
  <c r="T12" i="5"/>
  <c r="V12" i="5" s="1"/>
  <c r="T13" i="5"/>
  <c r="W13" i="5" s="1"/>
  <c r="T14" i="5"/>
  <c r="W14" i="5" s="1"/>
  <c r="T15" i="5"/>
  <c r="W15" i="5" s="1"/>
  <c r="T16" i="5"/>
  <c r="V16" i="5" s="1"/>
  <c r="T17" i="5"/>
  <c r="W17" i="5" s="1"/>
  <c r="T18" i="5"/>
  <c r="W18" i="5" s="1"/>
  <c r="T19" i="5"/>
  <c r="W19" i="5" s="1"/>
  <c r="T20" i="5"/>
  <c r="W20" i="5" s="1"/>
  <c r="T21" i="5"/>
  <c r="V21" i="5" s="1"/>
  <c r="T22" i="5"/>
  <c r="W22" i="5" s="1"/>
  <c r="T23" i="5"/>
  <c r="W23" i="5" s="1"/>
  <c r="T24" i="5"/>
  <c r="W24" i="5" s="1"/>
  <c r="T25" i="5"/>
  <c r="W25" i="5" s="1"/>
  <c r="T26" i="5"/>
  <c r="W26" i="5" s="1"/>
  <c r="T27" i="5"/>
  <c r="V27" i="5" s="1"/>
  <c r="T28" i="5"/>
  <c r="V28" i="5" s="1"/>
  <c r="T29" i="5"/>
  <c r="W29" i="5" s="1"/>
  <c r="T30" i="5"/>
  <c r="W30" i="5" s="1"/>
  <c r="T31" i="5"/>
  <c r="W31" i="5" s="1"/>
  <c r="T32" i="5"/>
  <c r="W32" i="5" s="1"/>
  <c r="T33" i="5"/>
  <c r="W33" i="5" s="1"/>
  <c r="T34" i="5"/>
  <c r="V34" i="5" s="1"/>
  <c r="T35" i="5"/>
  <c r="V35" i="5" s="1"/>
  <c r="T36" i="5"/>
  <c r="W36" i="5" s="1"/>
  <c r="T37" i="5"/>
  <c r="W37" i="5" s="1"/>
  <c r="T38" i="5"/>
  <c r="W38" i="5" s="1"/>
  <c r="T39" i="5"/>
  <c r="W39" i="5" s="1"/>
  <c r="T40" i="5"/>
  <c r="V40" i="5" s="1"/>
  <c r="T41" i="5"/>
  <c r="V41" i="5" s="1"/>
  <c r="T42" i="5"/>
  <c r="W42" i="5" s="1"/>
  <c r="T43" i="5"/>
  <c r="W43" i="5" s="1"/>
  <c r="T44" i="5"/>
  <c r="W44" i="5" s="1"/>
  <c r="T45" i="5"/>
  <c r="W45" i="5" s="1"/>
  <c r="T46" i="5"/>
  <c r="W46" i="5" s="1"/>
  <c r="T47" i="5"/>
  <c r="V47" i="5" s="1"/>
  <c r="T48" i="5"/>
  <c r="V48" i="5" s="1"/>
  <c r="T49" i="5"/>
  <c r="W49" i="5" s="1"/>
  <c r="T50" i="5"/>
  <c r="W50" i="5" s="1"/>
  <c r="T51" i="5"/>
  <c r="W51" i="5" s="1"/>
  <c r="T52" i="5"/>
  <c r="V52" i="5" s="1"/>
  <c r="T53" i="5"/>
  <c r="W53" i="5" s="1"/>
  <c r="T54" i="5"/>
  <c r="W54" i="5" s="1"/>
  <c r="T55" i="5"/>
  <c r="W55" i="5" s="1"/>
  <c r="T56" i="5"/>
  <c r="W56" i="5" s="1"/>
  <c r="T57" i="5"/>
  <c r="V57" i="5" s="1"/>
  <c r="T58" i="5"/>
  <c r="W58" i="5" s="1"/>
  <c r="T59" i="5"/>
  <c r="W59" i="5" s="1"/>
  <c r="T60" i="5"/>
  <c r="W60" i="5" s="1"/>
  <c r="T61" i="5"/>
  <c r="V61" i="5" s="1"/>
  <c r="T62" i="5"/>
  <c r="V62" i="5" s="1"/>
  <c r="T63" i="5"/>
  <c r="W63" i="5" s="1"/>
  <c r="T64" i="5"/>
  <c r="W64" i="5" s="1"/>
  <c r="T65" i="5"/>
  <c r="W65" i="5" s="1"/>
  <c r="T66" i="5"/>
  <c r="W66" i="5" s="1"/>
  <c r="T67" i="5"/>
  <c r="V67" i="5" s="1"/>
  <c r="T68" i="5"/>
  <c r="W68" i="5" s="1"/>
  <c r="T69" i="5"/>
  <c r="W69" i="5" s="1"/>
  <c r="T70" i="5"/>
  <c r="V70" i="5" s="1"/>
  <c r="T71" i="5"/>
  <c r="W71" i="5" s="1"/>
  <c r="T72" i="5"/>
  <c r="W72" i="5" s="1"/>
  <c r="T73" i="5"/>
  <c r="W73" i="5" s="1"/>
  <c r="T74" i="5"/>
  <c r="V74" i="5" s="1"/>
  <c r="T75" i="5"/>
  <c r="W75" i="5" s="1"/>
  <c r="T76" i="5"/>
  <c r="W76" i="5" s="1"/>
  <c r="T77" i="5"/>
  <c r="W77" i="5" s="1"/>
  <c r="T78" i="5"/>
  <c r="V78" i="5" s="1"/>
  <c r="T79" i="5"/>
  <c r="W79" i="5" s="1"/>
  <c r="T80" i="5"/>
  <c r="W80" i="5" s="1"/>
  <c r="T81" i="5"/>
  <c r="W81" i="5" s="1"/>
  <c r="T82" i="5"/>
  <c r="W82" i="5" s="1"/>
  <c r="T83" i="5"/>
  <c r="W83" i="5" s="1"/>
  <c r="T84" i="5"/>
  <c r="W84" i="5" s="1"/>
  <c r="T85" i="5"/>
  <c r="W85" i="5" s="1"/>
  <c r="T86" i="5"/>
  <c r="W86" i="5" s="1"/>
  <c r="T87" i="5"/>
  <c r="W87" i="5" s="1"/>
  <c r="T88" i="5"/>
  <c r="W88" i="5" s="1"/>
  <c r="T89" i="5"/>
  <c r="W89" i="5" s="1"/>
  <c r="T90" i="5"/>
  <c r="W90" i="5" s="1"/>
  <c r="T91" i="5"/>
  <c r="W91" i="5" s="1"/>
  <c r="T92" i="5"/>
  <c r="W92" i="5" s="1"/>
  <c r="T93" i="5"/>
  <c r="V93" i="5" s="1"/>
  <c r="T94" i="5"/>
  <c r="W94" i="5" s="1"/>
  <c r="T95" i="5"/>
  <c r="W95" i="5" s="1"/>
  <c r="T96" i="5"/>
  <c r="W96" i="5" s="1"/>
  <c r="T97" i="5"/>
  <c r="V97" i="5" s="1"/>
  <c r="T98" i="5"/>
  <c r="W98" i="5" s="1"/>
  <c r="T99" i="5"/>
  <c r="W99" i="5" s="1"/>
  <c r="T100" i="5"/>
  <c r="W100" i="5" s="1"/>
  <c r="T101" i="5"/>
  <c r="V101" i="5" s="1"/>
  <c r="T102" i="5"/>
  <c r="W102" i="5" s="1"/>
  <c r="T103" i="5"/>
  <c r="W103" i="5" s="1"/>
  <c r="T104" i="5"/>
  <c r="V104" i="5" s="1"/>
  <c r="T105" i="5"/>
  <c r="V105" i="5" s="1"/>
  <c r="T106" i="5"/>
  <c r="W106" i="5" s="1"/>
  <c r="T107" i="5"/>
  <c r="W107" i="5" s="1"/>
  <c r="T108" i="5"/>
  <c r="W108" i="5" s="1"/>
  <c r="T109" i="5"/>
  <c r="W109" i="5" s="1"/>
  <c r="T110" i="5"/>
  <c r="W110" i="5" s="1"/>
  <c r="T111" i="5"/>
  <c r="W111" i="5" s="1"/>
  <c r="T112" i="5"/>
  <c r="W112" i="5" s="1"/>
  <c r="T113" i="5"/>
  <c r="W113" i="5" s="1"/>
  <c r="T114" i="5"/>
  <c r="V114" i="5" s="1"/>
  <c r="T115" i="5"/>
  <c r="V115" i="5" s="1"/>
  <c r="T116" i="5"/>
  <c r="W116" i="5" s="1"/>
  <c r="T117" i="5"/>
  <c r="W117" i="5" s="1"/>
  <c r="T118" i="5"/>
  <c r="V118" i="5" s="1"/>
  <c r="T119" i="5"/>
  <c r="W119" i="5" s="1"/>
  <c r="T120" i="5"/>
  <c r="W120" i="5" s="1"/>
  <c r="T121" i="5"/>
  <c r="V121" i="5" s="1"/>
  <c r="T122" i="5"/>
  <c r="V122" i="5" s="1"/>
  <c r="T123" i="5"/>
  <c r="W123" i="5" s="1"/>
  <c r="T124" i="5"/>
  <c r="W124" i="5" s="1"/>
  <c r="T125" i="5"/>
  <c r="V125" i="5" s="1"/>
  <c r="T126" i="5"/>
  <c r="V126" i="5" s="1"/>
  <c r="T127" i="5"/>
  <c r="V127" i="5" s="1"/>
  <c r="T128" i="5"/>
  <c r="W128" i="5" s="1"/>
  <c r="T129" i="5"/>
  <c r="W129" i="5" s="1"/>
  <c r="T130" i="5"/>
  <c r="W130" i="5" s="1"/>
  <c r="T131" i="5"/>
  <c r="W131" i="5" s="1"/>
  <c r="T132" i="5"/>
  <c r="V132" i="5" s="1"/>
  <c r="T133" i="5"/>
  <c r="V133" i="5" s="1"/>
  <c r="T134" i="5"/>
  <c r="W134" i="5" s="1"/>
  <c r="T135" i="5"/>
  <c r="W135" i="5" s="1"/>
  <c r="T136" i="5"/>
  <c r="V136" i="5" s="1"/>
  <c r="T137" i="5"/>
  <c r="W137" i="5" s="1"/>
  <c r="T138" i="5"/>
  <c r="W138" i="5" s="1"/>
  <c r="T139" i="5"/>
  <c r="V139" i="5" s="1"/>
  <c r="T140" i="5"/>
  <c r="V140" i="5" s="1"/>
  <c r="T141" i="5"/>
  <c r="W141" i="5" s="1"/>
  <c r="T142" i="5"/>
  <c r="V142" i="5" s="1"/>
  <c r="T143" i="5"/>
  <c r="W143" i="5" s="1"/>
  <c r="T144" i="5"/>
  <c r="W144" i="5" s="1"/>
  <c r="T145" i="5"/>
  <c r="V145" i="5" s="1"/>
  <c r="T146" i="5"/>
  <c r="W146" i="5" s="1"/>
  <c r="T147" i="5"/>
  <c r="W147" i="5" s="1"/>
  <c r="T148" i="5"/>
  <c r="W148" i="5" s="1"/>
  <c r="T149" i="5"/>
  <c r="V149" i="5" s="1"/>
  <c r="T150" i="5"/>
  <c r="W150" i="5" s="1"/>
  <c r="T151" i="5"/>
  <c r="W151" i="5" s="1"/>
  <c r="T152" i="5"/>
  <c r="V152" i="5" s="1"/>
  <c r="T153" i="5"/>
  <c r="V153" i="5" s="1"/>
  <c r="T154" i="5"/>
  <c r="W154" i="5" s="1"/>
  <c r="T155" i="5"/>
  <c r="V155" i="5" s="1"/>
  <c r="T156" i="5"/>
  <c r="V156" i="5" s="1"/>
  <c r="T157" i="5"/>
  <c r="W157" i="5" s="1"/>
  <c r="T158" i="5"/>
  <c r="W158" i="5" s="1"/>
  <c r="T159" i="5"/>
  <c r="V159" i="5" s="1"/>
  <c r="T160" i="5"/>
  <c r="W160" i="5" s="1"/>
  <c r="T161" i="5"/>
  <c r="W161" i="5" s="1"/>
  <c r="T162" i="5"/>
  <c r="W162" i="5" s="1"/>
  <c r="T163" i="5"/>
  <c r="V163" i="5" s="1"/>
  <c r="T164" i="5"/>
  <c r="W164" i="5" s="1"/>
  <c r="T165" i="5"/>
  <c r="W165" i="5" s="1"/>
  <c r="T166" i="5"/>
  <c r="V166" i="5" s="1"/>
  <c r="T167" i="5"/>
  <c r="V167" i="5" s="1"/>
  <c r="T168" i="5"/>
  <c r="W168" i="5" s="1"/>
  <c r="T169" i="5"/>
  <c r="W169" i="5" s="1"/>
  <c r="T170" i="5"/>
  <c r="V170" i="5" s="1"/>
  <c r="T171" i="5"/>
  <c r="V171" i="5" s="1"/>
  <c r="T172" i="5"/>
  <c r="V172" i="5" s="1"/>
  <c r="T173" i="5"/>
  <c r="V173" i="5" s="1"/>
  <c r="T174" i="5"/>
  <c r="V174" i="5" s="1"/>
  <c r="T175" i="5"/>
  <c r="V175" i="5" s="1"/>
  <c r="T176" i="5"/>
  <c r="W176" i="5" s="1"/>
  <c r="T177" i="5"/>
  <c r="W177" i="5" s="1"/>
  <c r="T178" i="5"/>
  <c r="V178" i="5" s="1"/>
  <c r="T179" i="5"/>
  <c r="W179" i="5" s="1"/>
  <c r="T180" i="5"/>
  <c r="W180" i="5" s="1"/>
  <c r="T181" i="5"/>
  <c r="V181" i="5" s="1"/>
  <c r="T182" i="5"/>
  <c r="V182" i="5" s="1"/>
  <c r="T183" i="5"/>
  <c r="V183" i="5" s="1"/>
  <c r="T184" i="5"/>
  <c r="V184" i="5" s="1"/>
  <c r="T185" i="5"/>
  <c r="W185" i="5" s="1"/>
  <c r="T186" i="5"/>
  <c r="W186" i="5" s="1"/>
  <c r="T187" i="5"/>
  <c r="V187" i="5" s="1"/>
  <c r="T188" i="5"/>
  <c r="V188" i="5" s="1"/>
  <c r="T189" i="5"/>
  <c r="V189" i="5" s="1"/>
  <c r="T190" i="5"/>
  <c r="W190" i="5" s="1"/>
  <c r="T191" i="5"/>
  <c r="W191" i="5" s="1"/>
  <c r="T192" i="5"/>
  <c r="W192" i="5" s="1"/>
  <c r="T193" i="5"/>
  <c r="V193" i="5" s="1"/>
  <c r="T194" i="5"/>
  <c r="W194" i="5" s="1"/>
  <c r="T195" i="5"/>
  <c r="W195" i="5" s="1"/>
  <c r="T196" i="5"/>
  <c r="V196" i="5" s="1"/>
  <c r="T197" i="5"/>
  <c r="W197" i="5" s="1"/>
  <c r="T198" i="5"/>
  <c r="W198" i="5" s="1"/>
  <c r="T199" i="5"/>
  <c r="V199" i="5" s="1"/>
  <c r="T200" i="5"/>
  <c r="W200" i="5" s="1"/>
  <c r="T201" i="5"/>
  <c r="W201" i="5" s="1"/>
  <c r="T202" i="5"/>
  <c r="W202" i="5" s="1"/>
  <c r="T203" i="5"/>
  <c r="W203" i="5" s="1"/>
  <c r="T204" i="5"/>
  <c r="V204" i="5" s="1"/>
  <c r="T205" i="5"/>
  <c r="W205" i="5" s="1"/>
  <c r="T206" i="5"/>
  <c r="W206" i="5" s="1"/>
  <c r="T207" i="5"/>
  <c r="V207" i="5" s="1"/>
  <c r="T208" i="5"/>
  <c r="V208" i="5" s="1"/>
  <c r="T209" i="5"/>
  <c r="V209" i="5" s="1"/>
  <c r="T210" i="5"/>
  <c r="V210" i="5" s="1"/>
  <c r="T211" i="5"/>
  <c r="W211" i="5" s="1"/>
  <c r="T212" i="5"/>
  <c r="V212" i="5" s="1"/>
  <c r="T213" i="5"/>
  <c r="W213" i="5" s="1"/>
  <c r="T214" i="5"/>
  <c r="W214" i="5" s="1"/>
  <c r="T215" i="5"/>
  <c r="V215" i="5" s="1"/>
  <c r="T216" i="5"/>
  <c r="V216" i="5" s="1"/>
  <c r="T217" i="5"/>
  <c r="V217" i="5" s="1"/>
  <c r="T218" i="5"/>
  <c r="W218" i="5" s="1"/>
  <c r="T219" i="5"/>
  <c r="W219" i="5" s="1"/>
  <c r="T220" i="5"/>
  <c r="V220" i="5" s="1"/>
  <c r="T221" i="5"/>
  <c r="V221" i="5" s="1"/>
  <c r="T222" i="5"/>
  <c r="V222" i="5" s="1"/>
  <c r="T223" i="5"/>
  <c r="W223" i="5" s="1"/>
  <c r="T224" i="5"/>
  <c r="W224" i="5" s="1"/>
  <c r="T225" i="5"/>
  <c r="W225" i="5" s="1"/>
  <c r="T226" i="5"/>
  <c r="V226" i="5" s="1"/>
  <c r="T227" i="5"/>
  <c r="W227" i="5" s="1"/>
  <c r="T228" i="5"/>
  <c r="W228" i="5" s="1"/>
  <c r="T229" i="5"/>
  <c r="V229" i="5" s="1"/>
  <c r="T230" i="5"/>
  <c r="V230" i="5" s="1"/>
  <c r="T231" i="5"/>
  <c r="W231" i="5" s="1"/>
  <c r="T232" i="5"/>
  <c r="W232" i="5" s="1"/>
  <c r="T233" i="5"/>
  <c r="V233" i="5" s="1"/>
  <c r="T234" i="5"/>
  <c r="V234" i="5" s="1"/>
  <c r="T235" i="5"/>
  <c r="V235" i="5" s="1"/>
  <c r="T236" i="5"/>
  <c r="V236" i="5" s="1"/>
  <c r="T237" i="5"/>
  <c r="W237" i="5" s="1"/>
  <c r="T238" i="5"/>
  <c r="W238" i="5" s="1"/>
  <c r="T239" i="5"/>
  <c r="V239" i="5" s="1"/>
  <c r="T240" i="5"/>
  <c r="W240" i="5" s="1"/>
  <c r="T241" i="5"/>
  <c r="W241" i="5" s="1"/>
  <c r="T242" i="5"/>
  <c r="V242" i="5" s="1"/>
  <c r="T243" i="5"/>
  <c r="W243" i="5" s="1"/>
  <c r="T244" i="5"/>
  <c r="W244" i="5" s="1"/>
  <c r="T245" i="5"/>
  <c r="V245" i="5" s="1"/>
  <c r="T246" i="5"/>
  <c r="V246" i="5" s="1"/>
  <c r="T247" i="5"/>
  <c r="V247" i="5" s="1"/>
  <c r="T248" i="5"/>
  <c r="W248" i="5" s="1"/>
  <c r="T249" i="5"/>
  <c r="W249" i="5" s="1"/>
  <c r="T250" i="5"/>
  <c r="V250" i="5" s="1"/>
  <c r="T251" i="5"/>
  <c r="W251" i="5" s="1"/>
  <c r="T252" i="5"/>
  <c r="V252" i="5" s="1"/>
  <c r="T253" i="5"/>
  <c r="W253" i="5" s="1"/>
  <c r="T254" i="5"/>
  <c r="W254" i="5" s="1"/>
  <c r="T255" i="5"/>
  <c r="V255" i="5" s="1"/>
  <c r="T256" i="5"/>
  <c r="W256" i="5" s="1"/>
  <c r="T257" i="5"/>
  <c r="W257" i="5" s="1"/>
  <c r="T258" i="5"/>
  <c r="W258" i="5" s="1"/>
  <c r="T259" i="5"/>
  <c r="V259" i="5" s="1"/>
  <c r="T260" i="5"/>
  <c r="W260" i="5" s="1"/>
  <c r="T261" i="5"/>
  <c r="W261" i="5" s="1"/>
  <c r="T262" i="5"/>
  <c r="V262" i="5" s="1"/>
  <c r="T263" i="5"/>
  <c r="V263" i="5" s="1"/>
  <c r="T264" i="5"/>
  <c r="W264" i="5" s="1"/>
  <c r="T265" i="5"/>
  <c r="W265" i="5" s="1"/>
  <c r="T266" i="5"/>
  <c r="V266" i="5" s="1"/>
  <c r="T267" i="5"/>
  <c r="W267" i="5" s="1"/>
  <c r="T268" i="5"/>
  <c r="W268" i="5" s="1"/>
  <c r="T269" i="5"/>
  <c r="W269" i="5" s="1"/>
  <c r="T270" i="5"/>
  <c r="W270" i="5" s="1"/>
  <c r="T271" i="5"/>
  <c r="V271" i="5" s="1"/>
  <c r="T272" i="5"/>
  <c r="V272" i="5" s="1"/>
  <c r="T273" i="5"/>
  <c r="W273" i="5" s="1"/>
  <c r="T274" i="5"/>
  <c r="W274" i="5" s="1"/>
  <c r="T275" i="5"/>
  <c r="V275" i="5" s="1"/>
  <c r="T276" i="5"/>
  <c r="V276" i="5" s="1"/>
  <c r="T277" i="5"/>
  <c r="V277" i="5" s="1"/>
  <c r="T278" i="5"/>
  <c r="V278" i="5" s="1"/>
  <c r="T279" i="5"/>
  <c r="W279" i="5" s="1"/>
  <c r="T280" i="5"/>
  <c r="W280" i="5" s="1"/>
  <c r="T281" i="5"/>
  <c r="W281" i="5" s="1"/>
  <c r="T282" i="5"/>
  <c r="W282" i="5" s="1"/>
  <c r="T283" i="5"/>
  <c r="V283" i="5" s="1"/>
  <c r="T284" i="5"/>
  <c r="W284" i="5" s="1"/>
  <c r="T285" i="5"/>
  <c r="W285" i="5" s="1"/>
  <c r="T286" i="5"/>
  <c r="V286" i="5" s="1"/>
  <c r="T287" i="5"/>
  <c r="W287" i="5" s="1"/>
  <c r="T288" i="5"/>
  <c r="W288" i="5" s="1"/>
  <c r="T289" i="5"/>
  <c r="V289" i="5" s="1"/>
  <c r="T290" i="5"/>
  <c r="W290" i="5" s="1"/>
  <c r="T291" i="5"/>
  <c r="W291" i="5" s="1"/>
  <c r="T292" i="5"/>
  <c r="W292" i="5" s="1"/>
  <c r="T293" i="5"/>
  <c r="V293" i="5" s="1"/>
  <c r="T294" i="5"/>
  <c r="V294" i="5" s="1"/>
  <c r="T295" i="5"/>
  <c r="W295" i="5" s="1"/>
  <c r="T296" i="5"/>
  <c r="W296" i="5" s="1"/>
  <c r="T297" i="5"/>
  <c r="W297" i="5" s="1"/>
  <c r="T298" i="5"/>
  <c r="V298" i="5" s="1"/>
  <c r="T299" i="5"/>
  <c r="W299" i="5" s="1"/>
  <c r="T300" i="5"/>
  <c r="W300" i="5" s="1"/>
  <c r="T301" i="5"/>
  <c r="V301" i="5" s="1"/>
  <c r="T302" i="5"/>
  <c r="W302" i="5" s="1"/>
  <c r="T303" i="5"/>
  <c r="W303" i="5" s="1"/>
  <c r="T304" i="5"/>
  <c r="V304" i="5" s="1"/>
  <c r="T305" i="5"/>
  <c r="V305" i="5" s="1"/>
  <c r="T306" i="5"/>
  <c r="W306" i="5" s="1"/>
  <c r="T307" i="5"/>
  <c r="W307" i="5" s="1"/>
  <c r="T308" i="5"/>
  <c r="V308" i="5" s="1"/>
  <c r="T309" i="5"/>
  <c r="V309" i="5" s="1"/>
  <c r="T310" i="5"/>
  <c r="W310" i="5" s="1"/>
  <c r="T311" i="5"/>
  <c r="W311" i="5" s="1"/>
  <c r="T312" i="5"/>
  <c r="V312" i="5" s="1"/>
  <c r="T313" i="5"/>
  <c r="V313" i="5" s="1"/>
  <c r="T314" i="5"/>
  <c r="V314" i="5" s="1"/>
  <c r="T315" i="5"/>
  <c r="W315" i="5" s="1"/>
  <c r="T316" i="5"/>
  <c r="W316" i="5" s="1"/>
  <c r="T317" i="5"/>
  <c r="V317" i="5" s="1"/>
  <c r="T318" i="5"/>
  <c r="V318" i="5" s="1"/>
  <c r="T319" i="5"/>
  <c r="W319" i="5" s="1"/>
  <c r="T320" i="5"/>
  <c r="W320" i="5" s="1"/>
  <c r="T321" i="5"/>
  <c r="V321" i="5" s="1"/>
  <c r="T322" i="5"/>
  <c r="V322" i="5" s="1"/>
  <c r="T323" i="5"/>
  <c r="V323" i="5" s="1"/>
  <c r="T324" i="5"/>
  <c r="W324" i="5" s="1"/>
  <c r="T325" i="5"/>
  <c r="W325" i="5" s="1"/>
  <c r="T326" i="5"/>
  <c r="V326" i="5" s="1"/>
  <c r="T327" i="5"/>
  <c r="W327" i="5" s="1"/>
  <c r="T328" i="5"/>
  <c r="W328" i="5" s="1"/>
  <c r="T329" i="5"/>
  <c r="V329" i="5" s="1"/>
  <c r="T330" i="5"/>
  <c r="V330" i="5" s="1"/>
  <c r="T331" i="5"/>
  <c r="V331" i="5" s="1"/>
  <c r="T332" i="5"/>
  <c r="V332" i="5" s="1"/>
  <c r="T333" i="5"/>
  <c r="W333" i="5" s="1"/>
  <c r="T334" i="5"/>
  <c r="W334" i="5" s="1"/>
  <c r="T335" i="5"/>
  <c r="W335" i="5" s="1"/>
  <c r="T336" i="5"/>
  <c r="W336" i="5" s="1"/>
  <c r="T337" i="5"/>
  <c r="V337" i="5" s="1"/>
  <c r="T338" i="5"/>
  <c r="W338" i="5" s="1"/>
  <c r="T339" i="5"/>
  <c r="W339" i="5" s="1"/>
  <c r="T340" i="5"/>
  <c r="V340" i="5" s="1"/>
  <c r="T341" i="5"/>
  <c r="V341" i="5" s="1"/>
  <c r="T342" i="5"/>
  <c r="V342" i="5" s="1"/>
  <c r="T343" i="5"/>
  <c r="W343" i="5" s="1"/>
  <c r="T344" i="5"/>
  <c r="W344" i="5" s="1"/>
  <c r="T345" i="5"/>
  <c r="W345" i="5" s="1"/>
  <c r="T346" i="5"/>
  <c r="W346" i="5" s="1"/>
  <c r="T347" i="5"/>
  <c r="V347" i="5" s="1"/>
  <c r="T348" i="5"/>
  <c r="W348" i="5" s="1"/>
  <c r="T349" i="5"/>
  <c r="W349" i="5" s="1"/>
  <c r="T350" i="5"/>
  <c r="V350" i="5" s="1"/>
  <c r="T351" i="5"/>
  <c r="V351" i="5" s="1"/>
  <c r="T352" i="5"/>
  <c r="W352" i="5" s="1"/>
  <c r="T353" i="5"/>
  <c r="V353" i="5" s="1"/>
  <c r="T354" i="5"/>
  <c r="W354" i="5" s="1"/>
  <c r="T355" i="5"/>
  <c r="W355" i="5" s="1"/>
  <c r="T356" i="5"/>
  <c r="V356" i="5" s="1"/>
  <c r="T357" i="5"/>
  <c r="W357" i="5" s="1"/>
  <c r="T358" i="5"/>
  <c r="V358" i="5" s="1"/>
  <c r="T359" i="5"/>
  <c r="W359" i="5" s="1"/>
  <c r="T360" i="5"/>
  <c r="W360" i="5" s="1"/>
  <c r="T361" i="5"/>
  <c r="W361" i="5" s="1"/>
  <c r="T362" i="5"/>
  <c r="V362" i="5" s="1"/>
  <c r="T363" i="5"/>
  <c r="V363" i="5" s="1"/>
  <c r="T364" i="5"/>
  <c r="W364" i="5" s="1"/>
  <c r="T365" i="5"/>
  <c r="W365" i="5" s="1"/>
  <c r="T366" i="5"/>
  <c r="V366" i="5" s="1"/>
  <c r="T367" i="5"/>
  <c r="V367" i="5" s="1"/>
  <c r="T368" i="5"/>
  <c r="V368" i="5" s="1"/>
  <c r="T369" i="5"/>
  <c r="W369" i="5" s="1"/>
  <c r="T370" i="5"/>
  <c r="W370" i="5" s="1"/>
  <c r="T371" i="5"/>
  <c r="V371" i="5" s="1"/>
  <c r="T372" i="5"/>
  <c r="W372" i="5" s="1"/>
  <c r="T373" i="5"/>
  <c r="W373" i="5" s="1"/>
  <c r="T374" i="5"/>
  <c r="V374" i="5" s="1"/>
  <c r="T375" i="5"/>
  <c r="W375" i="5" s="1"/>
  <c r="T376" i="5"/>
  <c r="W376" i="5" s="1"/>
  <c r="T377" i="5"/>
  <c r="V377" i="5" s="1"/>
  <c r="T378" i="5"/>
  <c r="V378" i="5" s="1"/>
  <c r="T379" i="5"/>
  <c r="W379" i="5" s="1"/>
  <c r="T380" i="5"/>
  <c r="W380" i="5" s="1"/>
  <c r="T381" i="5"/>
  <c r="V381" i="5" s="1"/>
  <c r="T382" i="5"/>
  <c r="V382" i="5" s="1"/>
  <c r="T383" i="5"/>
  <c r="W383" i="5" s="1"/>
  <c r="T384" i="5"/>
  <c r="W384" i="5" s="1"/>
  <c r="T385" i="5"/>
  <c r="W385" i="5" s="1"/>
  <c r="T386" i="5"/>
  <c r="W386" i="5" s="1"/>
  <c r="T387" i="5"/>
  <c r="W387" i="5" s="1"/>
  <c r="T388" i="5"/>
  <c r="V388" i="5" s="1"/>
  <c r="T389" i="5"/>
  <c r="V389" i="5" s="1"/>
  <c r="T390" i="5"/>
  <c r="V390" i="5" s="1"/>
  <c r="T391" i="5"/>
  <c r="W391" i="5" s="1"/>
  <c r="T392" i="5"/>
  <c r="W392" i="5" s="1"/>
  <c r="T393" i="5"/>
  <c r="W393" i="5" s="1"/>
  <c r="T394" i="5"/>
  <c r="W394" i="5" s="1"/>
  <c r="T395" i="5"/>
  <c r="V395" i="5" s="1"/>
  <c r="T396" i="5"/>
  <c r="V396" i="5" s="1"/>
  <c r="T397" i="5"/>
  <c r="W397" i="5" s="1"/>
  <c r="T398" i="5"/>
  <c r="W398" i="5" s="1"/>
  <c r="T399" i="5"/>
  <c r="V399" i="5" s="1"/>
  <c r="T400" i="5"/>
  <c r="V400" i="5" s="1"/>
  <c r="T401" i="5"/>
  <c r="W401" i="5" s="1"/>
  <c r="T402" i="5"/>
  <c r="W402" i="5" s="1"/>
  <c r="T403" i="5"/>
  <c r="V403" i="5" s="1"/>
  <c r="T404" i="5"/>
  <c r="V404" i="5" s="1"/>
  <c r="T405" i="5"/>
  <c r="W405" i="5" s="1"/>
  <c r="T406" i="5"/>
  <c r="W406" i="5" s="1"/>
  <c r="T407" i="5"/>
  <c r="V407" i="5" s="1"/>
  <c r="T408" i="5"/>
  <c r="W408" i="5" s="1"/>
  <c r="T409" i="5"/>
  <c r="W409" i="5" s="1"/>
  <c r="T410" i="5"/>
  <c r="V410" i="5" s="1"/>
  <c r="T411" i="5"/>
  <c r="W411" i="5" s="1"/>
  <c r="T412" i="5"/>
  <c r="W412" i="5" s="1"/>
  <c r="T413" i="5"/>
  <c r="V413" i="5" s="1"/>
  <c r="T414" i="5"/>
  <c r="V414" i="5" s="1"/>
  <c r="T415" i="5"/>
  <c r="W415" i="5" s="1"/>
  <c r="T416" i="5"/>
  <c r="W416" i="5" s="1"/>
  <c r="T417" i="5"/>
  <c r="V417" i="5" s="1"/>
  <c r="T418" i="5"/>
  <c r="V418" i="5" s="1"/>
  <c r="T419" i="5"/>
  <c r="W419" i="5" s="1"/>
  <c r="T420" i="5"/>
  <c r="W420" i="5" s="1"/>
  <c r="T421" i="5"/>
  <c r="V421" i="5" s="1"/>
  <c r="T422" i="5"/>
  <c r="W422" i="5" s="1"/>
  <c r="T423" i="5"/>
  <c r="W423" i="5" s="1"/>
  <c r="T424" i="5"/>
  <c r="V424" i="5" s="1"/>
  <c r="T425" i="5"/>
  <c r="V425" i="5" s="1"/>
  <c r="T426" i="5"/>
  <c r="W426" i="5" s="1"/>
  <c r="T427" i="5"/>
  <c r="W427" i="5" s="1"/>
  <c r="T428" i="5"/>
  <c r="V428" i="5" s="1"/>
  <c r="T429" i="5"/>
  <c r="W429" i="5" s="1"/>
  <c r="T430" i="5"/>
  <c r="W430" i="5" s="1"/>
  <c r="T431" i="5"/>
  <c r="V431" i="5" s="1"/>
  <c r="T432" i="5"/>
  <c r="V432" i="5" s="1"/>
  <c r="T433" i="5"/>
  <c r="V433" i="5" s="1"/>
  <c r="T434" i="5"/>
  <c r="V434" i="5" s="1"/>
  <c r="T435" i="5"/>
  <c r="W435" i="5" s="1"/>
  <c r="T436" i="5"/>
  <c r="V436" i="5" s="1"/>
  <c r="T437" i="5"/>
  <c r="W437" i="5" s="1"/>
  <c r="T438" i="5"/>
  <c r="W438" i="5" s="1"/>
  <c r="T439" i="5"/>
  <c r="V439" i="5" s="1"/>
  <c r="T440" i="5"/>
  <c r="V440" i="5" s="1"/>
  <c r="T441" i="5"/>
  <c r="V441" i="5" s="1"/>
  <c r="T442" i="5"/>
  <c r="W442" i="5" s="1"/>
  <c r="T443" i="5"/>
  <c r="W443" i="5" s="1"/>
  <c r="T444" i="5"/>
  <c r="V444" i="5" s="1"/>
  <c r="T445" i="5"/>
  <c r="V445" i="5" s="1"/>
  <c r="T446" i="5"/>
  <c r="W446" i="5" s="1"/>
  <c r="T447" i="5"/>
  <c r="W447" i="5" s="1"/>
  <c r="T448" i="5"/>
  <c r="V448" i="5" s="1"/>
  <c r="T449" i="5"/>
  <c r="W449" i="5" s="1"/>
  <c r="T450" i="5"/>
  <c r="W450" i="5" s="1"/>
  <c r="T451" i="5"/>
  <c r="V451" i="5" s="1"/>
  <c r="T452" i="5"/>
  <c r="V452" i="5" s="1"/>
  <c r="T453" i="5"/>
  <c r="W453" i="5" s="1"/>
  <c r="T454" i="5"/>
  <c r="V454" i="5" s="1"/>
  <c r="T455" i="5"/>
  <c r="V455" i="5" s="1"/>
  <c r="T456" i="5"/>
  <c r="W456" i="5" s="1"/>
  <c r="T457" i="5"/>
  <c r="W457" i="5" s="1"/>
  <c r="T458" i="5"/>
  <c r="V458" i="5" s="1"/>
  <c r="T459" i="5"/>
  <c r="V459" i="5" s="1"/>
  <c r="T460" i="5"/>
  <c r="W460" i="5" s="1"/>
  <c r="T461" i="5"/>
  <c r="W461" i="5" s="1"/>
  <c r="T462" i="5"/>
  <c r="W462" i="5" s="1"/>
  <c r="T463" i="5"/>
  <c r="W463" i="5" s="1"/>
  <c r="T464" i="5"/>
  <c r="V464" i="5" s="1"/>
  <c r="T465" i="5"/>
  <c r="V465" i="5" s="1"/>
  <c r="T466" i="5"/>
  <c r="V466" i="5" s="1"/>
  <c r="T467" i="5"/>
  <c r="W467" i="5" s="1"/>
  <c r="T468" i="5"/>
  <c r="W468" i="5" s="1"/>
  <c r="T469" i="5"/>
  <c r="V469" i="5" s="1"/>
  <c r="T470" i="5"/>
  <c r="V470" i="5" s="1"/>
  <c r="T471" i="5"/>
  <c r="W471" i="5" s="1"/>
  <c r="T472" i="5"/>
  <c r="W472" i="5" s="1"/>
  <c r="T473" i="5"/>
  <c r="V473" i="5" s="1"/>
  <c r="T474" i="5"/>
  <c r="V474" i="5" s="1"/>
  <c r="T475" i="5"/>
  <c r="W475" i="5" s="1"/>
  <c r="T476" i="5"/>
  <c r="W476" i="5" s="1"/>
  <c r="T477" i="5"/>
  <c r="V477" i="5" s="1"/>
  <c r="T478" i="5"/>
  <c r="V478" i="5" s="1"/>
  <c r="T479" i="5"/>
  <c r="V479" i="5" s="1"/>
  <c r="T480" i="5"/>
  <c r="W480" i="5" s="1"/>
  <c r="T481" i="5"/>
  <c r="W481" i="5" s="1"/>
  <c r="T482" i="5"/>
  <c r="V482" i="5" s="1"/>
  <c r="T483" i="5"/>
  <c r="W483" i="5" s="1"/>
  <c r="T484" i="5"/>
  <c r="V484" i="5" s="1"/>
  <c r="T485" i="5"/>
  <c r="V485" i="5" s="1"/>
  <c r="T486" i="5"/>
  <c r="W486" i="5" s="1"/>
  <c r="T487" i="5"/>
  <c r="W487" i="5" s="1"/>
  <c r="T488" i="5"/>
  <c r="V488" i="5" s="1"/>
  <c r="T489" i="5"/>
  <c r="V489" i="5" s="1"/>
  <c r="T490" i="5"/>
  <c r="W490" i="5" s="1"/>
  <c r="T491" i="5"/>
  <c r="W491" i="5" s="1"/>
  <c r="T492" i="5"/>
  <c r="V492" i="5" s="1"/>
  <c r="T493" i="5"/>
  <c r="V493" i="5" s="1"/>
  <c r="T494" i="5"/>
  <c r="W494" i="5" s="1"/>
  <c r="T495" i="5"/>
  <c r="V495" i="5" s="1"/>
  <c r="T496" i="5"/>
  <c r="W496" i="5" s="1"/>
  <c r="T497" i="5"/>
  <c r="W497" i="5" s="1"/>
  <c r="T498" i="5"/>
  <c r="V498" i="5" s="1"/>
  <c r="T499" i="5"/>
  <c r="W499" i="5" s="1"/>
  <c r="T500" i="5"/>
  <c r="W500" i="5" s="1"/>
  <c r="T501" i="5"/>
  <c r="V501" i="5" s="1"/>
  <c r="T502" i="5"/>
  <c r="W502" i="5" s="1"/>
  <c r="T503" i="5"/>
  <c r="W503" i="5" s="1"/>
  <c r="T504" i="5"/>
  <c r="V504" i="5" s="1"/>
  <c r="T505" i="5"/>
  <c r="V505" i="5" s="1"/>
  <c r="T506" i="5"/>
  <c r="W506" i="5" s="1"/>
  <c r="T507" i="5"/>
  <c r="W507" i="5" s="1"/>
  <c r="T508" i="5"/>
  <c r="V508" i="5" s="1"/>
  <c r="T509" i="5"/>
  <c r="W509" i="5" s="1"/>
  <c r="T510" i="5"/>
  <c r="W510" i="5" s="1"/>
  <c r="T511" i="5"/>
  <c r="V511" i="5" s="1"/>
  <c r="T512" i="5"/>
  <c r="V512" i="5" s="1"/>
  <c r="T513" i="5"/>
  <c r="V513" i="5" s="1"/>
  <c r="T514" i="5"/>
  <c r="W514" i="5" s="1"/>
  <c r="T515" i="5"/>
  <c r="W515" i="5" s="1"/>
  <c r="T516" i="5"/>
  <c r="V516" i="5" s="1"/>
  <c r="T517" i="5"/>
  <c r="V517" i="5" s="1"/>
  <c r="T518" i="5"/>
  <c r="V518" i="5" s="1"/>
  <c r="T519" i="5"/>
  <c r="V519" i="5" s="1"/>
  <c r="T520" i="5"/>
  <c r="W520" i="5" s="1"/>
  <c r="T521" i="5"/>
  <c r="W521" i="5" s="1"/>
  <c r="T522" i="5"/>
  <c r="V522" i="5" s="1"/>
  <c r="T523" i="5"/>
  <c r="W523" i="5" s="1"/>
  <c r="T524" i="5"/>
  <c r="W524" i="5" s="1"/>
  <c r="T525" i="5"/>
  <c r="W525" i="5" s="1"/>
  <c r="T526" i="5"/>
  <c r="V526" i="5" s="1"/>
  <c r="T527" i="5"/>
  <c r="V527" i="5" s="1"/>
  <c r="T528" i="5"/>
  <c r="V528" i="5" s="1"/>
  <c r="T529" i="5"/>
  <c r="W529" i="5" s="1"/>
  <c r="T530" i="5"/>
  <c r="W530" i="5" s="1"/>
  <c r="T531" i="5"/>
  <c r="V531" i="5" s="1"/>
  <c r="T532" i="5"/>
  <c r="W532" i="5" s="1"/>
  <c r="T533" i="5"/>
  <c r="W533" i="5" s="1"/>
  <c r="T534" i="5"/>
  <c r="V534" i="5" s="1"/>
  <c r="T535" i="5"/>
  <c r="V535" i="5" s="1"/>
  <c r="T536" i="5"/>
  <c r="V536" i="5" s="1"/>
  <c r="T537" i="5"/>
  <c r="V537" i="5" s="1"/>
  <c r="T538" i="5"/>
  <c r="V538" i="5" s="1"/>
  <c r="T539" i="5"/>
  <c r="W539" i="5" s="1"/>
  <c r="T540" i="5"/>
  <c r="W540" i="5" s="1"/>
  <c r="T541" i="5"/>
  <c r="V541" i="5" s="1"/>
  <c r="T542" i="5"/>
  <c r="V542" i="5" s="1"/>
  <c r="T543" i="5"/>
  <c r="V543" i="5" s="1"/>
  <c r="T544" i="5"/>
  <c r="V544" i="5" s="1"/>
  <c r="T545" i="5"/>
  <c r="W545" i="5" s="1"/>
  <c r="T546" i="5"/>
  <c r="W546" i="5" s="1"/>
  <c r="T547" i="5"/>
  <c r="W547" i="5" s="1"/>
  <c r="T548" i="5"/>
  <c r="W548" i="5" s="1"/>
  <c r="T549" i="5"/>
  <c r="V549" i="5" s="1"/>
  <c r="T550" i="5"/>
  <c r="V550" i="5" s="1"/>
  <c r="T551" i="5"/>
  <c r="V551" i="5" s="1"/>
  <c r="T552" i="5"/>
  <c r="W552" i="5" s="1"/>
  <c r="T553" i="5"/>
  <c r="W553" i="5" s="1"/>
  <c r="T554" i="5"/>
  <c r="W554" i="5" s="1"/>
  <c r="T555" i="5"/>
  <c r="V555" i="5" s="1"/>
  <c r="T556" i="5"/>
  <c r="V556" i="5" s="1"/>
  <c r="T557" i="5"/>
  <c r="V557" i="5" s="1"/>
  <c r="T558" i="5"/>
  <c r="V558" i="5" s="1"/>
  <c r="T559" i="5"/>
  <c r="W559" i="5" s="1"/>
  <c r="T560" i="5"/>
  <c r="V560" i="5" s="1"/>
  <c r="T561" i="5"/>
  <c r="V561" i="5" s="1"/>
  <c r="T562" i="5"/>
  <c r="W562" i="5" s="1"/>
  <c r="T563" i="5"/>
  <c r="W563" i="5" s="1"/>
  <c r="T564" i="5"/>
  <c r="V564" i="5" s="1"/>
  <c r="T565" i="5"/>
  <c r="V565" i="5" s="1"/>
  <c r="T566" i="5"/>
  <c r="V566" i="5" s="1"/>
  <c r="T567" i="5"/>
  <c r="V567" i="5" s="1"/>
  <c r="T568" i="5"/>
  <c r="W568" i="5" s="1"/>
  <c r="T569" i="5"/>
  <c r="W569" i="5" s="1"/>
  <c r="T570" i="5"/>
  <c r="V570" i="5" s="1"/>
  <c r="T571" i="5"/>
  <c r="V571" i="5" s="1"/>
  <c r="T572" i="5"/>
  <c r="W572" i="5" s="1"/>
  <c r="T573" i="5"/>
  <c r="W573" i="5" s="1"/>
  <c r="T574" i="5"/>
  <c r="V574" i="5" s="1"/>
  <c r="T575" i="5"/>
  <c r="V575" i="5" s="1"/>
  <c r="T576" i="5"/>
  <c r="V576" i="5" s="1"/>
  <c r="T577" i="5"/>
  <c r="W577" i="5" s="1"/>
  <c r="T578" i="5"/>
  <c r="W578" i="5" s="1"/>
  <c r="T579" i="5"/>
  <c r="V579" i="5" s="1"/>
  <c r="T580" i="5"/>
  <c r="V580" i="5" s="1"/>
  <c r="T581" i="5"/>
  <c r="V581" i="5" s="1"/>
  <c r="T582" i="5"/>
  <c r="V582" i="5" s="1"/>
  <c r="T583" i="5"/>
  <c r="W583" i="5" s="1"/>
  <c r="T584" i="5"/>
  <c r="W584" i="5" s="1"/>
  <c r="T585" i="5"/>
  <c r="V585" i="5" s="1"/>
  <c r="T586" i="5"/>
  <c r="V586" i="5" s="1"/>
  <c r="T587" i="5"/>
  <c r="V587" i="5" s="1"/>
  <c r="T588" i="5"/>
  <c r="V588" i="5" s="1"/>
  <c r="T589" i="5"/>
  <c r="W589" i="5" s="1"/>
  <c r="T590" i="5"/>
  <c r="W590" i="5" s="1"/>
  <c r="T591" i="5"/>
  <c r="V591" i="5" s="1"/>
  <c r="T592" i="5"/>
  <c r="V592" i="5" s="1"/>
  <c r="T593" i="5"/>
  <c r="V593" i="5" s="1"/>
  <c r="T594" i="5"/>
  <c r="W594" i="5" s="1"/>
  <c r="T595" i="5"/>
  <c r="W595" i="5" s="1"/>
  <c r="T596" i="5"/>
  <c r="V596" i="5" s="1"/>
  <c r="T597" i="5"/>
  <c r="V597" i="5" s="1"/>
  <c r="T598" i="5"/>
  <c r="V598" i="5" s="1"/>
  <c r="T599" i="5"/>
  <c r="V599" i="5" s="1"/>
  <c r="T600" i="5"/>
  <c r="V600" i="5" s="1"/>
  <c r="T601" i="5"/>
  <c r="V601" i="5" s="1"/>
  <c r="T602" i="5"/>
  <c r="V602" i="5" s="1"/>
  <c r="T603" i="5"/>
  <c r="W603" i="5" s="1"/>
  <c r="T604" i="5"/>
  <c r="W604" i="5" s="1"/>
  <c r="T605" i="5"/>
  <c r="W605" i="5" s="1"/>
  <c r="T606" i="5"/>
  <c r="W606" i="5" s="1"/>
  <c r="T607" i="5"/>
  <c r="V607" i="5" s="1"/>
  <c r="T608" i="5"/>
  <c r="V608" i="5" s="1"/>
  <c r="T609" i="5"/>
  <c r="W609" i="5" s="1"/>
  <c r="T610" i="5"/>
  <c r="W610" i="5" s="1"/>
  <c r="T611" i="5"/>
  <c r="V611" i="5" s="1"/>
  <c r="T612" i="5"/>
  <c r="W612" i="5" s="1"/>
  <c r="T613" i="5"/>
  <c r="W613" i="5" s="1"/>
  <c r="T614" i="5"/>
  <c r="W614" i="5" s="1"/>
  <c r="T615" i="5"/>
  <c r="W615" i="5" s="1"/>
  <c r="T616" i="5"/>
  <c r="W616" i="5" s="1"/>
  <c r="T617" i="5"/>
  <c r="V617" i="5" s="1"/>
  <c r="T618" i="5"/>
  <c r="V618" i="5" s="1"/>
  <c r="T619" i="5"/>
  <c r="W619" i="5" s="1"/>
  <c r="T620" i="5"/>
  <c r="W620" i="5" s="1"/>
  <c r="T621" i="5"/>
  <c r="W621" i="5" s="1"/>
  <c r="T622" i="5"/>
  <c r="V622" i="5" s="1"/>
  <c r="T623" i="5"/>
  <c r="V623" i="5" s="1"/>
  <c r="T624" i="5"/>
  <c r="V624" i="5" s="1"/>
  <c r="T625" i="5"/>
  <c r="V625" i="5" s="1"/>
  <c r="T626" i="5"/>
  <c r="V626" i="5" s="1"/>
  <c r="T627" i="5"/>
  <c r="V627" i="5" s="1"/>
  <c r="T628" i="5"/>
  <c r="W628" i="5" s="1"/>
  <c r="T629" i="5"/>
  <c r="W629" i="5" s="1"/>
  <c r="T630" i="5"/>
  <c r="V630" i="5" s="1"/>
  <c r="T631" i="5"/>
  <c r="V631" i="5" s="1"/>
  <c r="T632" i="5"/>
  <c r="V632" i="5" s="1"/>
  <c r="T633" i="5"/>
  <c r="V633" i="5" s="1"/>
  <c r="T634" i="5"/>
  <c r="V634" i="5" s="1"/>
  <c r="T635" i="5"/>
  <c r="W635" i="5" s="1"/>
  <c r="T636" i="5"/>
  <c r="W636" i="5" s="1"/>
  <c r="T637" i="5"/>
  <c r="V637" i="5" s="1"/>
  <c r="T638" i="5"/>
  <c r="V638" i="5" s="1"/>
  <c r="T639" i="5"/>
  <c r="V639" i="5" s="1"/>
  <c r="T640" i="5"/>
  <c r="V640" i="5" s="1"/>
  <c r="T641" i="5"/>
  <c r="V641" i="5" s="1"/>
  <c r="T642" i="5"/>
  <c r="V642" i="5" s="1"/>
  <c r="T643" i="5"/>
  <c r="V643" i="5" s="1"/>
  <c r="T644" i="5"/>
  <c r="V644" i="5" s="1"/>
  <c r="T645" i="5"/>
  <c r="W645" i="5" s="1"/>
  <c r="T646" i="5"/>
  <c r="W646" i="5" s="1"/>
  <c r="T647" i="5"/>
  <c r="W647" i="5" s="1"/>
  <c r="T648" i="5"/>
  <c r="W648" i="5" s="1"/>
  <c r="T649" i="5"/>
  <c r="V649" i="5" s="1"/>
  <c r="T650" i="5"/>
  <c r="V650" i="5" s="1"/>
  <c r="T651" i="5"/>
  <c r="V651" i="5" s="1"/>
  <c r="T652" i="5"/>
  <c r="V652" i="5" s="1"/>
  <c r="T653" i="5"/>
  <c r="W653" i="5" s="1"/>
  <c r="T654" i="5"/>
  <c r="W654" i="5" s="1"/>
  <c r="T655" i="5"/>
  <c r="V655" i="5" s="1"/>
  <c r="T656" i="5"/>
  <c r="V656" i="5" s="1"/>
  <c r="T657" i="5"/>
  <c r="V657" i="5" s="1"/>
  <c r="T658" i="5"/>
  <c r="V658" i="5" s="1"/>
  <c r="T659" i="5"/>
  <c r="V659" i="5" s="1"/>
  <c r="T660" i="5"/>
  <c r="V660" i="5" s="1"/>
  <c r="T661" i="5"/>
  <c r="V661" i="5" s="1"/>
  <c r="T662" i="5"/>
  <c r="W662" i="5" s="1"/>
  <c r="T663" i="5"/>
  <c r="W663" i="5" s="1"/>
  <c r="T664" i="5"/>
  <c r="V664" i="5" s="1"/>
  <c r="T665" i="5"/>
  <c r="V665" i="5" s="1"/>
  <c r="T666" i="5"/>
  <c r="V666" i="5" s="1"/>
  <c r="T667" i="5"/>
  <c r="V667" i="5" s="1"/>
  <c r="T668" i="5"/>
  <c r="V668" i="5" s="1"/>
  <c r="T669" i="5"/>
  <c r="W669" i="5" s="1"/>
  <c r="T670" i="5"/>
  <c r="W670" i="5" s="1"/>
  <c r="T671" i="5"/>
  <c r="V671" i="5" s="1"/>
  <c r="T672" i="5"/>
  <c r="W672" i="5" s="1"/>
  <c r="T673" i="5"/>
  <c r="W673" i="5" s="1"/>
  <c r="T674" i="5"/>
  <c r="V674" i="5" s="1"/>
  <c r="T675" i="5"/>
  <c r="V675" i="5" s="1"/>
  <c r="T676" i="5"/>
  <c r="W676" i="5" s="1"/>
  <c r="T677" i="5"/>
  <c r="W677" i="5" s="1"/>
  <c r="T678" i="5"/>
  <c r="V678" i="5" s="1"/>
  <c r="T679" i="5"/>
  <c r="V679" i="5" s="1"/>
  <c r="T680" i="5"/>
  <c r="V680" i="5" s="1"/>
  <c r="T681" i="5"/>
  <c r="V681" i="5" s="1"/>
  <c r="T682" i="5"/>
  <c r="V682" i="5" s="1"/>
  <c r="T683" i="5"/>
  <c r="V683" i="5" s="1"/>
  <c r="T684" i="5"/>
  <c r="V684" i="5" s="1"/>
  <c r="T685" i="5"/>
  <c r="V685" i="5" s="1"/>
  <c r="T686" i="5"/>
  <c r="V686" i="5" s="1"/>
  <c r="T687" i="5"/>
  <c r="V687" i="5" s="1"/>
  <c r="T688" i="5"/>
  <c r="V688" i="5" s="1"/>
  <c r="T689" i="5"/>
  <c r="V689" i="5" s="1"/>
  <c r="T690" i="5"/>
  <c r="W690" i="5" s="1"/>
  <c r="T691" i="5"/>
  <c r="W691" i="5" s="1"/>
  <c r="T692" i="5"/>
  <c r="W692" i="5" s="1"/>
  <c r="T693" i="5"/>
  <c r="W693" i="5" s="1"/>
  <c r="T694" i="5"/>
  <c r="V694" i="5" s="1"/>
  <c r="T695" i="5"/>
  <c r="W695" i="5" s="1"/>
  <c r="T696" i="5"/>
  <c r="W696" i="5" s="1"/>
  <c r="T697" i="5"/>
  <c r="W697" i="5" s="1"/>
  <c r="T698" i="5"/>
  <c r="W698" i="5" s="1"/>
  <c r="T699" i="5"/>
  <c r="V699" i="5" s="1"/>
  <c r="T700" i="5"/>
  <c r="V700" i="5" s="1"/>
  <c r="T701" i="5"/>
  <c r="W701" i="5" s="1"/>
  <c r="T702" i="5"/>
  <c r="W702" i="5" s="1"/>
  <c r="T703" i="5"/>
  <c r="V703" i="5" s="1"/>
  <c r="T704" i="5"/>
  <c r="V704" i="5" s="1"/>
  <c r="T705" i="5"/>
  <c r="V705" i="5" s="1"/>
  <c r="T706" i="5"/>
  <c r="V706" i="5" s="1"/>
  <c r="T707" i="5"/>
  <c r="V707" i="5" s="1"/>
  <c r="T708" i="5"/>
  <c r="V708" i="5" s="1"/>
  <c r="T709" i="5"/>
  <c r="V709" i="5" s="1"/>
  <c r="T710" i="5"/>
  <c r="V710" i="5" s="1"/>
  <c r="T711" i="5"/>
  <c r="W711" i="5" s="1"/>
  <c r="T712" i="5"/>
  <c r="W712" i="5" s="1"/>
  <c r="T713" i="5"/>
  <c r="W713" i="5" s="1"/>
  <c r="T714" i="5"/>
  <c r="W714" i="5" s="1"/>
  <c r="T715" i="5"/>
  <c r="W715" i="5" s="1"/>
  <c r="T716" i="5"/>
  <c r="W716" i="5" s="1"/>
  <c r="T717" i="5"/>
  <c r="W717" i="5" s="1"/>
  <c r="T718" i="5"/>
  <c r="W718" i="5" s="1"/>
  <c r="T719" i="5"/>
  <c r="W719" i="5" s="1"/>
  <c r="T720" i="5"/>
  <c r="W720" i="5" s="1"/>
  <c r="T721" i="5"/>
  <c r="W721" i="5" s="1"/>
  <c r="T722" i="5"/>
  <c r="W722" i="5" s="1"/>
  <c r="T723" i="5"/>
  <c r="W723" i="5" s="1"/>
  <c r="T724" i="5"/>
  <c r="W724" i="5" s="1"/>
  <c r="T725" i="5"/>
  <c r="W725" i="5" s="1"/>
  <c r="T726" i="5"/>
  <c r="W726" i="5" s="1"/>
  <c r="T727" i="5"/>
  <c r="W727" i="5" s="1"/>
  <c r="T728" i="5"/>
  <c r="W728" i="5" s="1"/>
  <c r="T729" i="5"/>
  <c r="W729" i="5" s="1"/>
  <c r="T730" i="5"/>
  <c r="W730" i="5" s="1"/>
  <c r="T731" i="5"/>
  <c r="W731" i="5" s="1"/>
  <c r="T732" i="5"/>
  <c r="W732" i="5" s="1"/>
  <c r="T733" i="5"/>
  <c r="W733" i="5" s="1"/>
  <c r="T734" i="5"/>
  <c r="W734" i="5" s="1"/>
  <c r="T735" i="5"/>
  <c r="W735" i="5" s="1"/>
  <c r="T736" i="5"/>
  <c r="W736" i="5" s="1"/>
  <c r="T737" i="5"/>
  <c r="W737" i="5" s="1"/>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P15" i="5"/>
  <c r="P16" i="5"/>
  <c r="P17" i="5"/>
  <c r="P18" i="5"/>
  <c r="P19" i="5"/>
  <c r="P20" i="5"/>
  <c r="P23" i="5"/>
  <c r="P24" i="5"/>
  <c r="P25" i="5"/>
  <c r="P26" i="5"/>
  <c r="P37" i="5"/>
  <c r="P44" i="5"/>
  <c r="P45" i="5"/>
  <c r="P46" i="5"/>
  <c r="P47" i="5"/>
  <c r="P54" i="5"/>
  <c r="P55" i="5"/>
  <c r="P56" i="5"/>
  <c r="P57" i="5"/>
  <c r="P64" i="5"/>
  <c r="P65" i="5"/>
  <c r="P66" i="5"/>
  <c r="P67" i="5"/>
  <c r="P74" i="5"/>
  <c r="P75" i="5"/>
  <c r="P76" i="5"/>
  <c r="P77" i="5"/>
  <c r="P78" i="5"/>
  <c r="P79" i="5"/>
  <c r="P80" i="5"/>
  <c r="P88" i="5"/>
  <c r="P89" i="5"/>
  <c r="P98" i="5"/>
  <c r="P101" i="5"/>
  <c r="P103" i="5"/>
  <c r="P105" i="5"/>
  <c r="P106" i="5"/>
  <c r="P107" i="5"/>
  <c r="P114" i="5"/>
  <c r="P115" i="5"/>
  <c r="P116" i="5"/>
  <c r="P117" i="5"/>
  <c r="P118" i="5"/>
  <c r="P120" i="5"/>
  <c r="P121" i="5"/>
  <c r="P128" i="5"/>
  <c r="P129" i="5"/>
  <c r="P131" i="5"/>
  <c r="P132" i="5"/>
  <c r="P133" i="5"/>
  <c r="P145" i="5"/>
  <c r="P146" i="5"/>
  <c r="P147" i="5"/>
  <c r="P153" i="5"/>
  <c r="P154" i="5"/>
  <c r="P155" i="5"/>
  <c r="P156" i="5"/>
  <c r="P161" i="5"/>
  <c r="P162" i="5"/>
  <c r="P163" i="5"/>
  <c r="P164" i="5"/>
  <c r="P166" i="5"/>
  <c r="P167" i="5"/>
  <c r="P168" i="5"/>
  <c r="P169" i="5"/>
  <c r="P174" i="5"/>
  <c r="P179" i="5"/>
  <c r="P180" i="5"/>
  <c r="P181" i="5"/>
  <c r="P182" i="5"/>
  <c r="P183" i="5"/>
  <c r="P184" i="5"/>
  <c r="P186" i="5"/>
  <c r="P189" i="5"/>
  <c r="P190" i="5"/>
  <c r="P191" i="5"/>
  <c r="P192" i="5"/>
  <c r="P193" i="5"/>
  <c r="P194" i="5"/>
  <c r="P200" i="5"/>
  <c r="P201" i="5"/>
  <c r="P202" i="5"/>
  <c r="P203" i="5"/>
  <c r="P204" i="5"/>
  <c r="P205" i="5"/>
  <c r="P214" i="5"/>
  <c r="P215" i="5"/>
  <c r="P216" i="5"/>
  <c r="P217" i="5"/>
  <c r="P218" i="5"/>
  <c r="P219" i="5"/>
  <c r="P220" i="5"/>
  <c r="P221" i="5"/>
  <c r="P222" i="5"/>
  <c r="P223" i="5"/>
  <c r="P224" i="5"/>
  <c r="P225" i="5"/>
  <c r="P226" i="5"/>
  <c r="P227" i="5"/>
  <c r="P241" i="5"/>
  <c r="P242" i="5"/>
  <c r="P243" i="5"/>
  <c r="P244" i="5"/>
  <c r="P246" i="5"/>
  <c r="P247" i="5"/>
  <c r="P250" i="5"/>
  <c r="P251" i="5"/>
  <c r="P252" i="5"/>
  <c r="P257" i="5"/>
  <c r="P258" i="5"/>
  <c r="P259" i="5"/>
  <c r="P260" i="5"/>
  <c r="P261" i="5"/>
  <c r="P262" i="5"/>
  <c r="P263" i="5"/>
  <c r="P265" i="5"/>
  <c r="P266" i="5"/>
  <c r="P267" i="5"/>
  <c r="P269" i="5"/>
  <c r="P270" i="5"/>
  <c r="P271" i="5"/>
  <c r="P274" i="5"/>
  <c r="P275" i="5"/>
  <c r="P276" i="5"/>
  <c r="P277" i="5"/>
  <c r="P278" i="5"/>
  <c r="P281" i="5"/>
  <c r="P282" i="5"/>
  <c r="P283" i="5"/>
  <c r="P284" i="5"/>
  <c r="P286" i="5"/>
  <c r="P287" i="5"/>
  <c r="P288" i="5"/>
  <c r="P292" i="5"/>
  <c r="P293" i="5"/>
  <c r="P294" i="5"/>
  <c r="P295" i="5"/>
  <c r="P296" i="5"/>
  <c r="P297" i="5"/>
  <c r="P298" i="5"/>
  <c r="P299" i="5"/>
  <c r="P301" i="5"/>
  <c r="P302" i="5"/>
  <c r="P303" i="5"/>
  <c r="P307" i="5"/>
  <c r="P308" i="5"/>
  <c r="P309" i="5"/>
  <c r="P311" i="5"/>
  <c r="P315" i="5"/>
  <c r="P316" i="5"/>
  <c r="P317" i="5"/>
  <c r="P319" i="5"/>
  <c r="P322" i="5"/>
  <c r="P323" i="5"/>
  <c r="P327" i="5"/>
  <c r="P328" i="5"/>
  <c r="P329" i="5"/>
  <c r="P331" i="5"/>
  <c r="P333" i="5"/>
  <c r="P336" i="5"/>
  <c r="P337" i="5"/>
  <c r="P338" i="5"/>
  <c r="P339" i="5"/>
  <c r="P340" i="5"/>
  <c r="P341" i="5"/>
  <c r="P344" i="5"/>
  <c r="P345" i="5"/>
  <c r="P347" i="5"/>
  <c r="P348" i="5"/>
  <c r="P349" i="5"/>
  <c r="P350" i="5"/>
  <c r="P352" i="5"/>
  <c r="P353" i="5"/>
  <c r="P354" i="5"/>
  <c r="P355" i="5"/>
  <c r="P360" i="5"/>
  <c r="P365" i="5"/>
  <c r="P367" i="5"/>
  <c r="P368" i="5"/>
  <c r="P370" i="5"/>
  <c r="P371" i="5"/>
  <c r="P372" i="5"/>
  <c r="P373" i="5"/>
  <c r="P374" i="5"/>
  <c r="P375" i="5"/>
  <c r="P377" i="5"/>
  <c r="P379" i="5"/>
  <c r="P382" i="5"/>
  <c r="P383" i="5"/>
  <c r="P384" i="5"/>
  <c r="P385" i="5"/>
  <c r="P386" i="5"/>
  <c r="P387" i="5"/>
  <c r="P391" i="5"/>
  <c r="P392" i="5"/>
  <c r="P393" i="5"/>
  <c r="P394" i="5"/>
  <c r="P396" i="5"/>
  <c r="P399" i="5"/>
  <c r="P400" i="5"/>
  <c r="P401" i="5"/>
  <c r="P402" i="5"/>
  <c r="P406" i="5"/>
  <c r="P407" i="5"/>
  <c r="P408" i="5"/>
  <c r="P410" i="5"/>
  <c r="P411" i="5"/>
  <c r="P412" i="5"/>
  <c r="P413" i="5"/>
  <c r="P416" i="5"/>
  <c r="P417" i="5"/>
  <c r="P418" i="5"/>
  <c r="P444" i="5"/>
  <c r="P445" i="5"/>
  <c r="P448" i="5"/>
  <c r="P449" i="5"/>
  <c r="P458" i="5"/>
  <c r="P459" i="5"/>
  <c r="P460" i="5"/>
  <c r="P461" i="5"/>
  <c r="P465" i="5"/>
  <c r="P466" i="5"/>
  <c r="P473" i="5"/>
  <c r="P474" i="5"/>
  <c r="P476" i="5"/>
  <c r="P477" i="5"/>
  <c r="P482" i="5"/>
  <c r="P484" i="5"/>
  <c r="P488" i="5"/>
  <c r="P489" i="5"/>
  <c r="P500" i="5"/>
  <c r="P501" i="5"/>
  <c r="P502" i="5"/>
  <c r="P509" i="5"/>
  <c r="P510" i="5"/>
  <c r="P515" i="5"/>
  <c r="P516" i="5"/>
  <c r="P530" i="5"/>
  <c r="P531" i="5"/>
  <c r="P535" i="5"/>
  <c r="P536" i="5"/>
  <c r="P543" i="5"/>
  <c r="P544" i="5"/>
  <c r="P548" i="5"/>
  <c r="P554" i="5"/>
  <c r="P555" i="5"/>
  <c r="P559" i="5"/>
  <c r="P560" i="5"/>
  <c r="P566" i="5"/>
  <c r="P568" i="5"/>
  <c r="P569" i="5"/>
  <c r="P572" i="5"/>
  <c r="P573" i="5"/>
  <c r="P577" i="5"/>
  <c r="P578" i="5"/>
  <c r="P588" i="5"/>
  <c r="P589" i="5"/>
  <c r="P594" i="5"/>
  <c r="P595" i="5"/>
  <c r="P603" i="5"/>
  <c r="P604" i="5"/>
  <c r="P613" i="5"/>
  <c r="P614" i="5"/>
  <c r="P621" i="5"/>
  <c r="P622" i="5"/>
  <c r="P626" i="5"/>
  <c r="P627" i="5"/>
  <c r="P632" i="5"/>
  <c r="P633" i="5"/>
  <c r="P637" i="5"/>
  <c r="P638" i="5"/>
  <c r="P642" i="5"/>
  <c r="P643" i="5"/>
  <c r="P649" i="5"/>
  <c r="P650" i="5"/>
  <c r="P651" i="5"/>
  <c r="P655" i="5"/>
  <c r="P656" i="5"/>
  <c r="P661" i="5"/>
  <c r="P664" i="5"/>
  <c r="P665" i="5"/>
  <c r="P666" i="5"/>
  <c r="P670" i="5"/>
  <c r="P671" i="5"/>
  <c r="P675" i="5"/>
  <c r="P676" i="5"/>
  <c r="P683" i="5"/>
  <c r="P684" i="5"/>
  <c r="P688" i="5"/>
  <c r="P689" i="5"/>
  <c r="P692" i="5"/>
  <c r="P693" i="5"/>
  <c r="P700" i="5"/>
  <c r="P701" i="5"/>
  <c r="P709" i="5"/>
  <c r="P710" i="5"/>
  <c r="P713" i="5"/>
  <c r="P718" i="5"/>
  <c r="P719" i="5"/>
  <c r="P726" i="5"/>
  <c r="P727" i="5"/>
  <c r="P732" i="5"/>
  <c r="P733" i="5"/>
  <c r="P736" i="5"/>
  <c r="P737" i="5"/>
  <c r="P747" i="5"/>
  <c r="P750" i="5"/>
  <c r="P751" i="5"/>
  <c r="P753" i="5"/>
  <c r="P754" i="5"/>
  <c r="P756" i="5"/>
  <c r="P757" i="5"/>
  <c r="P761" i="5"/>
  <c r="P762" i="5"/>
  <c r="P777" i="5"/>
  <c r="P783" i="5"/>
  <c r="P784" i="5"/>
  <c r="P785" i="5"/>
  <c r="P791" i="5"/>
  <c r="P792" i="5"/>
  <c r="P793" i="5"/>
  <c r="P803" i="5"/>
  <c r="P804" i="5"/>
  <c r="P805" i="5"/>
  <c r="P810" i="5"/>
  <c r="P815" i="5"/>
  <c r="P816" i="5"/>
  <c r="P827" i="5"/>
  <c r="P828" i="5"/>
  <c r="P835" i="5"/>
  <c r="P836" i="5"/>
  <c r="P844" i="5"/>
  <c r="P845" i="5"/>
  <c r="P850" i="5"/>
  <c r="P851" i="5"/>
  <c r="P859" i="5"/>
  <c r="P860" i="5"/>
  <c r="P873" i="5"/>
  <c r="P874" i="5"/>
  <c r="P875" i="5"/>
  <c r="P876" i="5"/>
  <c r="P878" i="5"/>
  <c r="P879" i="5"/>
  <c r="P880" i="5"/>
  <c r="P881" i="5"/>
  <c r="P882" i="5"/>
  <c r="P887" i="5"/>
  <c r="P888" i="5"/>
  <c r="P889" i="5"/>
  <c r="P896" i="5"/>
  <c r="P897" i="5"/>
  <c r="P898" i="5"/>
  <c r="P899" i="5"/>
  <c r="P903" i="5"/>
  <c r="P904" i="5"/>
  <c r="P905" i="5"/>
  <c r="P909" i="5"/>
  <c r="P910" i="5"/>
  <c r="P911" i="5"/>
  <c r="P912" i="5"/>
  <c r="P915" i="5"/>
  <c r="P916" i="5"/>
  <c r="P917" i="5"/>
  <c r="P918"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Q12" i="5"/>
  <c r="Q14" i="5"/>
  <c r="Q21" i="5"/>
  <c r="Q22" i="5"/>
  <c r="Q27" i="5"/>
  <c r="Q28" i="5"/>
  <c r="Q29" i="5"/>
  <c r="Q30" i="5"/>
  <c r="Q31" i="5"/>
  <c r="Q32" i="5"/>
  <c r="Q33" i="5"/>
  <c r="Q34" i="5"/>
  <c r="Q35" i="5"/>
  <c r="Q36" i="5"/>
  <c r="Q38" i="5"/>
  <c r="Q39" i="5"/>
  <c r="Q40" i="5"/>
  <c r="Q41" i="5"/>
  <c r="Q42" i="5"/>
  <c r="Q43" i="5"/>
  <c r="Q48" i="5"/>
  <c r="Q49" i="5"/>
  <c r="Q50" i="5"/>
  <c r="Q51" i="5"/>
  <c r="Q52" i="5"/>
  <c r="Q53" i="5"/>
  <c r="Q58" i="5"/>
  <c r="Q59" i="5"/>
  <c r="Q60" i="5"/>
  <c r="Q61" i="5"/>
  <c r="Q62" i="5"/>
  <c r="Q63" i="5"/>
  <c r="Q68" i="5"/>
  <c r="Q69" i="5"/>
  <c r="Q70" i="5"/>
  <c r="Q71" i="5"/>
  <c r="Q72" i="5"/>
  <c r="Q73" i="5"/>
  <c r="Q81" i="5"/>
  <c r="Q82" i="5"/>
  <c r="Q83" i="5"/>
  <c r="Q84" i="5"/>
  <c r="Q85" i="5"/>
  <c r="Q86" i="5"/>
  <c r="Q87" i="5"/>
  <c r="Q90" i="5"/>
  <c r="Q91" i="5"/>
  <c r="Q92" i="5"/>
  <c r="Q93" i="5"/>
  <c r="Q94" i="5"/>
  <c r="Q95" i="5"/>
  <c r="Q96" i="5"/>
  <c r="Q97" i="5"/>
  <c r="Q99" i="5"/>
  <c r="Q100" i="5"/>
  <c r="Q102" i="5"/>
  <c r="Q104" i="5"/>
  <c r="Q108" i="5"/>
  <c r="Q109" i="5"/>
  <c r="Q110" i="5"/>
  <c r="Q111" i="5"/>
  <c r="Q112" i="5"/>
  <c r="Q113" i="5"/>
  <c r="Q119" i="5"/>
  <c r="Q122" i="5"/>
  <c r="Q123" i="5"/>
  <c r="Q124" i="5"/>
  <c r="Q125" i="5"/>
  <c r="Q126" i="5"/>
  <c r="Q127" i="5"/>
  <c r="Q130" i="5"/>
  <c r="Q134" i="5"/>
  <c r="Q135" i="5"/>
  <c r="Q136" i="5"/>
  <c r="Q137" i="5"/>
  <c r="Q138" i="5"/>
  <c r="Q139" i="5"/>
  <c r="Q140" i="5"/>
  <c r="Q141" i="5"/>
  <c r="Q142" i="5"/>
  <c r="Q143" i="5"/>
  <c r="Q144" i="5"/>
  <c r="Q148" i="5"/>
  <c r="Q149" i="5"/>
  <c r="Q150" i="5"/>
  <c r="Q151" i="5"/>
  <c r="Q152" i="5"/>
  <c r="Q157" i="5"/>
  <c r="Q158" i="5"/>
  <c r="Q159" i="5"/>
  <c r="Q160" i="5"/>
  <c r="Q165" i="5"/>
  <c r="Q170" i="5"/>
  <c r="Q171" i="5"/>
  <c r="Q172" i="5"/>
  <c r="Q173" i="5"/>
  <c r="Q175" i="5"/>
  <c r="Q176" i="5"/>
  <c r="Q177" i="5"/>
  <c r="Q178" i="5"/>
  <c r="Q185" i="5"/>
  <c r="Q187" i="5"/>
  <c r="Q188" i="5"/>
  <c r="Q195" i="5"/>
  <c r="Q196" i="5"/>
  <c r="Q197" i="5"/>
  <c r="Q198" i="5"/>
  <c r="Q199" i="5"/>
  <c r="Q206" i="5"/>
  <c r="Q207" i="5"/>
  <c r="Q208" i="5"/>
  <c r="Q209" i="5"/>
  <c r="Q210" i="5"/>
  <c r="Q211" i="5"/>
  <c r="Q212" i="5"/>
  <c r="Q213" i="5"/>
  <c r="Q228" i="5"/>
  <c r="Q229" i="5"/>
  <c r="Q230" i="5"/>
  <c r="Q231" i="5"/>
  <c r="Q232" i="5"/>
  <c r="Q233" i="5"/>
  <c r="Q234" i="5"/>
  <c r="Q235" i="5"/>
  <c r="Q236" i="5"/>
  <c r="Q237" i="5"/>
  <c r="Q238" i="5"/>
  <c r="Q239" i="5"/>
  <c r="Q240" i="5"/>
  <c r="Q245" i="5"/>
  <c r="Q248" i="5"/>
  <c r="Q249" i="5"/>
  <c r="Q253" i="5"/>
  <c r="Q254" i="5"/>
  <c r="Q255" i="5"/>
  <c r="Q256" i="5"/>
  <c r="Q264" i="5"/>
  <c r="Q268" i="5"/>
  <c r="Q272" i="5"/>
  <c r="Q273" i="5"/>
  <c r="Q279" i="5"/>
  <c r="Q280" i="5"/>
  <c r="Q285" i="5"/>
  <c r="Q289" i="5"/>
  <c r="Q290" i="5"/>
  <c r="Q291" i="5"/>
  <c r="Q300" i="5"/>
  <c r="Q304" i="5"/>
  <c r="Q305" i="5"/>
  <c r="Q306" i="5"/>
  <c r="Q310" i="5"/>
  <c r="Q312" i="5"/>
  <c r="Q313" i="5"/>
  <c r="Q314" i="5"/>
  <c r="Q318" i="5"/>
  <c r="Q320" i="5"/>
  <c r="Q321" i="5"/>
  <c r="Q324" i="5"/>
  <c r="Q325" i="5"/>
  <c r="Q326" i="5"/>
  <c r="Q330" i="5"/>
  <c r="Q332" i="5"/>
  <c r="Q334" i="5"/>
  <c r="Q335" i="5"/>
  <c r="Q342" i="5"/>
  <c r="Q343" i="5"/>
  <c r="Q346" i="5"/>
  <c r="Q351" i="5"/>
  <c r="Q356" i="5"/>
  <c r="Q357" i="5"/>
  <c r="Q358" i="5"/>
  <c r="Q359" i="5"/>
  <c r="Q361" i="5"/>
  <c r="Q362" i="5"/>
  <c r="Q363" i="5"/>
  <c r="Q364" i="5"/>
  <c r="Q366" i="5"/>
  <c r="Q369" i="5"/>
  <c r="Q376" i="5"/>
  <c r="Q378" i="5"/>
  <c r="Q380" i="5"/>
  <c r="Q381" i="5"/>
  <c r="Q388" i="5"/>
  <c r="Q389" i="5"/>
  <c r="Q390" i="5"/>
  <c r="Q395" i="5"/>
  <c r="Q397" i="5"/>
  <c r="Q398" i="5"/>
  <c r="Q403" i="5"/>
  <c r="Q404" i="5"/>
  <c r="Q405" i="5"/>
  <c r="Q409" i="5"/>
  <c r="Q414" i="5"/>
  <c r="Q415"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6" i="5"/>
  <c r="Q447" i="5"/>
  <c r="Q450" i="5"/>
  <c r="Q451" i="5"/>
  <c r="Q452" i="5"/>
  <c r="Q453" i="5"/>
  <c r="Q454" i="5"/>
  <c r="Q455" i="5"/>
  <c r="Q456" i="5"/>
  <c r="Q457" i="5"/>
  <c r="Q462" i="5"/>
  <c r="Q463" i="5"/>
  <c r="Q464" i="5"/>
  <c r="Q467" i="5"/>
  <c r="Q468" i="5"/>
  <c r="Q469" i="5"/>
  <c r="Q470" i="5"/>
  <c r="Q471" i="5"/>
  <c r="Q472" i="5"/>
  <c r="Q475" i="5"/>
  <c r="Q478" i="5"/>
  <c r="Q479" i="5"/>
  <c r="Q480" i="5"/>
  <c r="Q481" i="5"/>
  <c r="Q483" i="5"/>
  <c r="Q485" i="5"/>
  <c r="Q486" i="5"/>
  <c r="Q487" i="5"/>
  <c r="Q490" i="5"/>
  <c r="Q491" i="5"/>
  <c r="Q492" i="5"/>
  <c r="Q493" i="5"/>
  <c r="Q494" i="5"/>
  <c r="Q495" i="5"/>
  <c r="Q496" i="5"/>
  <c r="Q497" i="5"/>
  <c r="Q498" i="5"/>
  <c r="Q499" i="5"/>
  <c r="Q503" i="5"/>
  <c r="Q504" i="5"/>
  <c r="Q505" i="5"/>
  <c r="Q506" i="5"/>
  <c r="Q507" i="5"/>
  <c r="Q508" i="5"/>
  <c r="Q511" i="5"/>
  <c r="Q512" i="5"/>
  <c r="Q513" i="5"/>
  <c r="Q514" i="5"/>
  <c r="Q517" i="5"/>
  <c r="Q518" i="5"/>
  <c r="Q519" i="5"/>
  <c r="Q520" i="5"/>
  <c r="Q521" i="5"/>
  <c r="Q522" i="5"/>
  <c r="Q523" i="5"/>
  <c r="Q524" i="5"/>
  <c r="Q525" i="5"/>
  <c r="Q526" i="5"/>
  <c r="Q527" i="5"/>
  <c r="Q528" i="5"/>
  <c r="Q529" i="5"/>
  <c r="Q532" i="5"/>
  <c r="Q533" i="5"/>
  <c r="Q534" i="5"/>
  <c r="Q537" i="5"/>
  <c r="Q538" i="5"/>
  <c r="Q539" i="5"/>
  <c r="Q540" i="5"/>
  <c r="Q541" i="5"/>
  <c r="Q542" i="5"/>
  <c r="Q545" i="5"/>
  <c r="Q546" i="5"/>
  <c r="Q547" i="5"/>
  <c r="Q549" i="5"/>
  <c r="Q550" i="5"/>
  <c r="Q551" i="5"/>
  <c r="Q552" i="5"/>
  <c r="Q553" i="5"/>
  <c r="Q556" i="5"/>
  <c r="Q557" i="5"/>
  <c r="Q558" i="5"/>
  <c r="Q561" i="5"/>
  <c r="Q562" i="5"/>
  <c r="Q563" i="5"/>
  <c r="Q564" i="5"/>
  <c r="Q565" i="5"/>
  <c r="Q567" i="5"/>
  <c r="Q570" i="5"/>
  <c r="Q571" i="5"/>
  <c r="Q574" i="5"/>
  <c r="Q575" i="5"/>
  <c r="Q576" i="5"/>
  <c r="Q579" i="5"/>
  <c r="Q580" i="5"/>
  <c r="Q581" i="5"/>
  <c r="Q582" i="5"/>
  <c r="Q583" i="5"/>
  <c r="Q584" i="5"/>
  <c r="Q585" i="5"/>
  <c r="Q586" i="5"/>
  <c r="Q587" i="5"/>
  <c r="Q590" i="5"/>
  <c r="Q591" i="5"/>
  <c r="Q592" i="5"/>
  <c r="Q593" i="5"/>
  <c r="Q596" i="5"/>
  <c r="Q597" i="5"/>
  <c r="Q598" i="5"/>
  <c r="Q599" i="5"/>
  <c r="Q600" i="5"/>
  <c r="Q601" i="5"/>
  <c r="Q602" i="5"/>
  <c r="Q605" i="5"/>
  <c r="Q606" i="5"/>
  <c r="Q607" i="5"/>
  <c r="Q608" i="5"/>
  <c r="Q609" i="5"/>
  <c r="Q610" i="5"/>
  <c r="Q611" i="5"/>
  <c r="Q612" i="5"/>
  <c r="Q615" i="5"/>
  <c r="Q616" i="5"/>
  <c r="Q617" i="5"/>
  <c r="Q618" i="5"/>
  <c r="Q619" i="5"/>
  <c r="Q620" i="5"/>
  <c r="Q623" i="5"/>
  <c r="Q624" i="5"/>
  <c r="Q625" i="5"/>
  <c r="Q628" i="5"/>
  <c r="Q629" i="5"/>
  <c r="Q630" i="5"/>
  <c r="Q631" i="5"/>
  <c r="Q634" i="5"/>
  <c r="Q635" i="5"/>
  <c r="Q636" i="5"/>
  <c r="Q639" i="5"/>
  <c r="Q640" i="5"/>
  <c r="Q641" i="5"/>
  <c r="Q644" i="5"/>
  <c r="Q645" i="5"/>
  <c r="Q646" i="5"/>
  <c r="Q647" i="5"/>
  <c r="Q648" i="5"/>
  <c r="Q652" i="5"/>
  <c r="Q653" i="5"/>
  <c r="Q654" i="5"/>
  <c r="Q657" i="5"/>
  <c r="Q658" i="5"/>
  <c r="Q659" i="5"/>
  <c r="Q660" i="5"/>
  <c r="Q662" i="5"/>
  <c r="Q663" i="5"/>
  <c r="Q667" i="5"/>
  <c r="Q668" i="5"/>
  <c r="Q669" i="5"/>
  <c r="Q672" i="5"/>
  <c r="Q673" i="5"/>
  <c r="Q674" i="5"/>
  <c r="Q677" i="5"/>
  <c r="Q678" i="5"/>
  <c r="Q679" i="5"/>
  <c r="Q680" i="5"/>
  <c r="Q681" i="5"/>
  <c r="Q682" i="5"/>
  <c r="Q685" i="5"/>
  <c r="Q686" i="5"/>
  <c r="Q687" i="5"/>
  <c r="Q690" i="5"/>
  <c r="Q691" i="5"/>
  <c r="Q694" i="5"/>
  <c r="Q695" i="5"/>
  <c r="Q696" i="5"/>
  <c r="Q697" i="5"/>
  <c r="Q698" i="5"/>
  <c r="Q699" i="5"/>
  <c r="Q702" i="5"/>
  <c r="Q703" i="5"/>
  <c r="Q704" i="5"/>
  <c r="Q705" i="5"/>
  <c r="Q706" i="5"/>
  <c r="Q707" i="5"/>
  <c r="Q708" i="5"/>
  <c r="Q711" i="5"/>
  <c r="Q712" i="5"/>
  <c r="Q714" i="5"/>
  <c r="Q715" i="5"/>
  <c r="Q716" i="5"/>
  <c r="Q717" i="5"/>
  <c r="Q720" i="5"/>
  <c r="Q721" i="5"/>
  <c r="Q722" i="5"/>
  <c r="Q723" i="5"/>
  <c r="Q724" i="5"/>
  <c r="Q725" i="5"/>
  <c r="Q728" i="5"/>
  <c r="Q729" i="5"/>
  <c r="Q730" i="5"/>
  <c r="Q731" i="5"/>
  <c r="Q734" i="5"/>
  <c r="Q735" i="5"/>
  <c r="Q738" i="5"/>
  <c r="Q739" i="5"/>
  <c r="Q740" i="5"/>
  <c r="Q741" i="5"/>
  <c r="Q742" i="5"/>
  <c r="Q743" i="5"/>
  <c r="Q744" i="5"/>
  <c r="Q745" i="5"/>
  <c r="Q746" i="5"/>
  <c r="Q748" i="5"/>
  <c r="Q749" i="5"/>
  <c r="Q752" i="5"/>
  <c r="Q755" i="5"/>
  <c r="Q758" i="5"/>
  <c r="Q759" i="5"/>
  <c r="Q760" i="5"/>
  <c r="Q763" i="5"/>
  <c r="Q764" i="5"/>
  <c r="Q765" i="5"/>
  <c r="Q766" i="5"/>
  <c r="Q767" i="5"/>
  <c r="Q768" i="5"/>
  <c r="Q769" i="5"/>
  <c r="Q770" i="5"/>
  <c r="Q771" i="5"/>
  <c r="Q772" i="5"/>
  <c r="Q773" i="5"/>
  <c r="Q774" i="5"/>
  <c r="Q775" i="5"/>
  <c r="Q776" i="5"/>
  <c r="Q778" i="5"/>
  <c r="Q779" i="5"/>
  <c r="Q780" i="5"/>
  <c r="Q781" i="5"/>
  <c r="Q782" i="5"/>
  <c r="Q786" i="5"/>
  <c r="Q787" i="5"/>
  <c r="Q788" i="5"/>
  <c r="Q789" i="5"/>
  <c r="Q790" i="5"/>
  <c r="Q794" i="5"/>
  <c r="Q795" i="5"/>
  <c r="Q796" i="5"/>
  <c r="Q797" i="5"/>
  <c r="Q798" i="5"/>
  <c r="Q799" i="5"/>
  <c r="Q800" i="5"/>
  <c r="Q801" i="5"/>
  <c r="Q802" i="5"/>
  <c r="Q806" i="5"/>
  <c r="Q807" i="5"/>
  <c r="Q808" i="5"/>
  <c r="Q809" i="5"/>
  <c r="Q811" i="5"/>
  <c r="Q812" i="5"/>
  <c r="Q813" i="5"/>
  <c r="Q814" i="5"/>
  <c r="Q817" i="5"/>
  <c r="Q818" i="5"/>
  <c r="Q819" i="5"/>
  <c r="Q820" i="5"/>
  <c r="Q821" i="5"/>
  <c r="Q822" i="5"/>
  <c r="Q823" i="5"/>
  <c r="Q824" i="5"/>
  <c r="Q825" i="5"/>
  <c r="Q826" i="5"/>
  <c r="Q829" i="5"/>
  <c r="Q830" i="5"/>
  <c r="Q831" i="5"/>
  <c r="Q832" i="5"/>
  <c r="Q833" i="5"/>
  <c r="Q834" i="5"/>
  <c r="Q837" i="5"/>
  <c r="Q838" i="5"/>
  <c r="Q839" i="5"/>
  <c r="Q840" i="5"/>
  <c r="Q841" i="5"/>
  <c r="Q842" i="5"/>
  <c r="Q843" i="5"/>
  <c r="Q846" i="5"/>
  <c r="Q847" i="5"/>
  <c r="Q848" i="5"/>
  <c r="Q849" i="5"/>
  <c r="Q852" i="5"/>
  <c r="Q853" i="5"/>
  <c r="Q854" i="5"/>
  <c r="Q855" i="5"/>
  <c r="Q856" i="5"/>
  <c r="Q857" i="5"/>
  <c r="Q858" i="5"/>
  <c r="Q861" i="5"/>
  <c r="Q862" i="5"/>
  <c r="Q863" i="5"/>
  <c r="Q864" i="5"/>
  <c r="Q865" i="5"/>
  <c r="Q866" i="5"/>
  <c r="Q867" i="5"/>
  <c r="Q868" i="5"/>
  <c r="Q869" i="5"/>
  <c r="Q870" i="5"/>
  <c r="Q871" i="5"/>
  <c r="Q872" i="5"/>
  <c r="Q877" i="5"/>
  <c r="Q883" i="5"/>
  <c r="Q884" i="5"/>
  <c r="Q885" i="5"/>
  <c r="Q886" i="5"/>
  <c r="Q890" i="5"/>
  <c r="Q891" i="5"/>
  <c r="Q892" i="5"/>
  <c r="Q893" i="5"/>
  <c r="Q894" i="5"/>
  <c r="Q895" i="5"/>
  <c r="Q900" i="5"/>
  <c r="Q901" i="5"/>
  <c r="Q902" i="5"/>
  <c r="Q906" i="5"/>
  <c r="Q907" i="5"/>
  <c r="Q908" i="5"/>
  <c r="Q913" i="5"/>
  <c r="Q914"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N11" i="5"/>
  <c r="Q11" i="5" s="1"/>
  <c r="N12" i="5"/>
  <c r="P12" i="5" s="1"/>
  <c r="N13" i="5"/>
  <c r="P13" i="5" s="1"/>
  <c r="N14" i="5"/>
  <c r="P14" i="5" s="1"/>
  <c r="N15" i="5"/>
  <c r="Q15" i="5" s="1"/>
  <c r="N16" i="5"/>
  <c r="Q16" i="5" s="1"/>
  <c r="N17" i="5"/>
  <c r="Q17" i="5" s="1"/>
  <c r="N18" i="5"/>
  <c r="Q18" i="5" s="1"/>
  <c r="N19" i="5"/>
  <c r="Q19" i="5" s="1"/>
  <c r="N20" i="5"/>
  <c r="Q20" i="5" s="1"/>
  <c r="N21" i="5"/>
  <c r="P21" i="5" s="1"/>
  <c r="N22" i="5"/>
  <c r="P22" i="5" s="1"/>
  <c r="N23" i="5"/>
  <c r="Q23" i="5" s="1"/>
  <c r="N24" i="5"/>
  <c r="Q24" i="5" s="1"/>
  <c r="N25" i="5"/>
  <c r="Q25" i="5" s="1"/>
  <c r="N26" i="5"/>
  <c r="Q26" i="5" s="1"/>
  <c r="N27" i="5"/>
  <c r="P27" i="5" s="1"/>
  <c r="N28" i="5"/>
  <c r="P28" i="5" s="1"/>
  <c r="N29" i="5"/>
  <c r="P29" i="5" s="1"/>
  <c r="N30" i="5"/>
  <c r="P30" i="5" s="1"/>
  <c r="N31" i="5"/>
  <c r="P31" i="5" s="1"/>
  <c r="N32" i="5"/>
  <c r="P32" i="5" s="1"/>
  <c r="N33" i="5"/>
  <c r="P33" i="5" s="1"/>
  <c r="N34" i="5"/>
  <c r="P34" i="5" s="1"/>
  <c r="N35" i="5"/>
  <c r="P35" i="5" s="1"/>
  <c r="N36" i="5"/>
  <c r="P36" i="5" s="1"/>
  <c r="N37" i="5"/>
  <c r="Q37" i="5" s="1"/>
  <c r="N38" i="5"/>
  <c r="P38" i="5" s="1"/>
  <c r="N39" i="5"/>
  <c r="P39" i="5" s="1"/>
  <c r="N40" i="5"/>
  <c r="P40" i="5" s="1"/>
  <c r="N41" i="5"/>
  <c r="P41" i="5" s="1"/>
  <c r="N42" i="5"/>
  <c r="P42" i="5" s="1"/>
  <c r="N43" i="5"/>
  <c r="P43" i="5" s="1"/>
  <c r="N44" i="5"/>
  <c r="Q44" i="5" s="1"/>
  <c r="N45" i="5"/>
  <c r="Q45" i="5" s="1"/>
  <c r="N46" i="5"/>
  <c r="Q46" i="5" s="1"/>
  <c r="N47" i="5"/>
  <c r="Q47" i="5" s="1"/>
  <c r="N48" i="5"/>
  <c r="P48" i="5" s="1"/>
  <c r="N49" i="5"/>
  <c r="P49" i="5" s="1"/>
  <c r="N50" i="5"/>
  <c r="P50" i="5" s="1"/>
  <c r="N51" i="5"/>
  <c r="P51" i="5" s="1"/>
  <c r="N52" i="5"/>
  <c r="P52" i="5" s="1"/>
  <c r="N53" i="5"/>
  <c r="P53" i="5" s="1"/>
  <c r="N54" i="5"/>
  <c r="Q54" i="5" s="1"/>
  <c r="N55" i="5"/>
  <c r="Q55" i="5" s="1"/>
  <c r="N56" i="5"/>
  <c r="Q56" i="5" s="1"/>
  <c r="N57" i="5"/>
  <c r="Q57" i="5" s="1"/>
  <c r="N58" i="5"/>
  <c r="P58" i="5" s="1"/>
  <c r="N59" i="5"/>
  <c r="P59" i="5" s="1"/>
  <c r="N60" i="5"/>
  <c r="P60" i="5" s="1"/>
  <c r="N61" i="5"/>
  <c r="P61" i="5" s="1"/>
  <c r="N62" i="5"/>
  <c r="P62" i="5" s="1"/>
  <c r="N63" i="5"/>
  <c r="P63" i="5" s="1"/>
  <c r="N64" i="5"/>
  <c r="Q64" i="5" s="1"/>
  <c r="N65" i="5"/>
  <c r="Q65" i="5" s="1"/>
  <c r="N66" i="5"/>
  <c r="Q66" i="5" s="1"/>
  <c r="N67" i="5"/>
  <c r="Q67" i="5" s="1"/>
  <c r="N68" i="5"/>
  <c r="P68" i="5" s="1"/>
  <c r="N69" i="5"/>
  <c r="P69" i="5" s="1"/>
  <c r="N70" i="5"/>
  <c r="P70" i="5" s="1"/>
  <c r="N71" i="5"/>
  <c r="P71" i="5" s="1"/>
  <c r="N72" i="5"/>
  <c r="P72" i="5" s="1"/>
  <c r="N73" i="5"/>
  <c r="P73" i="5" s="1"/>
  <c r="N74" i="5"/>
  <c r="Q74" i="5" s="1"/>
  <c r="N75" i="5"/>
  <c r="Q75" i="5" s="1"/>
  <c r="N76" i="5"/>
  <c r="Q76" i="5" s="1"/>
  <c r="N77" i="5"/>
  <c r="Q77" i="5" s="1"/>
  <c r="N78" i="5"/>
  <c r="Q78" i="5" s="1"/>
  <c r="N79" i="5"/>
  <c r="Q79" i="5" s="1"/>
  <c r="N80" i="5"/>
  <c r="Q80" i="5" s="1"/>
  <c r="N81" i="5"/>
  <c r="P81" i="5" s="1"/>
  <c r="N82" i="5"/>
  <c r="P82" i="5" s="1"/>
  <c r="N83" i="5"/>
  <c r="P83" i="5" s="1"/>
  <c r="N84" i="5"/>
  <c r="P84" i="5" s="1"/>
  <c r="N85" i="5"/>
  <c r="P85" i="5" s="1"/>
  <c r="N86" i="5"/>
  <c r="P86" i="5" s="1"/>
  <c r="N87" i="5"/>
  <c r="P87" i="5" s="1"/>
  <c r="N88" i="5"/>
  <c r="Q88" i="5" s="1"/>
  <c r="N89" i="5"/>
  <c r="Q89" i="5" s="1"/>
  <c r="N90" i="5"/>
  <c r="P90" i="5" s="1"/>
  <c r="N91" i="5"/>
  <c r="P91" i="5" s="1"/>
  <c r="N92" i="5"/>
  <c r="P92" i="5" s="1"/>
  <c r="N93" i="5"/>
  <c r="P93" i="5" s="1"/>
  <c r="N94" i="5"/>
  <c r="P94" i="5" s="1"/>
  <c r="N95" i="5"/>
  <c r="P95" i="5" s="1"/>
  <c r="N96" i="5"/>
  <c r="P96" i="5" s="1"/>
  <c r="N97" i="5"/>
  <c r="P97" i="5" s="1"/>
  <c r="N98" i="5"/>
  <c r="Q98" i="5" s="1"/>
  <c r="N99" i="5"/>
  <c r="P99" i="5" s="1"/>
  <c r="N100" i="5"/>
  <c r="P100" i="5" s="1"/>
  <c r="N101" i="5"/>
  <c r="Q101" i="5" s="1"/>
  <c r="N102" i="5"/>
  <c r="P102" i="5" s="1"/>
  <c r="N103" i="5"/>
  <c r="Q103" i="5" s="1"/>
  <c r="N104" i="5"/>
  <c r="P104" i="5" s="1"/>
  <c r="N105" i="5"/>
  <c r="Q105" i="5" s="1"/>
  <c r="N106" i="5"/>
  <c r="Q106" i="5" s="1"/>
  <c r="N107" i="5"/>
  <c r="Q107" i="5" s="1"/>
  <c r="N108" i="5"/>
  <c r="P108" i="5" s="1"/>
  <c r="N109" i="5"/>
  <c r="P109" i="5" s="1"/>
  <c r="N110" i="5"/>
  <c r="P110" i="5" s="1"/>
  <c r="N111" i="5"/>
  <c r="P111" i="5" s="1"/>
  <c r="N112" i="5"/>
  <c r="P112" i="5" s="1"/>
  <c r="N113" i="5"/>
  <c r="P113" i="5" s="1"/>
  <c r="N114" i="5"/>
  <c r="Q114" i="5" s="1"/>
  <c r="N115" i="5"/>
  <c r="Q115" i="5" s="1"/>
  <c r="N116" i="5"/>
  <c r="Q116" i="5" s="1"/>
  <c r="N117" i="5"/>
  <c r="Q117" i="5" s="1"/>
  <c r="N118" i="5"/>
  <c r="Q118" i="5" s="1"/>
  <c r="N119" i="5"/>
  <c r="P119" i="5" s="1"/>
  <c r="N120" i="5"/>
  <c r="Q120" i="5" s="1"/>
  <c r="N121" i="5"/>
  <c r="Q121" i="5" s="1"/>
  <c r="N122" i="5"/>
  <c r="P122" i="5" s="1"/>
  <c r="N123" i="5"/>
  <c r="P123" i="5" s="1"/>
  <c r="N124" i="5"/>
  <c r="P124" i="5" s="1"/>
  <c r="N125" i="5"/>
  <c r="P125" i="5" s="1"/>
  <c r="N126" i="5"/>
  <c r="P126" i="5" s="1"/>
  <c r="N127" i="5"/>
  <c r="P127" i="5" s="1"/>
  <c r="N128" i="5"/>
  <c r="Q128" i="5" s="1"/>
  <c r="N129" i="5"/>
  <c r="Q129" i="5" s="1"/>
  <c r="N130" i="5"/>
  <c r="P130" i="5" s="1"/>
  <c r="N131" i="5"/>
  <c r="Q131" i="5" s="1"/>
  <c r="N132" i="5"/>
  <c r="Q132" i="5" s="1"/>
  <c r="N133" i="5"/>
  <c r="Q133" i="5" s="1"/>
  <c r="N134" i="5"/>
  <c r="P134" i="5" s="1"/>
  <c r="N135" i="5"/>
  <c r="P135" i="5" s="1"/>
  <c r="N136" i="5"/>
  <c r="P136" i="5" s="1"/>
  <c r="N137" i="5"/>
  <c r="P137" i="5" s="1"/>
  <c r="N138" i="5"/>
  <c r="P138" i="5" s="1"/>
  <c r="N139" i="5"/>
  <c r="P139" i="5" s="1"/>
  <c r="N140" i="5"/>
  <c r="P140" i="5" s="1"/>
  <c r="N141" i="5"/>
  <c r="P141" i="5" s="1"/>
  <c r="N142" i="5"/>
  <c r="P142" i="5" s="1"/>
  <c r="N143" i="5"/>
  <c r="P143" i="5" s="1"/>
  <c r="N144" i="5"/>
  <c r="P144" i="5" s="1"/>
  <c r="N145" i="5"/>
  <c r="Q145" i="5" s="1"/>
  <c r="N146" i="5"/>
  <c r="Q146" i="5" s="1"/>
  <c r="N147" i="5"/>
  <c r="Q147" i="5" s="1"/>
  <c r="N148" i="5"/>
  <c r="P148" i="5" s="1"/>
  <c r="N149" i="5"/>
  <c r="P149" i="5" s="1"/>
  <c r="N150" i="5"/>
  <c r="P150" i="5" s="1"/>
  <c r="N151" i="5"/>
  <c r="P151" i="5" s="1"/>
  <c r="N152" i="5"/>
  <c r="P152" i="5" s="1"/>
  <c r="N153" i="5"/>
  <c r="Q153" i="5" s="1"/>
  <c r="N154" i="5"/>
  <c r="Q154" i="5" s="1"/>
  <c r="N155" i="5"/>
  <c r="Q155" i="5" s="1"/>
  <c r="N156" i="5"/>
  <c r="Q156" i="5" s="1"/>
  <c r="N157" i="5"/>
  <c r="P157" i="5" s="1"/>
  <c r="N158" i="5"/>
  <c r="P158" i="5" s="1"/>
  <c r="N159" i="5"/>
  <c r="P159" i="5" s="1"/>
  <c r="N160" i="5"/>
  <c r="P160" i="5" s="1"/>
  <c r="N161" i="5"/>
  <c r="Q161" i="5" s="1"/>
  <c r="N162" i="5"/>
  <c r="Q162" i="5" s="1"/>
  <c r="N163" i="5"/>
  <c r="Q163" i="5" s="1"/>
  <c r="N164" i="5"/>
  <c r="Q164" i="5" s="1"/>
  <c r="N165" i="5"/>
  <c r="P165" i="5" s="1"/>
  <c r="N166" i="5"/>
  <c r="Q166" i="5" s="1"/>
  <c r="N167" i="5"/>
  <c r="Q167" i="5" s="1"/>
  <c r="N168" i="5"/>
  <c r="Q168" i="5" s="1"/>
  <c r="N169" i="5"/>
  <c r="Q169" i="5" s="1"/>
  <c r="N170" i="5"/>
  <c r="P170" i="5" s="1"/>
  <c r="N171" i="5"/>
  <c r="P171" i="5" s="1"/>
  <c r="N172" i="5"/>
  <c r="P172" i="5" s="1"/>
  <c r="N173" i="5"/>
  <c r="P173" i="5" s="1"/>
  <c r="N174" i="5"/>
  <c r="Q174" i="5" s="1"/>
  <c r="N175" i="5"/>
  <c r="P175" i="5" s="1"/>
  <c r="N176" i="5"/>
  <c r="P176" i="5" s="1"/>
  <c r="N177" i="5"/>
  <c r="P177" i="5" s="1"/>
  <c r="N178" i="5"/>
  <c r="P178" i="5" s="1"/>
  <c r="N179" i="5"/>
  <c r="Q179" i="5" s="1"/>
  <c r="N180" i="5"/>
  <c r="Q180" i="5" s="1"/>
  <c r="N181" i="5"/>
  <c r="Q181" i="5" s="1"/>
  <c r="N182" i="5"/>
  <c r="Q182" i="5" s="1"/>
  <c r="N183" i="5"/>
  <c r="Q183" i="5" s="1"/>
  <c r="N184" i="5"/>
  <c r="Q184" i="5" s="1"/>
  <c r="N185" i="5"/>
  <c r="P185" i="5" s="1"/>
  <c r="N186" i="5"/>
  <c r="Q186" i="5" s="1"/>
  <c r="N187" i="5"/>
  <c r="P187" i="5" s="1"/>
  <c r="N188" i="5"/>
  <c r="P188" i="5" s="1"/>
  <c r="N189" i="5"/>
  <c r="Q189" i="5" s="1"/>
  <c r="N190" i="5"/>
  <c r="Q190" i="5" s="1"/>
  <c r="N191" i="5"/>
  <c r="Q191" i="5" s="1"/>
  <c r="N192" i="5"/>
  <c r="Q192" i="5" s="1"/>
  <c r="N193" i="5"/>
  <c r="Q193" i="5" s="1"/>
  <c r="N194" i="5"/>
  <c r="Q194" i="5" s="1"/>
  <c r="N195" i="5"/>
  <c r="P195" i="5" s="1"/>
  <c r="N196" i="5"/>
  <c r="P196" i="5" s="1"/>
  <c r="N197" i="5"/>
  <c r="P197" i="5" s="1"/>
  <c r="N198" i="5"/>
  <c r="P198" i="5" s="1"/>
  <c r="N199" i="5"/>
  <c r="P199" i="5" s="1"/>
  <c r="N200" i="5"/>
  <c r="Q200" i="5" s="1"/>
  <c r="N201" i="5"/>
  <c r="Q201" i="5" s="1"/>
  <c r="N202" i="5"/>
  <c r="Q202" i="5" s="1"/>
  <c r="N203" i="5"/>
  <c r="Q203" i="5" s="1"/>
  <c r="N204" i="5"/>
  <c r="Q204" i="5" s="1"/>
  <c r="N205" i="5"/>
  <c r="Q205" i="5" s="1"/>
  <c r="N206" i="5"/>
  <c r="P206" i="5" s="1"/>
  <c r="N207" i="5"/>
  <c r="P207" i="5" s="1"/>
  <c r="N208" i="5"/>
  <c r="P208" i="5" s="1"/>
  <c r="N209" i="5"/>
  <c r="P209" i="5" s="1"/>
  <c r="N210" i="5"/>
  <c r="P210" i="5" s="1"/>
  <c r="N211" i="5"/>
  <c r="P211" i="5" s="1"/>
  <c r="N212" i="5"/>
  <c r="P212" i="5" s="1"/>
  <c r="N213" i="5"/>
  <c r="P213" i="5" s="1"/>
  <c r="N214" i="5"/>
  <c r="Q214" i="5" s="1"/>
  <c r="N215" i="5"/>
  <c r="Q215" i="5" s="1"/>
  <c r="N216" i="5"/>
  <c r="Q216" i="5" s="1"/>
  <c r="N217" i="5"/>
  <c r="Q217" i="5" s="1"/>
  <c r="N218" i="5"/>
  <c r="Q218" i="5" s="1"/>
  <c r="N219" i="5"/>
  <c r="Q219" i="5" s="1"/>
  <c r="N220" i="5"/>
  <c r="Q220" i="5" s="1"/>
  <c r="N221" i="5"/>
  <c r="Q221" i="5" s="1"/>
  <c r="N222" i="5"/>
  <c r="Q222" i="5" s="1"/>
  <c r="N223" i="5"/>
  <c r="Q223" i="5" s="1"/>
  <c r="N224" i="5"/>
  <c r="Q224" i="5" s="1"/>
  <c r="N225" i="5"/>
  <c r="Q225" i="5" s="1"/>
  <c r="N226" i="5"/>
  <c r="Q226" i="5" s="1"/>
  <c r="N227" i="5"/>
  <c r="Q227" i="5" s="1"/>
  <c r="N228" i="5"/>
  <c r="P228" i="5" s="1"/>
  <c r="N229" i="5"/>
  <c r="P229" i="5" s="1"/>
  <c r="N230" i="5"/>
  <c r="P230" i="5" s="1"/>
  <c r="N231" i="5"/>
  <c r="P231" i="5" s="1"/>
  <c r="N232" i="5"/>
  <c r="P232" i="5" s="1"/>
  <c r="N233" i="5"/>
  <c r="P233" i="5" s="1"/>
  <c r="N234" i="5"/>
  <c r="P234" i="5" s="1"/>
  <c r="N235" i="5"/>
  <c r="P235" i="5" s="1"/>
  <c r="N236" i="5"/>
  <c r="P236" i="5" s="1"/>
  <c r="N237" i="5"/>
  <c r="P237" i="5" s="1"/>
  <c r="N238" i="5"/>
  <c r="P238" i="5" s="1"/>
  <c r="N239" i="5"/>
  <c r="P239" i="5" s="1"/>
  <c r="N240" i="5"/>
  <c r="P240" i="5" s="1"/>
  <c r="N241" i="5"/>
  <c r="Q241" i="5" s="1"/>
  <c r="N242" i="5"/>
  <c r="Q242" i="5" s="1"/>
  <c r="N243" i="5"/>
  <c r="Q243" i="5" s="1"/>
  <c r="N244" i="5"/>
  <c r="Q244" i="5" s="1"/>
  <c r="N245" i="5"/>
  <c r="P245" i="5" s="1"/>
  <c r="N246" i="5"/>
  <c r="Q246" i="5" s="1"/>
  <c r="N247" i="5"/>
  <c r="Q247" i="5" s="1"/>
  <c r="N248" i="5"/>
  <c r="P248" i="5" s="1"/>
  <c r="N249" i="5"/>
  <c r="P249" i="5" s="1"/>
  <c r="N250" i="5"/>
  <c r="Q250" i="5" s="1"/>
  <c r="N251" i="5"/>
  <c r="Q251" i="5" s="1"/>
  <c r="N252" i="5"/>
  <c r="Q252" i="5" s="1"/>
  <c r="N253" i="5"/>
  <c r="P253" i="5" s="1"/>
  <c r="N254" i="5"/>
  <c r="P254" i="5" s="1"/>
  <c r="N255" i="5"/>
  <c r="P255" i="5" s="1"/>
  <c r="N256" i="5"/>
  <c r="P256" i="5" s="1"/>
  <c r="N257" i="5"/>
  <c r="Q257" i="5" s="1"/>
  <c r="N258" i="5"/>
  <c r="Q258" i="5" s="1"/>
  <c r="N259" i="5"/>
  <c r="Q259" i="5" s="1"/>
  <c r="N260" i="5"/>
  <c r="Q260" i="5" s="1"/>
  <c r="N261" i="5"/>
  <c r="Q261" i="5" s="1"/>
  <c r="N262" i="5"/>
  <c r="Q262" i="5" s="1"/>
  <c r="N263" i="5"/>
  <c r="Q263" i="5" s="1"/>
  <c r="N264" i="5"/>
  <c r="P264" i="5" s="1"/>
  <c r="N265" i="5"/>
  <c r="Q265" i="5" s="1"/>
  <c r="N266" i="5"/>
  <c r="Q266" i="5" s="1"/>
  <c r="N267" i="5"/>
  <c r="Q267" i="5" s="1"/>
  <c r="N268" i="5"/>
  <c r="P268" i="5" s="1"/>
  <c r="N269" i="5"/>
  <c r="Q269" i="5" s="1"/>
  <c r="N270" i="5"/>
  <c r="Q270" i="5" s="1"/>
  <c r="N271" i="5"/>
  <c r="Q271" i="5" s="1"/>
  <c r="N272" i="5"/>
  <c r="P272" i="5" s="1"/>
  <c r="N273" i="5"/>
  <c r="P273" i="5" s="1"/>
  <c r="N274" i="5"/>
  <c r="Q274" i="5" s="1"/>
  <c r="N275" i="5"/>
  <c r="Q275" i="5" s="1"/>
  <c r="N276" i="5"/>
  <c r="Q276" i="5" s="1"/>
  <c r="N277" i="5"/>
  <c r="Q277" i="5" s="1"/>
  <c r="N278" i="5"/>
  <c r="Q278" i="5" s="1"/>
  <c r="N279" i="5"/>
  <c r="P279" i="5" s="1"/>
  <c r="N280" i="5"/>
  <c r="P280" i="5" s="1"/>
  <c r="N281" i="5"/>
  <c r="Q281" i="5" s="1"/>
  <c r="N282" i="5"/>
  <c r="Q282" i="5" s="1"/>
  <c r="N283" i="5"/>
  <c r="Q283" i="5" s="1"/>
  <c r="N284" i="5"/>
  <c r="Q284" i="5" s="1"/>
  <c r="N285" i="5"/>
  <c r="P285" i="5" s="1"/>
  <c r="N286" i="5"/>
  <c r="Q286" i="5" s="1"/>
  <c r="N287" i="5"/>
  <c r="Q287" i="5" s="1"/>
  <c r="N288" i="5"/>
  <c r="Q288" i="5" s="1"/>
  <c r="N289" i="5"/>
  <c r="P289" i="5" s="1"/>
  <c r="N290" i="5"/>
  <c r="P290" i="5" s="1"/>
  <c r="N291" i="5"/>
  <c r="P291" i="5" s="1"/>
  <c r="N292" i="5"/>
  <c r="Q292" i="5" s="1"/>
  <c r="N293" i="5"/>
  <c r="Q293" i="5" s="1"/>
  <c r="N294" i="5"/>
  <c r="Q294" i="5" s="1"/>
  <c r="N295" i="5"/>
  <c r="Q295" i="5" s="1"/>
  <c r="N296" i="5"/>
  <c r="Q296" i="5" s="1"/>
  <c r="N297" i="5"/>
  <c r="Q297" i="5" s="1"/>
  <c r="N298" i="5"/>
  <c r="Q298" i="5" s="1"/>
  <c r="N299" i="5"/>
  <c r="Q299" i="5" s="1"/>
  <c r="N300" i="5"/>
  <c r="P300" i="5" s="1"/>
  <c r="N301" i="5"/>
  <c r="Q301" i="5" s="1"/>
  <c r="N302" i="5"/>
  <c r="Q302" i="5" s="1"/>
  <c r="N303" i="5"/>
  <c r="Q303" i="5" s="1"/>
  <c r="N304" i="5"/>
  <c r="P304" i="5" s="1"/>
  <c r="N305" i="5"/>
  <c r="P305" i="5" s="1"/>
  <c r="N306" i="5"/>
  <c r="P306" i="5" s="1"/>
  <c r="N307" i="5"/>
  <c r="Q307" i="5" s="1"/>
  <c r="N308" i="5"/>
  <c r="Q308" i="5" s="1"/>
  <c r="N309" i="5"/>
  <c r="Q309" i="5" s="1"/>
  <c r="N310" i="5"/>
  <c r="P310" i="5" s="1"/>
  <c r="N311" i="5"/>
  <c r="Q311" i="5" s="1"/>
  <c r="N312" i="5"/>
  <c r="P312" i="5" s="1"/>
  <c r="N313" i="5"/>
  <c r="P313" i="5" s="1"/>
  <c r="N314" i="5"/>
  <c r="P314" i="5" s="1"/>
  <c r="N315" i="5"/>
  <c r="Q315" i="5" s="1"/>
  <c r="N316" i="5"/>
  <c r="Q316" i="5" s="1"/>
  <c r="N317" i="5"/>
  <c r="Q317" i="5" s="1"/>
  <c r="N318" i="5"/>
  <c r="P318" i="5" s="1"/>
  <c r="N319" i="5"/>
  <c r="Q319" i="5" s="1"/>
  <c r="N320" i="5"/>
  <c r="P320" i="5" s="1"/>
  <c r="N321" i="5"/>
  <c r="P321" i="5" s="1"/>
  <c r="N322" i="5"/>
  <c r="Q322" i="5" s="1"/>
  <c r="N323" i="5"/>
  <c r="Q323" i="5" s="1"/>
  <c r="N324" i="5"/>
  <c r="P324" i="5" s="1"/>
  <c r="N325" i="5"/>
  <c r="P325" i="5" s="1"/>
  <c r="N326" i="5"/>
  <c r="P326" i="5" s="1"/>
  <c r="N327" i="5"/>
  <c r="Q327" i="5" s="1"/>
  <c r="N328" i="5"/>
  <c r="Q328" i="5" s="1"/>
  <c r="N329" i="5"/>
  <c r="Q329" i="5" s="1"/>
  <c r="N330" i="5"/>
  <c r="P330" i="5" s="1"/>
  <c r="N331" i="5"/>
  <c r="Q331" i="5" s="1"/>
  <c r="N332" i="5"/>
  <c r="P332" i="5" s="1"/>
  <c r="N333" i="5"/>
  <c r="Q333" i="5" s="1"/>
  <c r="N334" i="5"/>
  <c r="P334" i="5" s="1"/>
  <c r="N335" i="5"/>
  <c r="P335" i="5" s="1"/>
  <c r="N336" i="5"/>
  <c r="Q336" i="5" s="1"/>
  <c r="N337" i="5"/>
  <c r="Q337" i="5" s="1"/>
  <c r="N338" i="5"/>
  <c r="Q338" i="5" s="1"/>
  <c r="N339" i="5"/>
  <c r="Q339" i="5" s="1"/>
  <c r="N340" i="5"/>
  <c r="Q340" i="5" s="1"/>
  <c r="N341" i="5"/>
  <c r="Q341" i="5" s="1"/>
  <c r="N342" i="5"/>
  <c r="P342" i="5" s="1"/>
  <c r="N343" i="5"/>
  <c r="P343" i="5" s="1"/>
  <c r="N344" i="5"/>
  <c r="Q344" i="5" s="1"/>
  <c r="N345" i="5"/>
  <c r="Q345" i="5" s="1"/>
  <c r="N346" i="5"/>
  <c r="P346" i="5" s="1"/>
  <c r="N347" i="5"/>
  <c r="Q347" i="5" s="1"/>
  <c r="N348" i="5"/>
  <c r="Q348" i="5" s="1"/>
  <c r="N349" i="5"/>
  <c r="Q349" i="5" s="1"/>
  <c r="N350" i="5"/>
  <c r="Q350" i="5" s="1"/>
  <c r="N351" i="5"/>
  <c r="P351" i="5" s="1"/>
  <c r="N352" i="5"/>
  <c r="Q352" i="5" s="1"/>
  <c r="N353" i="5"/>
  <c r="Q353" i="5" s="1"/>
  <c r="N354" i="5"/>
  <c r="Q354" i="5" s="1"/>
  <c r="N355" i="5"/>
  <c r="Q355" i="5" s="1"/>
  <c r="N356" i="5"/>
  <c r="P356" i="5" s="1"/>
  <c r="N357" i="5"/>
  <c r="P357" i="5" s="1"/>
  <c r="N358" i="5"/>
  <c r="P358" i="5" s="1"/>
  <c r="N359" i="5"/>
  <c r="P359" i="5" s="1"/>
  <c r="N360" i="5"/>
  <c r="Q360" i="5" s="1"/>
  <c r="N361" i="5"/>
  <c r="P361" i="5" s="1"/>
  <c r="N362" i="5"/>
  <c r="P362" i="5" s="1"/>
  <c r="N363" i="5"/>
  <c r="P363" i="5" s="1"/>
  <c r="N364" i="5"/>
  <c r="P364" i="5" s="1"/>
  <c r="N365" i="5"/>
  <c r="Q365" i="5" s="1"/>
  <c r="N366" i="5"/>
  <c r="P366" i="5" s="1"/>
  <c r="N367" i="5"/>
  <c r="Q367" i="5" s="1"/>
  <c r="N368" i="5"/>
  <c r="Q368" i="5" s="1"/>
  <c r="N369" i="5"/>
  <c r="P369" i="5" s="1"/>
  <c r="N370" i="5"/>
  <c r="Q370" i="5" s="1"/>
  <c r="N371" i="5"/>
  <c r="Q371" i="5" s="1"/>
  <c r="N372" i="5"/>
  <c r="Q372" i="5" s="1"/>
  <c r="N373" i="5"/>
  <c r="Q373" i="5" s="1"/>
  <c r="N374" i="5"/>
  <c r="Q374" i="5" s="1"/>
  <c r="N375" i="5"/>
  <c r="Q375" i="5" s="1"/>
  <c r="N376" i="5"/>
  <c r="P376" i="5" s="1"/>
  <c r="N377" i="5"/>
  <c r="Q377" i="5" s="1"/>
  <c r="N378" i="5"/>
  <c r="P378" i="5" s="1"/>
  <c r="N379" i="5"/>
  <c r="Q379" i="5" s="1"/>
  <c r="N380" i="5"/>
  <c r="P380" i="5" s="1"/>
  <c r="N381" i="5"/>
  <c r="P381" i="5" s="1"/>
  <c r="N382" i="5"/>
  <c r="Q382" i="5" s="1"/>
  <c r="N383" i="5"/>
  <c r="Q383" i="5" s="1"/>
  <c r="N384" i="5"/>
  <c r="Q384" i="5" s="1"/>
  <c r="N385" i="5"/>
  <c r="Q385" i="5" s="1"/>
  <c r="N386" i="5"/>
  <c r="Q386" i="5" s="1"/>
  <c r="N387" i="5"/>
  <c r="Q387" i="5" s="1"/>
  <c r="N388" i="5"/>
  <c r="P388" i="5" s="1"/>
  <c r="N389" i="5"/>
  <c r="P389" i="5" s="1"/>
  <c r="N390" i="5"/>
  <c r="P390" i="5" s="1"/>
  <c r="N391" i="5"/>
  <c r="Q391" i="5" s="1"/>
  <c r="N392" i="5"/>
  <c r="Q392" i="5" s="1"/>
  <c r="N393" i="5"/>
  <c r="Q393" i="5" s="1"/>
  <c r="N394" i="5"/>
  <c r="Q394" i="5" s="1"/>
  <c r="N395" i="5"/>
  <c r="P395" i="5" s="1"/>
  <c r="N396" i="5"/>
  <c r="Q396" i="5" s="1"/>
  <c r="N397" i="5"/>
  <c r="P397" i="5" s="1"/>
  <c r="N398" i="5"/>
  <c r="P398" i="5" s="1"/>
  <c r="N399" i="5"/>
  <c r="Q399" i="5" s="1"/>
  <c r="N400" i="5"/>
  <c r="Q400" i="5" s="1"/>
  <c r="N401" i="5"/>
  <c r="Q401" i="5" s="1"/>
  <c r="N402" i="5"/>
  <c r="Q402" i="5" s="1"/>
  <c r="N403" i="5"/>
  <c r="P403" i="5" s="1"/>
  <c r="N404" i="5"/>
  <c r="P404" i="5" s="1"/>
  <c r="N405" i="5"/>
  <c r="P405" i="5" s="1"/>
  <c r="N406" i="5"/>
  <c r="Q406" i="5" s="1"/>
  <c r="N407" i="5"/>
  <c r="Q407" i="5" s="1"/>
  <c r="N408" i="5"/>
  <c r="Q408" i="5" s="1"/>
  <c r="N409" i="5"/>
  <c r="P409" i="5" s="1"/>
  <c r="N410" i="5"/>
  <c r="Q410" i="5" s="1"/>
  <c r="N411" i="5"/>
  <c r="Q411" i="5" s="1"/>
  <c r="N412" i="5"/>
  <c r="Q412" i="5" s="1"/>
  <c r="N413" i="5"/>
  <c r="Q413" i="5" s="1"/>
  <c r="N414" i="5"/>
  <c r="P414" i="5" s="1"/>
  <c r="N415" i="5"/>
  <c r="P415" i="5" s="1"/>
  <c r="N416" i="5"/>
  <c r="Q416" i="5" s="1"/>
  <c r="N417" i="5"/>
  <c r="Q417" i="5" s="1"/>
  <c r="N418" i="5"/>
  <c r="Q418" i="5" s="1"/>
  <c r="N419" i="5"/>
  <c r="P419" i="5" s="1"/>
  <c r="N420" i="5"/>
  <c r="P420" i="5" s="1"/>
  <c r="N421" i="5"/>
  <c r="P421" i="5" s="1"/>
  <c r="N422" i="5"/>
  <c r="P422" i="5" s="1"/>
  <c r="N423" i="5"/>
  <c r="P423" i="5" s="1"/>
  <c r="N424" i="5"/>
  <c r="P424" i="5" s="1"/>
  <c r="N425" i="5"/>
  <c r="P425" i="5" s="1"/>
  <c r="N426" i="5"/>
  <c r="P426" i="5" s="1"/>
  <c r="N427" i="5"/>
  <c r="P427" i="5" s="1"/>
  <c r="N428" i="5"/>
  <c r="P428" i="5" s="1"/>
  <c r="N429" i="5"/>
  <c r="P429" i="5" s="1"/>
  <c r="N430" i="5"/>
  <c r="P430" i="5" s="1"/>
  <c r="N431" i="5"/>
  <c r="P431" i="5" s="1"/>
  <c r="N432" i="5"/>
  <c r="P432" i="5" s="1"/>
  <c r="N433" i="5"/>
  <c r="P433" i="5" s="1"/>
  <c r="N434" i="5"/>
  <c r="P434" i="5" s="1"/>
  <c r="N435" i="5"/>
  <c r="P435" i="5" s="1"/>
  <c r="N436" i="5"/>
  <c r="P436" i="5" s="1"/>
  <c r="N437" i="5"/>
  <c r="P437" i="5" s="1"/>
  <c r="N438" i="5"/>
  <c r="P438" i="5" s="1"/>
  <c r="N439" i="5"/>
  <c r="P439" i="5" s="1"/>
  <c r="N440" i="5"/>
  <c r="P440" i="5" s="1"/>
  <c r="N441" i="5"/>
  <c r="P441" i="5" s="1"/>
  <c r="N442" i="5"/>
  <c r="P442" i="5" s="1"/>
  <c r="N443" i="5"/>
  <c r="P443" i="5" s="1"/>
  <c r="N444" i="5"/>
  <c r="Q444" i="5" s="1"/>
  <c r="N445" i="5"/>
  <c r="Q445" i="5" s="1"/>
  <c r="N446" i="5"/>
  <c r="P446" i="5" s="1"/>
  <c r="N447" i="5"/>
  <c r="P447" i="5" s="1"/>
  <c r="N448" i="5"/>
  <c r="Q448" i="5" s="1"/>
  <c r="N449" i="5"/>
  <c r="Q449" i="5" s="1"/>
  <c r="N450" i="5"/>
  <c r="P450" i="5" s="1"/>
  <c r="N451" i="5"/>
  <c r="P451" i="5" s="1"/>
  <c r="N452" i="5"/>
  <c r="P452" i="5" s="1"/>
  <c r="N453" i="5"/>
  <c r="P453" i="5" s="1"/>
  <c r="N454" i="5"/>
  <c r="P454" i="5" s="1"/>
  <c r="N455" i="5"/>
  <c r="P455" i="5" s="1"/>
  <c r="N456" i="5"/>
  <c r="P456" i="5" s="1"/>
  <c r="N457" i="5"/>
  <c r="P457" i="5" s="1"/>
  <c r="N458" i="5"/>
  <c r="Q458" i="5" s="1"/>
  <c r="N459" i="5"/>
  <c r="Q459" i="5" s="1"/>
  <c r="N460" i="5"/>
  <c r="Q460" i="5" s="1"/>
  <c r="N461" i="5"/>
  <c r="Q461" i="5" s="1"/>
  <c r="N462" i="5"/>
  <c r="P462" i="5" s="1"/>
  <c r="N463" i="5"/>
  <c r="P463" i="5" s="1"/>
  <c r="N464" i="5"/>
  <c r="P464" i="5" s="1"/>
  <c r="N465" i="5"/>
  <c r="Q465" i="5" s="1"/>
  <c r="N466" i="5"/>
  <c r="Q466" i="5" s="1"/>
  <c r="N467" i="5"/>
  <c r="P467" i="5" s="1"/>
  <c r="N468" i="5"/>
  <c r="P468" i="5" s="1"/>
  <c r="N469" i="5"/>
  <c r="P469" i="5" s="1"/>
  <c r="N470" i="5"/>
  <c r="P470" i="5" s="1"/>
  <c r="N471" i="5"/>
  <c r="P471" i="5" s="1"/>
  <c r="N472" i="5"/>
  <c r="P472" i="5" s="1"/>
  <c r="N473" i="5"/>
  <c r="Q473" i="5" s="1"/>
  <c r="N474" i="5"/>
  <c r="Q474" i="5" s="1"/>
  <c r="N475" i="5"/>
  <c r="P475" i="5" s="1"/>
  <c r="N476" i="5"/>
  <c r="Q476" i="5" s="1"/>
  <c r="N477" i="5"/>
  <c r="Q477" i="5" s="1"/>
  <c r="N478" i="5"/>
  <c r="P478" i="5" s="1"/>
  <c r="N479" i="5"/>
  <c r="P479" i="5" s="1"/>
  <c r="N480" i="5"/>
  <c r="P480" i="5" s="1"/>
  <c r="N481" i="5"/>
  <c r="P481" i="5" s="1"/>
  <c r="N482" i="5"/>
  <c r="Q482" i="5" s="1"/>
  <c r="N483" i="5"/>
  <c r="P483" i="5" s="1"/>
  <c r="N484" i="5"/>
  <c r="Q484" i="5" s="1"/>
  <c r="N485" i="5"/>
  <c r="P485" i="5" s="1"/>
  <c r="N486" i="5"/>
  <c r="P486" i="5" s="1"/>
  <c r="N487" i="5"/>
  <c r="P487" i="5" s="1"/>
  <c r="N488" i="5"/>
  <c r="Q488" i="5" s="1"/>
  <c r="N489" i="5"/>
  <c r="Q489" i="5" s="1"/>
  <c r="N490" i="5"/>
  <c r="P490" i="5" s="1"/>
  <c r="N491" i="5"/>
  <c r="P491" i="5" s="1"/>
  <c r="N492" i="5"/>
  <c r="P492" i="5" s="1"/>
  <c r="N493" i="5"/>
  <c r="P493" i="5" s="1"/>
  <c r="N494" i="5"/>
  <c r="P494" i="5" s="1"/>
  <c r="N495" i="5"/>
  <c r="P495" i="5" s="1"/>
  <c r="N496" i="5"/>
  <c r="P496" i="5" s="1"/>
  <c r="N497" i="5"/>
  <c r="P497" i="5" s="1"/>
  <c r="N498" i="5"/>
  <c r="P498" i="5" s="1"/>
  <c r="N499" i="5"/>
  <c r="P499" i="5" s="1"/>
  <c r="N500" i="5"/>
  <c r="Q500" i="5" s="1"/>
  <c r="N501" i="5"/>
  <c r="Q501" i="5" s="1"/>
  <c r="N502" i="5"/>
  <c r="Q502" i="5" s="1"/>
  <c r="N503" i="5"/>
  <c r="P503" i="5" s="1"/>
  <c r="N504" i="5"/>
  <c r="P504" i="5" s="1"/>
  <c r="N505" i="5"/>
  <c r="P505" i="5" s="1"/>
  <c r="N506" i="5"/>
  <c r="P506" i="5" s="1"/>
  <c r="N507" i="5"/>
  <c r="P507" i="5" s="1"/>
  <c r="N508" i="5"/>
  <c r="P508" i="5" s="1"/>
  <c r="N509" i="5"/>
  <c r="Q509" i="5" s="1"/>
  <c r="N510" i="5"/>
  <c r="Q510" i="5" s="1"/>
  <c r="N511" i="5"/>
  <c r="P511" i="5" s="1"/>
  <c r="N512" i="5"/>
  <c r="P512" i="5" s="1"/>
  <c r="N513" i="5"/>
  <c r="P513" i="5" s="1"/>
  <c r="N514" i="5"/>
  <c r="P514" i="5" s="1"/>
  <c r="N515" i="5"/>
  <c r="Q515" i="5" s="1"/>
  <c r="N516" i="5"/>
  <c r="Q516" i="5" s="1"/>
  <c r="N517" i="5"/>
  <c r="P517" i="5" s="1"/>
  <c r="N518" i="5"/>
  <c r="P518" i="5" s="1"/>
  <c r="N519" i="5"/>
  <c r="P519" i="5" s="1"/>
  <c r="N520" i="5"/>
  <c r="P520" i="5" s="1"/>
  <c r="N521" i="5"/>
  <c r="P521" i="5" s="1"/>
  <c r="N522" i="5"/>
  <c r="P522" i="5" s="1"/>
  <c r="N523" i="5"/>
  <c r="P523" i="5" s="1"/>
  <c r="N524" i="5"/>
  <c r="P524" i="5" s="1"/>
  <c r="N525" i="5"/>
  <c r="P525" i="5" s="1"/>
  <c r="N526" i="5"/>
  <c r="P526" i="5" s="1"/>
  <c r="N527" i="5"/>
  <c r="P527" i="5" s="1"/>
  <c r="N528" i="5"/>
  <c r="P528" i="5" s="1"/>
  <c r="N529" i="5"/>
  <c r="P529" i="5" s="1"/>
  <c r="N530" i="5"/>
  <c r="Q530" i="5" s="1"/>
  <c r="N531" i="5"/>
  <c r="Q531" i="5" s="1"/>
  <c r="N532" i="5"/>
  <c r="P532" i="5" s="1"/>
  <c r="N533" i="5"/>
  <c r="P533" i="5" s="1"/>
  <c r="N534" i="5"/>
  <c r="P534" i="5" s="1"/>
  <c r="N535" i="5"/>
  <c r="Q535" i="5" s="1"/>
  <c r="N536" i="5"/>
  <c r="Q536" i="5" s="1"/>
  <c r="N537" i="5"/>
  <c r="P537" i="5" s="1"/>
  <c r="N538" i="5"/>
  <c r="P538" i="5" s="1"/>
  <c r="N539" i="5"/>
  <c r="P539" i="5" s="1"/>
  <c r="N540" i="5"/>
  <c r="P540" i="5" s="1"/>
  <c r="N541" i="5"/>
  <c r="P541" i="5" s="1"/>
  <c r="N542" i="5"/>
  <c r="P542" i="5" s="1"/>
  <c r="N543" i="5"/>
  <c r="Q543" i="5" s="1"/>
  <c r="N544" i="5"/>
  <c r="Q544" i="5" s="1"/>
  <c r="N545" i="5"/>
  <c r="P545" i="5" s="1"/>
  <c r="N546" i="5"/>
  <c r="P546" i="5" s="1"/>
  <c r="N547" i="5"/>
  <c r="P547" i="5" s="1"/>
  <c r="N548" i="5"/>
  <c r="Q548" i="5" s="1"/>
  <c r="N549" i="5"/>
  <c r="P549" i="5" s="1"/>
  <c r="N550" i="5"/>
  <c r="P550" i="5" s="1"/>
  <c r="N551" i="5"/>
  <c r="P551" i="5" s="1"/>
  <c r="N552" i="5"/>
  <c r="P552" i="5" s="1"/>
  <c r="N553" i="5"/>
  <c r="P553" i="5" s="1"/>
  <c r="N554" i="5"/>
  <c r="Q554" i="5" s="1"/>
  <c r="N555" i="5"/>
  <c r="Q555" i="5" s="1"/>
  <c r="N556" i="5"/>
  <c r="P556" i="5" s="1"/>
  <c r="N557" i="5"/>
  <c r="P557" i="5" s="1"/>
  <c r="N558" i="5"/>
  <c r="P558" i="5" s="1"/>
  <c r="N559" i="5"/>
  <c r="Q559" i="5" s="1"/>
  <c r="N560" i="5"/>
  <c r="Q560" i="5" s="1"/>
  <c r="N561" i="5"/>
  <c r="P561" i="5" s="1"/>
  <c r="N562" i="5"/>
  <c r="P562" i="5" s="1"/>
  <c r="N563" i="5"/>
  <c r="P563" i="5" s="1"/>
  <c r="N564" i="5"/>
  <c r="P564" i="5" s="1"/>
  <c r="N565" i="5"/>
  <c r="P565" i="5" s="1"/>
  <c r="N566" i="5"/>
  <c r="Q566" i="5" s="1"/>
  <c r="N567" i="5"/>
  <c r="P567" i="5" s="1"/>
  <c r="N568" i="5"/>
  <c r="Q568" i="5" s="1"/>
  <c r="N569" i="5"/>
  <c r="Q569" i="5" s="1"/>
  <c r="N570" i="5"/>
  <c r="P570" i="5" s="1"/>
  <c r="N571" i="5"/>
  <c r="P571" i="5" s="1"/>
  <c r="N572" i="5"/>
  <c r="Q572" i="5" s="1"/>
  <c r="N573" i="5"/>
  <c r="Q573" i="5" s="1"/>
  <c r="N574" i="5"/>
  <c r="P574" i="5" s="1"/>
  <c r="N575" i="5"/>
  <c r="P575" i="5" s="1"/>
  <c r="N576" i="5"/>
  <c r="P576" i="5" s="1"/>
  <c r="N577" i="5"/>
  <c r="Q577" i="5" s="1"/>
  <c r="N578" i="5"/>
  <c r="Q578" i="5" s="1"/>
  <c r="N579" i="5"/>
  <c r="P579" i="5" s="1"/>
  <c r="N580" i="5"/>
  <c r="P580" i="5" s="1"/>
  <c r="N581" i="5"/>
  <c r="P581" i="5" s="1"/>
  <c r="N582" i="5"/>
  <c r="P582" i="5" s="1"/>
  <c r="N583" i="5"/>
  <c r="P583" i="5" s="1"/>
  <c r="N584" i="5"/>
  <c r="P584" i="5" s="1"/>
  <c r="N585" i="5"/>
  <c r="P585" i="5" s="1"/>
  <c r="N586" i="5"/>
  <c r="P586" i="5" s="1"/>
  <c r="N587" i="5"/>
  <c r="P587" i="5" s="1"/>
  <c r="N588" i="5"/>
  <c r="Q588" i="5" s="1"/>
  <c r="N589" i="5"/>
  <c r="Q589" i="5" s="1"/>
  <c r="N590" i="5"/>
  <c r="P590" i="5" s="1"/>
  <c r="N591" i="5"/>
  <c r="P591" i="5" s="1"/>
  <c r="N592" i="5"/>
  <c r="P592" i="5" s="1"/>
  <c r="N593" i="5"/>
  <c r="P593" i="5" s="1"/>
  <c r="N594" i="5"/>
  <c r="Q594" i="5" s="1"/>
  <c r="N595" i="5"/>
  <c r="Q595" i="5" s="1"/>
  <c r="N596" i="5"/>
  <c r="P596" i="5" s="1"/>
  <c r="N597" i="5"/>
  <c r="P597" i="5" s="1"/>
  <c r="N598" i="5"/>
  <c r="P598" i="5" s="1"/>
  <c r="N599" i="5"/>
  <c r="P599" i="5" s="1"/>
  <c r="N600" i="5"/>
  <c r="P600" i="5" s="1"/>
  <c r="N601" i="5"/>
  <c r="P601" i="5" s="1"/>
  <c r="N602" i="5"/>
  <c r="P602" i="5" s="1"/>
  <c r="N603" i="5"/>
  <c r="Q603" i="5" s="1"/>
  <c r="N604" i="5"/>
  <c r="Q604" i="5" s="1"/>
  <c r="N605" i="5"/>
  <c r="P605" i="5" s="1"/>
  <c r="N606" i="5"/>
  <c r="P606" i="5" s="1"/>
  <c r="N607" i="5"/>
  <c r="P607" i="5" s="1"/>
  <c r="N608" i="5"/>
  <c r="P608" i="5" s="1"/>
  <c r="N609" i="5"/>
  <c r="P609" i="5" s="1"/>
  <c r="N610" i="5"/>
  <c r="P610" i="5" s="1"/>
  <c r="N611" i="5"/>
  <c r="P611" i="5" s="1"/>
  <c r="N612" i="5"/>
  <c r="P612" i="5" s="1"/>
  <c r="N613" i="5"/>
  <c r="Q613" i="5" s="1"/>
  <c r="N614" i="5"/>
  <c r="Q614" i="5" s="1"/>
  <c r="N615" i="5"/>
  <c r="P615" i="5" s="1"/>
  <c r="N616" i="5"/>
  <c r="P616" i="5" s="1"/>
  <c r="N617" i="5"/>
  <c r="P617" i="5" s="1"/>
  <c r="N618" i="5"/>
  <c r="P618" i="5" s="1"/>
  <c r="N619" i="5"/>
  <c r="P619" i="5" s="1"/>
  <c r="N620" i="5"/>
  <c r="P620" i="5" s="1"/>
  <c r="N621" i="5"/>
  <c r="Q621" i="5" s="1"/>
  <c r="N622" i="5"/>
  <c r="Q622" i="5" s="1"/>
  <c r="N623" i="5"/>
  <c r="P623" i="5" s="1"/>
  <c r="N624" i="5"/>
  <c r="P624" i="5" s="1"/>
  <c r="N625" i="5"/>
  <c r="P625" i="5" s="1"/>
  <c r="N626" i="5"/>
  <c r="Q626" i="5" s="1"/>
  <c r="N627" i="5"/>
  <c r="Q627" i="5" s="1"/>
  <c r="N628" i="5"/>
  <c r="P628" i="5" s="1"/>
  <c r="N629" i="5"/>
  <c r="P629" i="5" s="1"/>
  <c r="N630" i="5"/>
  <c r="P630" i="5" s="1"/>
  <c r="N631" i="5"/>
  <c r="P631" i="5" s="1"/>
  <c r="N632" i="5"/>
  <c r="Q632" i="5" s="1"/>
  <c r="N633" i="5"/>
  <c r="Q633" i="5" s="1"/>
  <c r="N634" i="5"/>
  <c r="P634" i="5" s="1"/>
  <c r="N635" i="5"/>
  <c r="P635" i="5" s="1"/>
  <c r="N636" i="5"/>
  <c r="P636" i="5" s="1"/>
  <c r="N637" i="5"/>
  <c r="Q637" i="5" s="1"/>
  <c r="N638" i="5"/>
  <c r="Q638" i="5" s="1"/>
  <c r="N639" i="5"/>
  <c r="P639" i="5" s="1"/>
  <c r="N640" i="5"/>
  <c r="P640" i="5" s="1"/>
  <c r="N641" i="5"/>
  <c r="P641" i="5" s="1"/>
  <c r="N642" i="5"/>
  <c r="Q642" i="5" s="1"/>
  <c r="N643" i="5"/>
  <c r="Q643" i="5" s="1"/>
  <c r="N644" i="5"/>
  <c r="P644" i="5" s="1"/>
  <c r="N645" i="5"/>
  <c r="P645" i="5" s="1"/>
  <c r="N646" i="5"/>
  <c r="P646" i="5" s="1"/>
  <c r="N647" i="5"/>
  <c r="P647" i="5" s="1"/>
  <c r="N648" i="5"/>
  <c r="P648" i="5" s="1"/>
  <c r="N649" i="5"/>
  <c r="Q649" i="5" s="1"/>
  <c r="N650" i="5"/>
  <c r="Q650" i="5" s="1"/>
  <c r="N651" i="5"/>
  <c r="Q651" i="5" s="1"/>
  <c r="N652" i="5"/>
  <c r="P652" i="5" s="1"/>
  <c r="N653" i="5"/>
  <c r="P653" i="5" s="1"/>
  <c r="N654" i="5"/>
  <c r="P654" i="5" s="1"/>
  <c r="N655" i="5"/>
  <c r="Q655" i="5" s="1"/>
  <c r="N656" i="5"/>
  <c r="Q656" i="5" s="1"/>
  <c r="N657" i="5"/>
  <c r="P657" i="5" s="1"/>
  <c r="N658" i="5"/>
  <c r="P658" i="5" s="1"/>
  <c r="N659" i="5"/>
  <c r="P659" i="5" s="1"/>
  <c r="N660" i="5"/>
  <c r="P660" i="5" s="1"/>
  <c r="N661" i="5"/>
  <c r="Q661" i="5" s="1"/>
  <c r="N662" i="5"/>
  <c r="P662" i="5" s="1"/>
  <c r="N663" i="5"/>
  <c r="P663" i="5" s="1"/>
  <c r="N664" i="5"/>
  <c r="Q664" i="5" s="1"/>
  <c r="N665" i="5"/>
  <c r="Q665" i="5" s="1"/>
  <c r="N666" i="5"/>
  <c r="Q666" i="5" s="1"/>
  <c r="N667" i="5"/>
  <c r="P667" i="5" s="1"/>
  <c r="N668" i="5"/>
  <c r="P668" i="5" s="1"/>
  <c r="N669" i="5"/>
  <c r="P669" i="5" s="1"/>
  <c r="N670" i="5"/>
  <c r="Q670" i="5" s="1"/>
  <c r="N671" i="5"/>
  <c r="Q671" i="5" s="1"/>
  <c r="N672" i="5"/>
  <c r="P672" i="5" s="1"/>
  <c r="N673" i="5"/>
  <c r="P673" i="5" s="1"/>
  <c r="N674" i="5"/>
  <c r="P674" i="5" s="1"/>
  <c r="N675" i="5"/>
  <c r="Q675" i="5" s="1"/>
  <c r="N676" i="5"/>
  <c r="Q676" i="5" s="1"/>
  <c r="N677" i="5"/>
  <c r="P677" i="5" s="1"/>
  <c r="N678" i="5"/>
  <c r="P678" i="5" s="1"/>
  <c r="N679" i="5"/>
  <c r="P679" i="5" s="1"/>
  <c r="N680" i="5"/>
  <c r="P680" i="5" s="1"/>
  <c r="N681" i="5"/>
  <c r="P681" i="5" s="1"/>
  <c r="N682" i="5"/>
  <c r="P682" i="5" s="1"/>
  <c r="N683" i="5"/>
  <c r="Q683" i="5" s="1"/>
  <c r="N684" i="5"/>
  <c r="Q684" i="5" s="1"/>
  <c r="N685" i="5"/>
  <c r="P685" i="5" s="1"/>
  <c r="N686" i="5"/>
  <c r="P686" i="5" s="1"/>
  <c r="N687" i="5"/>
  <c r="P687" i="5" s="1"/>
  <c r="N688" i="5"/>
  <c r="Q688" i="5" s="1"/>
  <c r="N689" i="5"/>
  <c r="Q689" i="5" s="1"/>
  <c r="N690" i="5"/>
  <c r="P690" i="5" s="1"/>
  <c r="N691" i="5"/>
  <c r="P691" i="5" s="1"/>
  <c r="N692" i="5"/>
  <c r="Q692" i="5" s="1"/>
  <c r="N693" i="5"/>
  <c r="Q693" i="5" s="1"/>
  <c r="N694" i="5"/>
  <c r="P694" i="5" s="1"/>
  <c r="N695" i="5"/>
  <c r="P695" i="5" s="1"/>
  <c r="N696" i="5"/>
  <c r="P696" i="5" s="1"/>
  <c r="N697" i="5"/>
  <c r="P697" i="5" s="1"/>
  <c r="N698" i="5"/>
  <c r="P698" i="5" s="1"/>
  <c r="N699" i="5"/>
  <c r="P699" i="5" s="1"/>
  <c r="N700" i="5"/>
  <c r="Q700" i="5" s="1"/>
  <c r="N701" i="5"/>
  <c r="Q701" i="5" s="1"/>
  <c r="N702" i="5"/>
  <c r="P702" i="5" s="1"/>
  <c r="N703" i="5"/>
  <c r="P703" i="5" s="1"/>
  <c r="N704" i="5"/>
  <c r="P704" i="5" s="1"/>
  <c r="N705" i="5"/>
  <c r="P705" i="5" s="1"/>
  <c r="N706" i="5"/>
  <c r="P706" i="5" s="1"/>
  <c r="N707" i="5"/>
  <c r="P707" i="5" s="1"/>
  <c r="N708" i="5"/>
  <c r="P708" i="5" s="1"/>
  <c r="N709" i="5"/>
  <c r="Q709" i="5" s="1"/>
  <c r="N710" i="5"/>
  <c r="Q710" i="5" s="1"/>
  <c r="N711" i="5"/>
  <c r="P711" i="5" s="1"/>
  <c r="N712" i="5"/>
  <c r="P712" i="5" s="1"/>
  <c r="N713" i="5"/>
  <c r="Q713" i="5" s="1"/>
  <c r="N714" i="5"/>
  <c r="P714" i="5" s="1"/>
  <c r="N715" i="5"/>
  <c r="P715" i="5" s="1"/>
  <c r="N716" i="5"/>
  <c r="P716" i="5" s="1"/>
  <c r="N717" i="5"/>
  <c r="P717" i="5" s="1"/>
  <c r="N718" i="5"/>
  <c r="Q718" i="5" s="1"/>
  <c r="N719" i="5"/>
  <c r="Q719" i="5" s="1"/>
  <c r="N720" i="5"/>
  <c r="P720" i="5" s="1"/>
  <c r="N721" i="5"/>
  <c r="P721" i="5" s="1"/>
  <c r="N722" i="5"/>
  <c r="P722" i="5" s="1"/>
  <c r="N723" i="5"/>
  <c r="P723" i="5" s="1"/>
  <c r="N724" i="5"/>
  <c r="P724" i="5" s="1"/>
  <c r="N725" i="5"/>
  <c r="P725" i="5" s="1"/>
  <c r="N726" i="5"/>
  <c r="Q726" i="5" s="1"/>
  <c r="N727" i="5"/>
  <c r="Q727" i="5" s="1"/>
  <c r="N728" i="5"/>
  <c r="P728" i="5" s="1"/>
  <c r="N729" i="5"/>
  <c r="P729" i="5" s="1"/>
  <c r="N730" i="5"/>
  <c r="P730" i="5" s="1"/>
  <c r="N731" i="5"/>
  <c r="P731" i="5" s="1"/>
  <c r="N732" i="5"/>
  <c r="Q732" i="5" s="1"/>
  <c r="N733" i="5"/>
  <c r="Q733" i="5" s="1"/>
  <c r="N734" i="5"/>
  <c r="P734" i="5" s="1"/>
  <c r="N735" i="5"/>
  <c r="P735" i="5" s="1"/>
  <c r="N736" i="5"/>
  <c r="Q736" i="5" s="1"/>
  <c r="N737" i="5"/>
  <c r="Q737" i="5" s="1"/>
  <c r="N738" i="5"/>
  <c r="P738" i="5" s="1"/>
  <c r="N739" i="5"/>
  <c r="P739" i="5" s="1"/>
  <c r="N740" i="5"/>
  <c r="P740" i="5" s="1"/>
  <c r="N741" i="5"/>
  <c r="P741" i="5" s="1"/>
  <c r="N742" i="5"/>
  <c r="P742" i="5" s="1"/>
  <c r="N743" i="5"/>
  <c r="P743" i="5" s="1"/>
  <c r="N744" i="5"/>
  <c r="P744" i="5" s="1"/>
  <c r="N745" i="5"/>
  <c r="P745" i="5" s="1"/>
  <c r="N746" i="5"/>
  <c r="P746" i="5" s="1"/>
  <c r="N747" i="5"/>
  <c r="Q747" i="5" s="1"/>
  <c r="N748" i="5"/>
  <c r="P748" i="5" s="1"/>
  <c r="N749" i="5"/>
  <c r="P749" i="5" s="1"/>
  <c r="N750" i="5"/>
  <c r="Q750" i="5" s="1"/>
  <c r="N751" i="5"/>
  <c r="Q751" i="5" s="1"/>
  <c r="N752" i="5"/>
  <c r="P752" i="5" s="1"/>
  <c r="N753" i="5"/>
  <c r="Q753" i="5" s="1"/>
  <c r="N754" i="5"/>
  <c r="Q754" i="5" s="1"/>
  <c r="N755" i="5"/>
  <c r="P755" i="5" s="1"/>
  <c r="N756" i="5"/>
  <c r="Q756" i="5" s="1"/>
  <c r="N757" i="5"/>
  <c r="Q757" i="5" s="1"/>
  <c r="N758" i="5"/>
  <c r="P758" i="5" s="1"/>
  <c r="N759" i="5"/>
  <c r="P759" i="5" s="1"/>
  <c r="N760" i="5"/>
  <c r="P760" i="5" s="1"/>
  <c r="N761" i="5"/>
  <c r="Q761" i="5" s="1"/>
  <c r="N762" i="5"/>
  <c r="Q762" i="5" s="1"/>
  <c r="N763" i="5"/>
  <c r="P763" i="5" s="1"/>
  <c r="N764" i="5"/>
  <c r="P764" i="5" s="1"/>
  <c r="N765" i="5"/>
  <c r="P765" i="5" s="1"/>
  <c r="N766" i="5"/>
  <c r="P766" i="5" s="1"/>
  <c r="N767" i="5"/>
  <c r="P767" i="5" s="1"/>
  <c r="N768" i="5"/>
  <c r="P768" i="5" s="1"/>
  <c r="N769" i="5"/>
  <c r="P769" i="5" s="1"/>
  <c r="N770" i="5"/>
  <c r="P770" i="5" s="1"/>
  <c r="N771" i="5"/>
  <c r="P771" i="5" s="1"/>
  <c r="N772" i="5"/>
  <c r="P772" i="5" s="1"/>
  <c r="N773" i="5"/>
  <c r="P773" i="5" s="1"/>
  <c r="N774" i="5"/>
  <c r="P774" i="5" s="1"/>
  <c r="N775" i="5"/>
  <c r="P775" i="5" s="1"/>
  <c r="N776" i="5"/>
  <c r="P776" i="5" s="1"/>
  <c r="N777" i="5"/>
  <c r="Q777" i="5" s="1"/>
  <c r="N778" i="5"/>
  <c r="P778" i="5" s="1"/>
  <c r="N779" i="5"/>
  <c r="P779" i="5" s="1"/>
  <c r="N780" i="5"/>
  <c r="P780" i="5" s="1"/>
  <c r="N781" i="5"/>
  <c r="P781" i="5" s="1"/>
  <c r="N782" i="5"/>
  <c r="P782" i="5" s="1"/>
  <c r="N783" i="5"/>
  <c r="Q783" i="5" s="1"/>
  <c r="N784" i="5"/>
  <c r="Q784" i="5" s="1"/>
  <c r="N785" i="5"/>
  <c r="Q785" i="5" s="1"/>
  <c r="N786" i="5"/>
  <c r="P786" i="5" s="1"/>
  <c r="N787" i="5"/>
  <c r="P787" i="5" s="1"/>
  <c r="N788" i="5"/>
  <c r="P788" i="5" s="1"/>
  <c r="N789" i="5"/>
  <c r="P789" i="5" s="1"/>
  <c r="N790" i="5"/>
  <c r="P790" i="5" s="1"/>
  <c r="N791" i="5"/>
  <c r="Q791" i="5" s="1"/>
  <c r="N792" i="5"/>
  <c r="Q792" i="5" s="1"/>
  <c r="N793" i="5"/>
  <c r="Q793" i="5" s="1"/>
  <c r="N794" i="5"/>
  <c r="P794" i="5" s="1"/>
  <c r="N795" i="5"/>
  <c r="P795" i="5" s="1"/>
  <c r="N796" i="5"/>
  <c r="P796" i="5" s="1"/>
  <c r="N797" i="5"/>
  <c r="P797" i="5" s="1"/>
  <c r="N798" i="5"/>
  <c r="P798" i="5" s="1"/>
  <c r="N799" i="5"/>
  <c r="P799" i="5" s="1"/>
  <c r="N800" i="5"/>
  <c r="P800" i="5" s="1"/>
  <c r="N801" i="5"/>
  <c r="P801" i="5" s="1"/>
  <c r="N802" i="5"/>
  <c r="P802" i="5" s="1"/>
  <c r="N803" i="5"/>
  <c r="Q803" i="5" s="1"/>
  <c r="N804" i="5"/>
  <c r="Q804" i="5" s="1"/>
  <c r="N805" i="5"/>
  <c r="Q805" i="5" s="1"/>
  <c r="N806" i="5"/>
  <c r="P806" i="5" s="1"/>
  <c r="N807" i="5"/>
  <c r="P807" i="5" s="1"/>
  <c r="N808" i="5"/>
  <c r="P808" i="5" s="1"/>
  <c r="N809" i="5"/>
  <c r="P809" i="5" s="1"/>
  <c r="N810" i="5"/>
  <c r="Q810" i="5" s="1"/>
  <c r="N811" i="5"/>
  <c r="P811" i="5" s="1"/>
  <c r="N812" i="5"/>
  <c r="P812" i="5" s="1"/>
  <c r="N813" i="5"/>
  <c r="P813" i="5" s="1"/>
  <c r="N814" i="5"/>
  <c r="P814" i="5" s="1"/>
  <c r="N815" i="5"/>
  <c r="Q815" i="5" s="1"/>
  <c r="N816" i="5"/>
  <c r="Q816" i="5" s="1"/>
  <c r="N817" i="5"/>
  <c r="P817" i="5" s="1"/>
  <c r="N818" i="5"/>
  <c r="P818" i="5" s="1"/>
  <c r="N819" i="5"/>
  <c r="P819" i="5" s="1"/>
  <c r="N820" i="5"/>
  <c r="P820" i="5" s="1"/>
  <c r="N821" i="5"/>
  <c r="P821" i="5" s="1"/>
  <c r="N822" i="5"/>
  <c r="P822" i="5" s="1"/>
  <c r="N823" i="5"/>
  <c r="P823" i="5" s="1"/>
  <c r="N824" i="5"/>
  <c r="P824" i="5" s="1"/>
  <c r="N825" i="5"/>
  <c r="P825" i="5" s="1"/>
  <c r="N826" i="5"/>
  <c r="P826" i="5" s="1"/>
  <c r="N827" i="5"/>
  <c r="Q827" i="5" s="1"/>
  <c r="N828" i="5"/>
  <c r="Q828" i="5" s="1"/>
  <c r="N829" i="5"/>
  <c r="P829" i="5" s="1"/>
  <c r="N830" i="5"/>
  <c r="P830" i="5" s="1"/>
  <c r="N831" i="5"/>
  <c r="P831" i="5" s="1"/>
  <c r="N832" i="5"/>
  <c r="P832" i="5" s="1"/>
  <c r="N833" i="5"/>
  <c r="P833" i="5" s="1"/>
  <c r="N834" i="5"/>
  <c r="P834" i="5" s="1"/>
  <c r="N835" i="5"/>
  <c r="Q835" i="5" s="1"/>
  <c r="N836" i="5"/>
  <c r="Q836" i="5" s="1"/>
  <c r="N837" i="5"/>
  <c r="P837" i="5" s="1"/>
  <c r="N838" i="5"/>
  <c r="P838" i="5" s="1"/>
  <c r="N839" i="5"/>
  <c r="P839" i="5" s="1"/>
  <c r="N840" i="5"/>
  <c r="P840" i="5" s="1"/>
  <c r="N841" i="5"/>
  <c r="P841" i="5" s="1"/>
  <c r="N842" i="5"/>
  <c r="P842" i="5" s="1"/>
  <c r="N843" i="5"/>
  <c r="P843" i="5" s="1"/>
  <c r="N844" i="5"/>
  <c r="Q844" i="5" s="1"/>
  <c r="N845" i="5"/>
  <c r="Q845" i="5" s="1"/>
  <c r="N846" i="5"/>
  <c r="P846" i="5" s="1"/>
  <c r="N847" i="5"/>
  <c r="P847" i="5" s="1"/>
  <c r="N848" i="5"/>
  <c r="P848" i="5" s="1"/>
  <c r="N849" i="5"/>
  <c r="P849" i="5" s="1"/>
  <c r="N850" i="5"/>
  <c r="Q850" i="5" s="1"/>
  <c r="N851" i="5"/>
  <c r="Q851" i="5" s="1"/>
  <c r="N852" i="5"/>
  <c r="P852" i="5" s="1"/>
  <c r="N853" i="5"/>
  <c r="P853" i="5" s="1"/>
  <c r="N854" i="5"/>
  <c r="P854" i="5" s="1"/>
  <c r="N855" i="5"/>
  <c r="P855" i="5" s="1"/>
  <c r="N856" i="5"/>
  <c r="P856" i="5" s="1"/>
  <c r="N857" i="5"/>
  <c r="P857" i="5" s="1"/>
  <c r="N858" i="5"/>
  <c r="P858" i="5" s="1"/>
  <c r="N859" i="5"/>
  <c r="Q859" i="5" s="1"/>
  <c r="N860" i="5"/>
  <c r="Q860" i="5" s="1"/>
  <c r="N861" i="5"/>
  <c r="P861" i="5" s="1"/>
  <c r="N862" i="5"/>
  <c r="P862" i="5" s="1"/>
  <c r="N863" i="5"/>
  <c r="P863" i="5" s="1"/>
  <c r="N864" i="5"/>
  <c r="P864" i="5" s="1"/>
  <c r="N865" i="5"/>
  <c r="P865" i="5" s="1"/>
  <c r="N866" i="5"/>
  <c r="P866" i="5" s="1"/>
  <c r="N867" i="5"/>
  <c r="P867" i="5" s="1"/>
  <c r="N868" i="5"/>
  <c r="P868" i="5" s="1"/>
  <c r="N869" i="5"/>
  <c r="P869" i="5" s="1"/>
  <c r="N870" i="5"/>
  <c r="P870" i="5" s="1"/>
  <c r="N871" i="5"/>
  <c r="P871" i="5" s="1"/>
  <c r="N872" i="5"/>
  <c r="P872" i="5" s="1"/>
  <c r="N873" i="5"/>
  <c r="Q873" i="5" s="1"/>
  <c r="N874" i="5"/>
  <c r="Q874" i="5" s="1"/>
  <c r="N875" i="5"/>
  <c r="Q875" i="5" s="1"/>
  <c r="N876" i="5"/>
  <c r="Q876" i="5" s="1"/>
  <c r="N877" i="5"/>
  <c r="P877" i="5" s="1"/>
  <c r="N878" i="5"/>
  <c r="Q878" i="5" s="1"/>
  <c r="N879" i="5"/>
  <c r="Q879" i="5" s="1"/>
  <c r="N880" i="5"/>
  <c r="Q880" i="5" s="1"/>
  <c r="N881" i="5"/>
  <c r="Q881" i="5" s="1"/>
  <c r="N882" i="5"/>
  <c r="Q882" i="5" s="1"/>
  <c r="N883" i="5"/>
  <c r="P883" i="5" s="1"/>
  <c r="N884" i="5"/>
  <c r="P884" i="5" s="1"/>
  <c r="N885" i="5"/>
  <c r="P885" i="5" s="1"/>
  <c r="N886" i="5"/>
  <c r="P886" i="5" s="1"/>
  <c r="N887" i="5"/>
  <c r="Q887" i="5" s="1"/>
  <c r="N888" i="5"/>
  <c r="Q888" i="5" s="1"/>
  <c r="N889" i="5"/>
  <c r="Q889" i="5" s="1"/>
  <c r="N890" i="5"/>
  <c r="P890" i="5" s="1"/>
  <c r="N891" i="5"/>
  <c r="P891" i="5" s="1"/>
  <c r="N892" i="5"/>
  <c r="P892" i="5" s="1"/>
  <c r="N893" i="5"/>
  <c r="P893" i="5" s="1"/>
  <c r="N894" i="5"/>
  <c r="P894" i="5" s="1"/>
  <c r="N895" i="5"/>
  <c r="P895" i="5" s="1"/>
  <c r="N896" i="5"/>
  <c r="Q896" i="5" s="1"/>
  <c r="N897" i="5"/>
  <c r="Q897" i="5" s="1"/>
  <c r="N898" i="5"/>
  <c r="Q898" i="5" s="1"/>
  <c r="N899" i="5"/>
  <c r="Q899" i="5" s="1"/>
  <c r="N900" i="5"/>
  <c r="P900" i="5" s="1"/>
  <c r="N901" i="5"/>
  <c r="P901" i="5" s="1"/>
  <c r="N902" i="5"/>
  <c r="P902" i="5" s="1"/>
  <c r="N903" i="5"/>
  <c r="Q903" i="5" s="1"/>
  <c r="N904" i="5"/>
  <c r="Q904" i="5" s="1"/>
  <c r="N905" i="5"/>
  <c r="Q905" i="5" s="1"/>
  <c r="N906" i="5"/>
  <c r="P906" i="5" s="1"/>
  <c r="N907" i="5"/>
  <c r="P907" i="5" s="1"/>
  <c r="N908" i="5"/>
  <c r="P908" i="5" s="1"/>
  <c r="N909" i="5"/>
  <c r="Q909" i="5" s="1"/>
  <c r="N910" i="5"/>
  <c r="Q910" i="5" s="1"/>
  <c r="N911" i="5"/>
  <c r="Q911" i="5" s="1"/>
  <c r="N912" i="5"/>
  <c r="Q912" i="5" s="1"/>
  <c r="N913" i="5"/>
  <c r="P913" i="5" s="1"/>
  <c r="N914" i="5"/>
  <c r="P914" i="5" s="1"/>
  <c r="N915" i="5"/>
  <c r="Q915" i="5" s="1"/>
  <c r="N916" i="5"/>
  <c r="Q916" i="5" s="1"/>
  <c r="N917" i="5"/>
  <c r="Q917" i="5" s="1"/>
  <c r="N918" i="5"/>
  <c r="Q918" i="5" s="1"/>
  <c r="N919" i="5"/>
  <c r="P919" i="5" s="1"/>
  <c r="N920" i="5"/>
  <c r="P920" i="5" s="1"/>
  <c r="N921" i="5"/>
  <c r="P921" i="5" s="1"/>
  <c r="N922" i="5"/>
  <c r="P922" i="5" s="1"/>
  <c r="N923" i="5"/>
  <c r="P923" i="5" s="1"/>
  <c r="N924" i="5"/>
  <c r="P924" i="5" s="1"/>
  <c r="N925" i="5"/>
  <c r="P925" i="5" s="1"/>
  <c r="N926" i="5"/>
  <c r="P926" i="5" s="1"/>
  <c r="N927" i="5"/>
  <c r="P927" i="5" s="1"/>
  <c r="N928" i="5"/>
  <c r="P928" i="5" s="1"/>
  <c r="N929" i="5"/>
  <c r="P929" i="5" s="1"/>
  <c r="N930" i="5"/>
  <c r="P930" i="5" s="1"/>
  <c r="N931" i="5"/>
  <c r="P931" i="5" s="1"/>
  <c r="N932" i="5"/>
  <c r="P932" i="5" s="1"/>
  <c r="N933" i="5"/>
  <c r="P933" i="5" s="1"/>
  <c r="N934" i="5"/>
  <c r="P934" i="5" s="1"/>
  <c r="N935" i="5"/>
  <c r="P935" i="5" s="1"/>
  <c r="N936" i="5"/>
  <c r="P936" i="5" s="1"/>
  <c r="N937" i="5"/>
  <c r="P937" i="5" s="1"/>
  <c r="N938" i="5"/>
  <c r="P938" i="5" s="1"/>
  <c r="N939" i="5"/>
  <c r="P939" i="5" s="1"/>
  <c r="N940" i="5"/>
  <c r="P940" i="5" s="1"/>
  <c r="N941" i="5"/>
  <c r="P941" i="5" s="1"/>
  <c r="N942" i="5"/>
  <c r="P942" i="5" s="1"/>
  <c r="N943" i="5"/>
  <c r="P943" i="5" s="1"/>
  <c r="N944" i="5"/>
  <c r="P944" i="5" s="1"/>
  <c r="N945" i="5"/>
  <c r="P945" i="5" s="1"/>
  <c r="N946" i="5"/>
  <c r="P946" i="5" s="1"/>
  <c r="N947" i="5"/>
  <c r="P947" i="5" s="1"/>
  <c r="N948" i="5"/>
  <c r="P948" i="5" s="1"/>
  <c r="N949" i="5"/>
  <c r="P949" i="5" s="1"/>
  <c r="N950" i="5"/>
  <c r="P950" i="5" s="1"/>
  <c r="N951" i="5"/>
  <c r="P951" i="5" s="1"/>
  <c r="N952" i="5"/>
  <c r="P952" i="5" s="1"/>
  <c r="N953" i="5"/>
  <c r="P953" i="5" s="1"/>
  <c r="N954" i="5"/>
  <c r="P954" i="5" s="1"/>
  <c r="N955" i="5"/>
  <c r="P955" i="5" s="1"/>
  <c r="N956" i="5"/>
  <c r="P956" i="5" s="1"/>
  <c r="N957" i="5"/>
  <c r="P957" i="5" s="1"/>
  <c r="N958" i="5"/>
  <c r="P958" i="5" s="1"/>
  <c r="N959" i="5"/>
  <c r="P959" i="5" s="1"/>
  <c r="N960" i="5"/>
  <c r="P960" i="5" s="1"/>
  <c r="N961" i="5"/>
  <c r="P961" i="5" s="1"/>
  <c r="N962" i="5"/>
  <c r="P962" i="5" s="1"/>
  <c r="N963" i="5"/>
  <c r="P963" i="5" s="1"/>
  <c r="N964" i="5"/>
  <c r="P964" i="5" s="1"/>
  <c r="N965" i="5"/>
  <c r="P965" i="5" s="1"/>
  <c r="N966" i="5"/>
  <c r="P966" i="5" s="1"/>
  <c r="N967" i="5"/>
  <c r="P967" i="5" s="1"/>
  <c r="N968" i="5"/>
  <c r="P968" i="5" s="1"/>
  <c r="N969" i="5"/>
  <c r="P969" i="5" s="1"/>
  <c r="N970" i="5"/>
  <c r="P970" i="5" s="1"/>
  <c r="N971" i="5"/>
  <c r="P971" i="5" s="1"/>
  <c r="N972" i="5"/>
  <c r="P972" i="5" s="1"/>
  <c r="N973" i="5"/>
  <c r="P973" i="5" s="1"/>
  <c r="N974" i="5"/>
  <c r="P974" i="5" s="1"/>
  <c r="N975" i="5"/>
  <c r="P975" i="5" s="1"/>
  <c r="N976" i="5"/>
  <c r="P976" i="5" s="1"/>
  <c r="N977" i="5"/>
  <c r="P977" i="5" s="1"/>
  <c r="N978" i="5"/>
  <c r="P978" i="5" s="1"/>
  <c r="N979" i="5"/>
  <c r="P979" i="5" s="1"/>
  <c r="N980" i="5"/>
  <c r="P980" i="5" s="1"/>
  <c r="N981" i="5"/>
  <c r="P981" i="5" s="1"/>
  <c r="N982" i="5"/>
  <c r="P982" i="5" s="1"/>
  <c r="N983" i="5"/>
  <c r="P983" i="5" s="1"/>
  <c r="N984" i="5"/>
  <c r="P984" i="5" s="1"/>
  <c r="N985" i="5"/>
  <c r="P985" i="5" s="1"/>
  <c r="N986" i="5"/>
  <c r="P986" i="5" s="1"/>
  <c r="N987" i="5"/>
  <c r="P987" i="5" s="1"/>
  <c r="N988" i="5"/>
  <c r="P988" i="5" s="1"/>
  <c r="N989" i="5"/>
  <c r="P989" i="5" s="1"/>
  <c r="N990" i="5"/>
  <c r="P990" i="5" s="1"/>
  <c r="N991" i="5"/>
  <c r="P991" i="5" s="1"/>
  <c r="N992" i="5"/>
  <c r="P992" i="5" s="1"/>
  <c r="N993" i="5"/>
  <c r="P993" i="5" s="1"/>
  <c r="N994" i="5"/>
  <c r="P994" i="5" s="1"/>
  <c r="N995" i="5"/>
  <c r="P995" i="5" s="1"/>
  <c r="N996" i="5"/>
  <c r="P996" i="5" s="1"/>
  <c r="N997" i="5"/>
  <c r="P997" i="5" s="1"/>
  <c r="N998" i="5"/>
  <c r="P998" i="5" s="1"/>
  <c r="N999" i="5"/>
  <c r="P999" i="5" s="1"/>
  <c r="N1000" i="5"/>
  <c r="P1000" i="5" s="1"/>
  <c r="N1001" i="5"/>
  <c r="P1001" i="5" s="1"/>
  <c r="N1002" i="5"/>
  <c r="P1002" i="5" s="1"/>
  <c r="N1003" i="5"/>
  <c r="P1003" i="5" s="1"/>
  <c r="N1004" i="5"/>
  <c r="Q1004" i="5" s="1"/>
  <c r="N1005" i="5"/>
  <c r="Q1005" i="5" s="1"/>
  <c r="N1006" i="5"/>
  <c r="Q1006" i="5" s="1"/>
  <c r="N1007" i="5"/>
  <c r="Q1007" i="5" s="1"/>
  <c r="N1008" i="5"/>
  <c r="Q1008" i="5" s="1"/>
  <c r="N1009" i="5"/>
  <c r="Q1009" i="5" s="1"/>
  <c r="N1010" i="5"/>
  <c r="Q1010" i="5" s="1"/>
  <c r="N1011" i="5"/>
  <c r="Q1011" i="5" s="1"/>
  <c r="N1012" i="5"/>
  <c r="Q1012" i="5" s="1"/>
  <c r="N1013" i="5"/>
  <c r="Q1013" i="5" s="1"/>
  <c r="N1014" i="5"/>
  <c r="Q1014" i="5" s="1"/>
  <c r="N1015" i="5"/>
  <c r="Q1015" i="5" s="1"/>
  <c r="N1016" i="5"/>
  <c r="Q1016" i="5" s="1"/>
  <c r="N1017" i="5"/>
  <c r="Q1017" i="5" s="1"/>
  <c r="N1018" i="5"/>
  <c r="Q1018" i="5" s="1"/>
  <c r="N1019" i="5"/>
  <c r="Q1019" i="5" s="1"/>
  <c r="N1020" i="5"/>
  <c r="Q1020" i="5" s="1"/>
  <c r="N1021" i="5"/>
  <c r="Q1021" i="5" s="1"/>
  <c r="N1022" i="5"/>
  <c r="Q1022" i="5" s="1"/>
  <c r="N1023" i="5"/>
  <c r="Q1023" i="5" s="1"/>
  <c r="N1024" i="5"/>
  <c r="Q1024" i="5" s="1"/>
  <c r="N1025" i="5"/>
  <c r="Q1025" i="5" s="1"/>
  <c r="N1026" i="5"/>
  <c r="Q1026" i="5" s="1"/>
  <c r="N1027" i="5"/>
  <c r="Q1027" i="5" s="1"/>
  <c r="N1028" i="5"/>
  <c r="Q1028" i="5" s="1"/>
  <c r="N1029" i="5"/>
  <c r="Q1029" i="5" s="1"/>
  <c r="N1030" i="5"/>
  <c r="Q1030" i="5" s="1"/>
  <c r="N1031" i="5"/>
  <c r="Q1031" i="5" s="1"/>
  <c r="N1032" i="5"/>
  <c r="Q1032" i="5" s="1"/>
  <c r="N1033" i="5"/>
  <c r="Q1033" i="5" s="1"/>
  <c r="N1034" i="5"/>
  <c r="Q1034" i="5" s="1"/>
  <c r="N1035" i="5"/>
  <c r="Q1035" i="5" s="1"/>
  <c r="N1036" i="5"/>
  <c r="Q1036" i="5" s="1"/>
  <c r="N1037" i="5"/>
  <c r="Q1037" i="5" s="1"/>
  <c r="N1038" i="5"/>
  <c r="Q1038" i="5" s="1"/>
  <c r="N1039" i="5"/>
  <c r="Q1039" i="5" s="1"/>
  <c r="N1040" i="5"/>
  <c r="Q1040" i="5" s="1"/>
  <c r="N1041" i="5"/>
  <c r="Q1041" i="5" s="1"/>
  <c r="N1042" i="5"/>
  <c r="Q1042" i="5" s="1"/>
  <c r="N1043" i="5"/>
  <c r="Q1043" i="5" s="1"/>
  <c r="N1044" i="5"/>
  <c r="Q1044" i="5" s="1"/>
  <c r="N1045" i="5"/>
  <c r="Q1045" i="5" s="1"/>
  <c r="N1046" i="5"/>
  <c r="Q1046" i="5" s="1"/>
  <c r="N1047" i="5"/>
  <c r="Q1047" i="5" s="1"/>
  <c r="N1048" i="5"/>
  <c r="Q1048" i="5" s="1"/>
  <c r="N1049" i="5"/>
  <c r="Q1049" i="5" s="1"/>
  <c r="N1050" i="5"/>
  <c r="Q1050" i="5" s="1"/>
  <c r="N1051" i="5"/>
  <c r="Q1051" i="5" s="1"/>
  <c r="N1052" i="5"/>
  <c r="Q1052" i="5" s="1"/>
  <c r="N1053" i="5"/>
  <c r="Q1053" i="5" s="1"/>
  <c r="N1054" i="5"/>
  <c r="Q1054" i="5" s="1"/>
  <c r="N1055" i="5"/>
  <c r="Q1055" i="5" s="1"/>
  <c r="N1056" i="5"/>
  <c r="Q1056" i="5" s="1"/>
  <c r="N1057" i="5"/>
  <c r="Q1057" i="5" s="1"/>
  <c r="N1058" i="5"/>
  <c r="Q1058" i="5" s="1"/>
  <c r="N1059" i="5"/>
  <c r="Q1059" i="5" s="1"/>
  <c r="N1060" i="5"/>
  <c r="Q1060" i="5" s="1"/>
  <c r="N1061" i="5"/>
  <c r="Q1061" i="5" s="1"/>
  <c r="N1062" i="5"/>
  <c r="Q1062" i="5" s="1"/>
  <c r="N1063" i="5"/>
  <c r="Q1063" i="5" s="1"/>
  <c r="N1064" i="5"/>
  <c r="Q1064" i="5" s="1"/>
  <c r="N1065" i="5"/>
  <c r="Q1065" i="5" s="1"/>
  <c r="N1066" i="5"/>
  <c r="Q1066" i="5" s="1"/>
  <c r="N1067" i="5"/>
  <c r="Q1067" i="5" s="1"/>
  <c r="N1068" i="5"/>
  <c r="Q1068" i="5" s="1"/>
  <c r="N1069" i="5"/>
  <c r="Q1069" i="5" s="1"/>
  <c r="N1070" i="5"/>
  <c r="Q1070" i="5" s="1"/>
  <c r="N1071" i="5"/>
  <c r="Q1071" i="5" s="1"/>
  <c r="N1072" i="5"/>
  <c r="Q1072" i="5" s="1"/>
  <c r="N1073" i="5"/>
  <c r="Q1073" i="5" s="1"/>
  <c r="N1074" i="5"/>
  <c r="Q1074" i="5" s="1"/>
  <c r="N1075" i="5"/>
  <c r="Q1075" i="5" s="1"/>
  <c r="N1076" i="5"/>
  <c r="Q1076" i="5" s="1"/>
  <c r="N1077" i="5"/>
  <c r="Q1077" i="5" s="1"/>
  <c r="N1078" i="5"/>
  <c r="Q1078" i="5" s="1"/>
  <c r="N1079" i="5"/>
  <c r="Q1079" i="5" s="1"/>
  <c r="N1080" i="5"/>
  <c r="Q1080" i="5" s="1"/>
  <c r="N1081" i="5"/>
  <c r="Q1081" i="5" s="1"/>
  <c r="N1082" i="5"/>
  <c r="Q1082" i="5" s="1"/>
  <c r="N1083" i="5"/>
  <c r="Q1083" i="5" s="1"/>
  <c r="N1084" i="5"/>
  <c r="Q1084" i="5" s="1"/>
  <c r="N1085" i="5"/>
  <c r="Q1085" i="5" s="1"/>
  <c r="N1086" i="5"/>
  <c r="Q1086" i="5" s="1"/>
  <c r="N1087" i="5"/>
  <c r="Q1087" i="5" s="1"/>
  <c r="N1088" i="5"/>
  <c r="Q1088" i="5" s="1"/>
  <c r="N1089" i="5"/>
  <c r="Q1089" i="5" s="1"/>
  <c r="N1090" i="5"/>
  <c r="Q1090" i="5" s="1"/>
  <c r="N1091" i="5"/>
  <c r="Q1091" i="5" s="1"/>
  <c r="N1092" i="5"/>
  <c r="Q1092" i="5" s="1"/>
  <c r="N1093" i="5"/>
  <c r="Q1093" i="5" s="1"/>
  <c r="N1094" i="5"/>
  <c r="Q1094" i="5" s="1"/>
  <c r="N1095" i="5"/>
  <c r="Q1095" i="5" s="1"/>
  <c r="N1096" i="5"/>
  <c r="Q1096" i="5" s="1"/>
  <c r="N1097" i="5"/>
  <c r="Q1097" i="5" s="1"/>
  <c r="N1098" i="5"/>
  <c r="Q1098" i="5" s="1"/>
  <c r="N1099" i="5"/>
  <c r="Q1099" i="5" s="1"/>
  <c r="N1100" i="5"/>
  <c r="Q1100" i="5" s="1"/>
  <c r="N1101" i="5"/>
  <c r="Q1101" i="5" s="1"/>
  <c r="N1102" i="5"/>
  <c r="Q1102" i="5" s="1"/>
  <c r="N1103" i="5"/>
  <c r="Q1103" i="5" s="1"/>
  <c r="N1104" i="5"/>
  <c r="Q1104" i="5" s="1"/>
  <c r="N1105" i="5"/>
  <c r="Q1105" i="5" s="1"/>
  <c r="N1106" i="5"/>
  <c r="Q1106" i="5" s="1"/>
  <c r="N1107" i="5"/>
  <c r="Q1107" i="5" s="1"/>
  <c r="N1108" i="5"/>
  <c r="Q1108" i="5" s="1"/>
  <c r="N1109" i="5"/>
  <c r="Q1109" i="5" s="1"/>
  <c r="N1110" i="5"/>
  <c r="Q1110" i="5" s="1"/>
  <c r="N1111" i="5"/>
  <c r="Q1111" i="5" s="1"/>
  <c r="N1112" i="5"/>
  <c r="Q1112" i="5" s="1"/>
  <c r="N1113" i="5"/>
  <c r="Q1113" i="5" s="1"/>
  <c r="N1114" i="5"/>
  <c r="Q1114" i="5" s="1"/>
  <c r="N1115" i="5"/>
  <c r="Q1115" i="5" s="1"/>
  <c r="N1116" i="5"/>
  <c r="Q1116" i="5" s="1"/>
  <c r="N1117" i="5"/>
  <c r="Q1117" i="5" s="1"/>
  <c r="N1118" i="5"/>
  <c r="Q1118" i="5" s="1"/>
  <c r="N1119" i="5"/>
  <c r="Q1119" i="5" s="1"/>
  <c r="N1120" i="5"/>
  <c r="Q1120" i="5" s="1"/>
  <c r="N1121" i="5"/>
  <c r="Q1121" i="5" s="1"/>
  <c r="N1122" i="5"/>
  <c r="Q1122" i="5" s="1"/>
  <c r="N1123" i="5"/>
  <c r="Q1123" i="5" s="1"/>
  <c r="N1124" i="5"/>
  <c r="Q1124" i="5" s="1"/>
  <c r="N1125" i="5"/>
  <c r="Q1125" i="5" s="1"/>
  <c r="N1126" i="5"/>
  <c r="Q1126" i="5" s="1"/>
  <c r="N1127" i="5"/>
  <c r="Q1127" i="5" s="1"/>
  <c r="N1128" i="5"/>
  <c r="Q1128" i="5" s="1"/>
  <c r="N1129" i="5"/>
  <c r="Q1129" i="5" s="1"/>
  <c r="N1130" i="5"/>
  <c r="Q1130" i="5" s="1"/>
  <c r="N1131" i="5"/>
  <c r="Q1131" i="5" s="1"/>
  <c r="N1132" i="5"/>
  <c r="Q1132" i="5" s="1"/>
  <c r="N1133" i="5"/>
  <c r="Q1133" i="5" s="1"/>
  <c r="N1134" i="5"/>
  <c r="Q1134" i="5" s="1"/>
  <c r="N1135" i="5"/>
  <c r="Q1135" i="5" s="1"/>
  <c r="N1136" i="5"/>
  <c r="Q1136" i="5" s="1"/>
  <c r="N1137" i="5"/>
  <c r="Q1137" i="5" s="1"/>
  <c r="N1138" i="5"/>
  <c r="Q1138" i="5" s="1"/>
  <c r="N1139" i="5"/>
  <c r="Q1139" i="5" s="1"/>
  <c r="N1140" i="5"/>
  <c r="Q1140" i="5" s="1"/>
  <c r="N1141" i="5"/>
  <c r="Q1141" i="5" s="1"/>
  <c r="N1142" i="5"/>
  <c r="Q1142" i="5" s="1"/>
  <c r="N1143" i="5"/>
  <c r="Q1143" i="5" s="1"/>
  <c r="N1144" i="5"/>
  <c r="Q1144" i="5" s="1"/>
  <c r="N1145" i="5"/>
  <c r="Q1145" i="5" s="1"/>
  <c r="N1146" i="5"/>
  <c r="Q1146" i="5" s="1"/>
  <c r="N1147" i="5"/>
  <c r="Q1147" i="5" s="1"/>
  <c r="N1148" i="5"/>
  <c r="Q1148" i="5" s="1"/>
  <c r="N1149" i="5"/>
  <c r="Q1149" i="5" s="1"/>
  <c r="N1150" i="5"/>
  <c r="Q1150" i="5" s="1"/>
  <c r="N1151" i="5"/>
  <c r="Q1151" i="5" s="1"/>
  <c r="N1152" i="5"/>
  <c r="Q1152" i="5" s="1"/>
  <c r="N1153" i="5"/>
  <c r="Q1153" i="5" s="1"/>
  <c r="N1154" i="5"/>
  <c r="Q1154" i="5" s="1"/>
  <c r="N1155" i="5"/>
  <c r="Q1155" i="5" s="1"/>
  <c r="N1156" i="5"/>
  <c r="Q1156" i="5" s="1"/>
  <c r="N1157" i="5"/>
  <c r="Q1157" i="5" s="1"/>
  <c r="N1158" i="5"/>
  <c r="Q1158" i="5" s="1"/>
  <c r="N1159" i="5"/>
  <c r="Q1159" i="5" s="1"/>
  <c r="N1160" i="5"/>
  <c r="Q1160" i="5" s="1"/>
  <c r="N1161" i="5"/>
  <c r="Q1161" i="5" s="1"/>
  <c r="N1162" i="5"/>
  <c r="Q1162" i="5" s="1"/>
  <c r="N1163" i="5"/>
  <c r="Q1163" i="5" s="1"/>
  <c r="N1164" i="5"/>
  <c r="Q1164" i="5" s="1"/>
  <c r="N1165" i="5"/>
  <c r="Q1165" i="5" s="1"/>
  <c r="N1166" i="5"/>
  <c r="Q1166" i="5" s="1"/>
  <c r="N1167" i="5"/>
  <c r="Q1167" i="5" s="1"/>
  <c r="N1168" i="5"/>
  <c r="Q1168" i="5" s="1"/>
  <c r="N1169" i="5"/>
  <c r="Q1169" i="5" s="1"/>
  <c r="N1170" i="5"/>
  <c r="Q1170" i="5" s="1"/>
  <c r="N1171" i="5"/>
  <c r="Q1171" i="5" s="1"/>
  <c r="N1172" i="5"/>
  <c r="Q1172" i="5" s="1"/>
  <c r="N1173" i="5"/>
  <c r="Q1173" i="5" s="1"/>
  <c r="N1174" i="5"/>
  <c r="Q1174" i="5" s="1"/>
  <c r="N1175" i="5"/>
  <c r="Q1175" i="5" s="1"/>
  <c r="N1176" i="5"/>
  <c r="Q1176" i="5" s="1"/>
  <c r="N1177" i="5"/>
  <c r="Q1177" i="5" s="1"/>
  <c r="N1178" i="5"/>
  <c r="Q1178" i="5" s="1"/>
  <c r="N1179" i="5"/>
  <c r="Q1179" i="5" s="1"/>
  <c r="N1180" i="5"/>
  <c r="Q1180" i="5" s="1"/>
  <c r="N1181" i="5"/>
  <c r="Q1181" i="5" s="1"/>
  <c r="N1182" i="5"/>
  <c r="Q1182" i="5" s="1"/>
  <c r="N1183" i="5"/>
  <c r="Q1183" i="5" s="1"/>
  <c r="N1184" i="5"/>
  <c r="Q1184" i="5" s="1"/>
  <c r="N1185" i="5"/>
  <c r="Q1185" i="5" s="1"/>
  <c r="N1186" i="5"/>
  <c r="Q1186" i="5" s="1"/>
  <c r="N1187" i="5"/>
  <c r="Q1187" i="5" s="1"/>
  <c r="N1188" i="5"/>
  <c r="Q1188" i="5" s="1"/>
  <c r="N1189" i="5"/>
  <c r="Q1189" i="5" s="1"/>
  <c r="N1190" i="5"/>
  <c r="Q1190" i="5" s="1"/>
  <c r="N1191" i="5"/>
  <c r="Q1191" i="5" s="1"/>
  <c r="N1192" i="5"/>
  <c r="Q1192" i="5" s="1"/>
  <c r="N1193" i="5"/>
  <c r="Q1193" i="5" s="1"/>
  <c r="N1194" i="5"/>
  <c r="Q1194" i="5" s="1"/>
  <c r="N1195" i="5"/>
  <c r="Q1195" i="5" s="1"/>
  <c r="N1196" i="5"/>
  <c r="Q1196" i="5" s="1"/>
  <c r="N1197" i="5"/>
  <c r="Q1197" i="5" s="1"/>
  <c r="N1198" i="5"/>
  <c r="Q1198" i="5" s="1"/>
  <c r="N1199" i="5"/>
  <c r="Q1199" i="5" s="1"/>
  <c r="N1200" i="5"/>
  <c r="Q1200" i="5" s="1"/>
  <c r="N1201" i="5"/>
  <c r="Q1201" i="5" s="1"/>
  <c r="N1202" i="5"/>
  <c r="Q1202" i="5" s="1"/>
  <c r="N1203" i="5"/>
  <c r="Q1203" i="5" s="1"/>
  <c r="N1204" i="5"/>
  <c r="Q1204" i="5" s="1"/>
  <c r="N1205" i="5"/>
  <c r="Q1205" i="5" s="1"/>
  <c r="N1206" i="5"/>
  <c r="Q1206" i="5" s="1"/>
  <c r="N1207" i="5"/>
  <c r="Q1207" i="5" s="1"/>
  <c r="N1208" i="5"/>
  <c r="Q1208" i="5" s="1"/>
  <c r="N1209" i="5"/>
  <c r="Q1209" i="5" s="1"/>
  <c r="N1210" i="5"/>
  <c r="Q1210" i="5" s="1"/>
  <c r="N1211" i="5"/>
  <c r="Q1211" i="5" s="1"/>
  <c r="N1212" i="5"/>
  <c r="Q1212" i="5" s="1"/>
  <c r="N1213" i="5"/>
  <c r="Q1213" i="5" s="1"/>
  <c r="N1214" i="5"/>
  <c r="Q1214" i="5" s="1"/>
  <c r="N1215" i="5"/>
  <c r="Q1215" i="5" s="1"/>
  <c r="N1216" i="5"/>
  <c r="Q1216" i="5" s="1"/>
  <c r="N1217" i="5"/>
  <c r="Q1217" i="5" s="1"/>
  <c r="N1218" i="5"/>
  <c r="Q1218" i="5" s="1"/>
  <c r="N1219" i="5"/>
  <c r="Q1219" i="5" s="1"/>
  <c r="N1220" i="5"/>
  <c r="Q1220" i="5" s="1"/>
  <c r="N1221" i="5"/>
  <c r="Q1221" i="5" s="1"/>
  <c r="N1222" i="5"/>
  <c r="Q1222" i="5" s="1"/>
  <c r="N1223" i="5"/>
  <c r="Q1223" i="5" s="1"/>
  <c r="N1224" i="5"/>
  <c r="Q1224" i="5" s="1"/>
  <c r="N1225" i="5"/>
  <c r="Q1225" i="5" s="1"/>
  <c r="N1226" i="5"/>
  <c r="Q1226" i="5" s="1"/>
  <c r="N1227" i="5"/>
  <c r="Q1227" i="5" s="1"/>
  <c r="N1228" i="5"/>
  <c r="Q1228" i="5" s="1"/>
  <c r="N1229" i="5"/>
  <c r="Q1229" i="5" s="1"/>
  <c r="N1230" i="5"/>
  <c r="Q1230" i="5" s="1"/>
  <c r="N1231" i="5"/>
  <c r="Q1231" i="5" s="1"/>
  <c r="N1232" i="5"/>
  <c r="Q1232" i="5" s="1"/>
  <c r="N1233" i="5"/>
  <c r="Q1233" i="5" s="1"/>
  <c r="N1234" i="5"/>
  <c r="Q1234" i="5" s="1"/>
  <c r="N1235" i="5"/>
  <c r="Q1235" i="5" s="1"/>
  <c r="N1236" i="5"/>
  <c r="Q1236" i="5" s="1"/>
  <c r="N1237" i="5"/>
  <c r="Q1237" i="5" s="1"/>
  <c r="N1238" i="5"/>
  <c r="Q1238" i="5" s="1"/>
  <c r="N1239" i="5"/>
  <c r="Q1239" i="5" s="1"/>
  <c r="N1240" i="5"/>
  <c r="Q1240" i="5" s="1"/>
  <c r="N1241" i="5"/>
  <c r="Q1241" i="5" s="1"/>
  <c r="N1242" i="5"/>
  <c r="Q1242" i="5" s="1"/>
  <c r="N1243" i="5"/>
  <c r="Q1243" i="5" s="1"/>
  <c r="N1244" i="5"/>
  <c r="Q1244" i="5" s="1"/>
  <c r="N1245" i="5"/>
  <c r="Q1245" i="5" s="1"/>
  <c r="N1246" i="5"/>
  <c r="Q1246" i="5" s="1"/>
  <c r="N1247" i="5"/>
  <c r="Q1247" i="5" s="1"/>
  <c r="N1248" i="5"/>
  <c r="Q1248" i="5" s="1"/>
  <c r="N1249" i="5"/>
  <c r="Q1249" i="5" s="1"/>
  <c r="N1250" i="5"/>
  <c r="Q1250" i="5" s="1"/>
  <c r="N1251" i="5"/>
  <c r="Q1251" i="5" s="1"/>
  <c r="N1252" i="5"/>
  <c r="Q1252" i="5" s="1"/>
  <c r="N1253" i="5"/>
  <c r="Q1253" i="5" s="1"/>
  <c r="N1254" i="5"/>
  <c r="Q1254" i="5" s="1"/>
  <c r="N1255" i="5"/>
  <c r="Q1255" i="5" s="1"/>
  <c r="N1256" i="5"/>
  <c r="Q1256" i="5" s="1"/>
  <c r="N1257" i="5"/>
  <c r="Q1257" i="5" s="1"/>
  <c r="N1258" i="5"/>
  <c r="Q1258" i="5" s="1"/>
  <c r="N1259" i="5"/>
  <c r="Q1259" i="5" s="1"/>
  <c r="N1260" i="5"/>
  <c r="Q1260" i="5" s="1"/>
  <c r="N1261" i="5"/>
  <c r="Q1261" i="5" s="1"/>
  <c r="N1262" i="5"/>
  <c r="Q1262" i="5" s="1"/>
  <c r="N1263" i="5"/>
  <c r="Q1263" i="5" s="1"/>
  <c r="N1264" i="5"/>
  <c r="Q1264" i="5" s="1"/>
  <c r="N1265" i="5"/>
  <c r="Q1265" i="5" s="1"/>
  <c r="N1266" i="5"/>
  <c r="Q1266" i="5" s="1"/>
  <c r="N1267" i="5"/>
  <c r="Q1267" i="5" s="1"/>
  <c r="N1268" i="5"/>
  <c r="Q1268" i="5" s="1"/>
  <c r="N1269" i="5"/>
  <c r="Q1269" i="5" s="1"/>
  <c r="N1270" i="5"/>
  <c r="Q1270" i="5" s="1"/>
  <c r="N1271" i="5"/>
  <c r="Q1271" i="5" s="1"/>
  <c r="N1272" i="5"/>
  <c r="Q1272" i="5" s="1"/>
  <c r="N1273" i="5"/>
  <c r="Q1273" i="5" s="1"/>
  <c r="N1274" i="5"/>
  <c r="Q1274" i="5" s="1"/>
  <c r="N1275" i="5"/>
  <c r="Q1275" i="5" s="1"/>
  <c r="N1276" i="5"/>
  <c r="Q1276" i="5" s="1"/>
  <c r="N1277" i="5"/>
  <c r="Q1277" i="5" s="1"/>
  <c r="N1278" i="5"/>
  <c r="Q1278" i="5" s="1"/>
  <c r="N1279" i="5"/>
  <c r="Q1279" i="5" s="1"/>
  <c r="N1280" i="5"/>
  <c r="Q1280" i="5" s="1"/>
  <c r="N1281" i="5"/>
  <c r="Q1281" i="5" s="1"/>
  <c r="N1282" i="5"/>
  <c r="Q1282" i="5" s="1"/>
  <c r="N1283" i="5"/>
  <c r="Q1283" i="5" s="1"/>
  <c r="N1284" i="5"/>
  <c r="Q1284" i="5" s="1"/>
  <c r="N1285" i="5"/>
  <c r="Q1285" i="5" s="1"/>
  <c r="N1286" i="5"/>
  <c r="Q1286" i="5" s="1"/>
  <c r="N1287" i="5"/>
  <c r="Q1287" i="5" s="1"/>
  <c r="N1288" i="5"/>
  <c r="Q1288" i="5" s="1"/>
  <c r="N1289" i="5"/>
  <c r="Q1289" i="5" s="1"/>
  <c r="N1290" i="5"/>
  <c r="Q1290" i="5" s="1"/>
  <c r="N1291" i="5"/>
  <c r="Q1291" i="5" s="1"/>
  <c r="N1292" i="5"/>
  <c r="Q1292" i="5" s="1"/>
  <c r="N1293" i="5"/>
  <c r="Q1293" i="5" s="1"/>
  <c r="N1294" i="5"/>
  <c r="Q1294" i="5" s="1"/>
  <c r="N1295" i="5"/>
  <c r="Q1295" i="5" s="1"/>
  <c r="N1296" i="5"/>
  <c r="Q1296" i="5" s="1"/>
  <c r="N1297" i="5"/>
  <c r="Q1297" i="5" s="1"/>
  <c r="N1298" i="5"/>
  <c r="Q1298" i="5" s="1"/>
  <c r="N1299" i="5"/>
  <c r="Q1299" i="5" s="1"/>
  <c r="N1300" i="5"/>
  <c r="Q1300" i="5" s="1"/>
  <c r="N1301" i="5"/>
  <c r="Q1301" i="5" s="1"/>
  <c r="N1302" i="5"/>
  <c r="Q1302" i="5" s="1"/>
  <c r="N1303" i="5"/>
  <c r="Q1303" i="5" s="1"/>
  <c r="N1304" i="5"/>
  <c r="Q1304" i="5" s="1"/>
  <c r="N1305" i="5"/>
  <c r="Q1305" i="5" s="1"/>
  <c r="N1306" i="5"/>
  <c r="Q1306" i="5" s="1"/>
  <c r="N1307" i="5"/>
  <c r="Q1307" i="5" s="1"/>
  <c r="N1308" i="5"/>
  <c r="Q1308" i="5" s="1"/>
  <c r="N1309" i="5"/>
  <c r="Q1309" i="5" s="1"/>
  <c r="N1310" i="5"/>
  <c r="Q1310" i="5" s="1"/>
  <c r="N1311" i="5"/>
  <c r="Q1311" i="5" s="1"/>
  <c r="N1312" i="5"/>
  <c r="Q1312" i="5" s="1"/>
  <c r="N1313" i="5"/>
  <c r="Q1313" i="5" s="1"/>
  <c r="N1314" i="5"/>
  <c r="Q1314" i="5" s="1"/>
  <c r="N1315" i="5"/>
  <c r="Q1315" i="5" s="1"/>
  <c r="N1316" i="5"/>
  <c r="Q1316" i="5" s="1"/>
  <c r="N1317" i="5"/>
  <c r="Q1317" i="5" s="1"/>
  <c r="N1318" i="5"/>
  <c r="Q1318" i="5" s="1"/>
  <c r="N1319" i="5"/>
  <c r="Q1319" i="5" s="1"/>
  <c r="N1320" i="5"/>
  <c r="Q1320" i="5" s="1"/>
  <c r="N1321" i="5"/>
  <c r="Q1321" i="5" s="1"/>
  <c r="N1322" i="5"/>
  <c r="Q1322" i="5" s="1"/>
  <c r="N1323" i="5"/>
  <c r="Q1323" i="5" s="1"/>
  <c r="N1324" i="5"/>
  <c r="Q1324" i="5" s="1"/>
  <c r="N1325" i="5"/>
  <c r="Q1325" i="5" s="1"/>
  <c r="N1326" i="5"/>
  <c r="Q1326" i="5" s="1"/>
  <c r="N1327" i="5"/>
  <c r="Q1327" i="5" s="1"/>
  <c r="N1328" i="5"/>
  <c r="Q1328" i="5" s="1"/>
  <c r="N1329" i="5"/>
  <c r="Q1329" i="5" s="1"/>
  <c r="N1330" i="5"/>
  <c r="Q1330" i="5" s="1"/>
  <c r="N1331" i="5"/>
  <c r="Q1331" i="5" s="1"/>
  <c r="N1332" i="5"/>
  <c r="Q1332" i="5" s="1"/>
  <c r="N1333" i="5"/>
  <c r="Q1333" i="5" s="1"/>
  <c r="N1334" i="5"/>
  <c r="Q1334" i="5" s="1"/>
  <c r="N1335" i="5"/>
  <c r="Q1335" i="5" s="1"/>
  <c r="N1336" i="5"/>
  <c r="Q1336" i="5" s="1"/>
  <c r="N1337" i="5"/>
  <c r="Q1337" i="5" s="1"/>
  <c r="N1338" i="5"/>
  <c r="Q1338" i="5" s="1"/>
  <c r="N1339" i="5"/>
  <c r="Q1339" i="5" s="1"/>
  <c r="N1340" i="5"/>
  <c r="Q1340" i="5" s="1"/>
  <c r="N1341" i="5"/>
  <c r="Q1341" i="5" s="1"/>
  <c r="N1342" i="5"/>
  <c r="Q1342" i="5" s="1"/>
  <c r="N1343" i="5"/>
  <c r="Q1343" i="5" s="1"/>
  <c r="N1344" i="5"/>
  <c r="Q1344" i="5" s="1"/>
  <c r="N1345" i="5"/>
  <c r="Q1345" i="5" s="1"/>
  <c r="N1346" i="5"/>
  <c r="Q1346" i="5" s="1"/>
  <c r="N1347" i="5"/>
  <c r="Q1347" i="5" s="1"/>
  <c r="N1348" i="5"/>
  <c r="Q1348" i="5" s="1"/>
  <c r="N1349" i="5"/>
  <c r="Q1349" i="5" s="1"/>
  <c r="N1350" i="5"/>
  <c r="Q1350" i="5" s="1"/>
  <c r="N1351" i="5"/>
  <c r="Q1351" i="5" s="1"/>
  <c r="N1352" i="5"/>
  <c r="Q1352" i="5" s="1"/>
  <c r="N1353" i="5"/>
  <c r="Q1353" i="5" s="1"/>
  <c r="N1354" i="5"/>
  <c r="Q1354" i="5" s="1"/>
  <c r="N1355" i="5"/>
  <c r="Q1355" i="5" s="1"/>
  <c r="N1356" i="5"/>
  <c r="Q1356" i="5" s="1"/>
  <c r="N1357" i="5"/>
  <c r="Q1357" i="5" s="1"/>
  <c r="N1358" i="5"/>
  <c r="Q1358" i="5" s="1"/>
  <c r="N1359" i="5"/>
  <c r="Q1359" i="5" s="1"/>
  <c r="N1360" i="5"/>
  <c r="Q1360" i="5" s="1"/>
  <c r="N1361" i="5"/>
  <c r="Q1361" i="5" s="1"/>
  <c r="N1362" i="5"/>
  <c r="Q1362" i="5" s="1"/>
  <c r="N1363" i="5"/>
  <c r="Q1363" i="5" s="1"/>
  <c r="N1364" i="5"/>
  <c r="Q1364" i="5" s="1"/>
  <c r="N1365" i="5"/>
  <c r="Q1365" i="5" s="1"/>
  <c r="N1366" i="5"/>
  <c r="Q1366" i="5" s="1"/>
  <c r="N1367" i="5"/>
  <c r="Q1367" i="5" s="1"/>
  <c r="N1368" i="5"/>
  <c r="Q1368" i="5" s="1"/>
  <c r="N1369" i="5"/>
  <c r="Q1369" i="5" s="1"/>
  <c r="N1370" i="5"/>
  <c r="Q1370" i="5" s="1"/>
  <c r="N1371" i="5"/>
  <c r="Q1371" i="5" s="1"/>
  <c r="N1372" i="5"/>
  <c r="Q1372" i="5" s="1"/>
  <c r="N1373" i="5"/>
  <c r="Q1373" i="5" s="1"/>
  <c r="N1374" i="5"/>
  <c r="Q1374" i="5" s="1"/>
  <c r="N1375" i="5"/>
  <c r="Q1375" i="5" s="1"/>
  <c r="N1376" i="5"/>
  <c r="Q1376" i="5" s="1"/>
  <c r="N1377" i="5"/>
  <c r="Q1377" i="5" s="1"/>
  <c r="N1378" i="5"/>
  <c r="Q1378" i="5" s="1"/>
  <c r="N1379" i="5"/>
  <c r="Q1379" i="5" s="1"/>
  <c r="N1380" i="5"/>
  <c r="Q1380" i="5" s="1"/>
  <c r="N1381" i="5"/>
  <c r="Q1381" i="5" s="1"/>
  <c r="N1382" i="5"/>
  <c r="Q1382" i="5" s="1"/>
  <c r="N1383" i="5"/>
  <c r="Q1383" i="5" s="1"/>
  <c r="N1384" i="5"/>
  <c r="Q1384" i="5" s="1"/>
  <c r="N1385" i="5"/>
  <c r="Q1385" i="5" s="1"/>
  <c r="N1386" i="5"/>
  <c r="Q1386" i="5" s="1"/>
  <c r="N1387" i="5"/>
  <c r="Q1387" i="5" s="1"/>
  <c r="N1388" i="5"/>
  <c r="Q1388" i="5" s="1"/>
  <c r="N1389" i="5"/>
  <c r="Q1389" i="5" s="1"/>
  <c r="N1390" i="5"/>
  <c r="Q1390" i="5" s="1"/>
  <c r="N1391" i="5"/>
  <c r="Q1391" i="5" s="1"/>
  <c r="N1392" i="5"/>
  <c r="Q1392" i="5" s="1"/>
  <c r="N1393" i="5"/>
  <c r="Q1393" i="5" s="1"/>
  <c r="N1394" i="5"/>
  <c r="Q1394" i="5" s="1"/>
  <c r="N1395" i="5"/>
  <c r="Q1395" i="5" s="1"/>
  <c r="N1396" i="5"/>
  <c r="Q1396" i="5" s="1"/>
  <c r="N1397" i="5"/>
  <c r="Q1397" i="5" s="1"/>
  <c r="N1398" i="5"/>
  <c r="Q1398" i="5" s="1"/>
  <c r="N1399" i="5"/>
  <c r="Q1399" i="5" s="1"/>
  <c r="N1400" i="5"/>
  <c r="Q1400" i="5" s="1"/>
  <c r="N1401" i="5"/>
  <c r="Q1401" i="5" s="1"/>
  <c r="N1402" i="5"/>
  <c r="Q1402" i="5" s="1"/>
  <c r="N1403" i="5"/>
  <c r="Q1403" i="5" s="1"/>
  <c r="N1404" i="5"/>
  <c r="Q1404" i="5" s="1"/>
  <c r="N1405" i="5"/>
  <c r="Q1405" i="5" s="1"/>
  <c r="N1406" i="5"/>
  <c r="Q1406" i="5" s="1"/>
  <c r="N1407" i="5"/>
  <c r="Q1407" i="5" s="1"/>
  <c r="N1408" i="5"/>
  <c r="Q1408" i="5" s="1"/>
  <c r="N1409" i="5"/>
  <c r="Q1409" i="5" s="1"/>
  <c r="N1410" i="5"/>
  <c r="Q1410" i="5" s="1"/>
  <c r="N1411" i="5"/>
  <c r="Q1411" i="5" s="1"/>
  <c r="N1412" i="5"/>
  <c r="Q1412" i="5" s="1"/>
  <c r="N1413" i="5"/>
  <c r="Q1413" i="5" s="1"/>
  <c r="N1414" i="5"/>
  <c r="Q1414" i="5" s="1"/>
  <c r="N1415" i="5"/>
  <c r="Q1415" i="5" s="1"/>
  <c r="N1416" i="5"/>
  <c r="Q1416" i="5" s="1"/>
  <c r="N1417" i="5"/>
  <c r="Q1417" i="5" s="1"/>
  <c r="N1418" i="5"/>
  <c r="Q1418" i="5" s="1"/>
  <c r="N1419" i="5"/>
  <c r="Q1419" i="5" s="1"/>
  <c r="N1420" i="5"/>
  <c r="Q1420" i="5" s="1"/>
  <c r="N1421" i="5"/>
  <c r="Q1421" i="5" s="1"/>
  <c r="N1422" i="5"/>
  <c r="Q1422" i="5" s="1"/>
  <c r="N1423" i="5"/>
  <c r="Q1423" i="5" s="1"/>
  <c r="N1424" i="5"/>
  <c r="Q1424" i="5" s="1"/>
  <c r="N1425" i="5"/>
  <c r="Q1425" i="5" s="1"/>
  <c r="N1426" i="5"/>
  <c r="Q1426" i="5" s="1"/>
  <c r="N1427" i="5"/>
  <c r="Q1427" i="5" s="1"/>
  <c r="N1428" i="5"/>
  <c r="Q1428" i="5" s="1"/>
  <c r="N1429" i="5"/>
  <c r="Q1429" i="5" s="1"/>
  <c r="N1430" i="5"/>
  <c r="Q1430" i="5" s="1"/>
  <c r="N1431" i="5"/>
  <c r="Q1431" i="5" s="1"/>
  <c r="N1432" i="5"/>
  <c r="Q1432" i="5" s="1"/>
  <c r="N1433" i="5"/>
  <c r="Q1433" i="5" s="1"/>
  <c r="N1434" i="5"/>
  <c r="Q1434" i="5" s="1"/>
  <c r="N1435" i="5"/>
  <c r="Q1435" i="5" s="1"/>
  <c r="N1436" i="5"/>
  <c r="Q1436" i="5" s="1"/>
  <c r="N1437" i="5"/>
  <c r="Q1437" i="5" s="1"/>
  <c r="N1438" i="5"/>
  <c r="Q1438" i="5" s="1"/>
  <c r="N1439" i="5"/>
  <c r="Q1439" i="5" s="1"/>
  <c r="N1440" i="5"/>
  <c r="Q1440" i="5" s="1"/>
  <c r="N1441" i="5"/>
  <c r="Q1441" i="5" s="1"/>
  <c r="N1442" i="5"/>
  <c r="Q1442" i="5" s="1"/>
  <c r="N1443" i="5"/>
  <c r="Q1443" i="5" s="1"/>
  <c r="N1444" i="5"/>
  <c r="Q1444" i="5" s="1"/>
  <c r="N1445" i="5"/>
  <c r="Q1445" i="5" s="1"/>
  <c r="N1446" i="5"/>
  <c r="Q1446" i="5" s="1"/>
  <c r="N1447" i="5"/>
  <c r="Q1447" i="5" s="1"/>
  <c r="N1448" i="5"/>
  <c r="Q1448" i="5" s="1"/>
  <c r="N1449" i="5"/>
  <c r="Q1449" i="5" s="1"/>
  <c r="N1450" i="5"/>
  <c r="Q1450" i="5" s="1"/>
  <c r="N1451" i="5"/>
  <c r="Q1451" i="5" s="1"/>
  <c r="N1452" i="5"/>
  <c r="Q1452" i="5" s="1"/>
  <c r="N1453" i="5"/>
  <c r="Q1453" i="5" s="1"/>
  <c r="N1454" i="5"/>
  <c r="Q1454" i="5" s="1"/>
  <c r="N1455" i="5"/>
  <c r="Q1455" i="5" s="1"/>
  <c r="N1456" i="5"/>
  <c r="Q1456" i="5" s="1"/>
  <c r="N1457" i="5"/>
  <c r="Q1457" i="5" s="1"/>
  <c r="N1458" i="5"/>
  <c r="Q1458" i="5" s="1"/>
  <c r="N1459" i="5"/>
  <c r="Q1459" i="5" s="1"/>
  <c r="N1460" i="5"/>
  <c r="Q1460" i="5" s="1"/>
  <c r="N1461" i="5"/>
  <c r="Q1461" i="5" s="1"/>
  <c r="N1462" i="5"/>
  <c r="Q1462" i="5" s="1"/>
  <c r="N1463" i="5"/>
  <c r="Q1463" i="5" s="1"/>
  <c r="N1464" i="5"/>
  <c r="Q1464" i="5" s="1"/>
  <c r="N1465" i="5"/>
  <c r="Q1465" i="5" s="1"/>
  <c r="N1466" i="5"/>
  <c r="Q1466" i="5" s="1"/>
  <c r="N1467" i="5"/>
  <c r="Q1467" i="5" s="1"/>
  <c r="N1468" i="5"/>
  <c r="Q1468" i="5" s="1"/>
  <c r="N1469" i="5"/>
  <c r="Q1469" i="5" s="1"/>
  <c r="N1470" i="5"/>
  <c r="Q1470" i="5" s="1"/>
  <c r="N1471" i="5"/>
  <c r="Q1471" i="5" s="1"/>
  <c r="N1472" i="5"/>
  <c r="Q1472" i="5" s="1"/>
  <c r="N1473" i="5"/>
  <c r="Q1473" i="5" s="1"/>
  <c r="N1474" i="5"/>
  <c r="Q1474" i="5" s="1"/>
  <c r="N1475" i="5"/>
  <c r="Q1475" i="5" s="1"/>
  <c r="N1476" i="5"/>
  <c r="Q1476" i="5" s="1"/>
  <c r="N1477" i="5"/>
  <c r="Q1477" i="5" s="1"/>
  <c r="N1478" i="5"/>
  <c r="Q1478" i="5" s="1"/>
  <c r="N1479" i="5"/>
  <c r="Q1479" i="5" s="1"/>
  <c r="N1480" i="5"/>
  <c r="Q1480" i="5" s="1"/>
  <c r="N1481" i="5"/>
  <c r="Q1481" i="5" s="1"/>
  <c r="N1482" i="5"/>
  <c r="Q1482" i="5" s="1"/>
  <c r="N1483" i="5"/>
  <c r="Q1483" i="5" s="1"/>
  <c r="N1484" i="5"/>
  <c r="Q1484" i="5" s="1"/>
  <c r="N1485" i="5"/>
  <c r="Q1485" i="5" s="1"/>
  <c r="N1486" i="5"/>
  <c r="Q1486" i="5" s="1"/>
  <c r="N1487" i="5"/>
  <c r="Q1487" i="5" s="1"/>
  <c r="N1488" i="5"/>
  <c r="Q1488" i="5" s="1"/>
  <c r="N1489" i="5"/>
  <c r="Q1489" i="5" s="1"/>
  <c r="N1490" i="5"/>
  <c r="Q1490" i="5" s="1"/>
  <c r="N1491" i="5"/>
  <c r="Q1491" i="5" s="1"/>
  <c r="N1492" i="5"/>
  <c r="Q1492" i="5" s="1"/>
  <c r="N1493" i="5"/>
  <c r="Q1493" i="5" s="1"/>
  <c r="N1494" i="5"/>
  <c r="Q1494" i="5" s="1"/>
  <c r="N1495" i="5"/>
  <c r="Q1495" i="5" s="1"/>
  <c r="N1496" i="5"/>
  <c r="Q1496" i="5" s="1"/>
  <c r="N1497" i="5"/>
  <c r="Q1497" i="5" s="1"/>
  <c r="N1498" i="5"/>
  <c r="Q1498" i="5" s="1"/>
  <c r="N1499" i="5"/>
  <c r="Q1499" i="5" s="1"/>
  <c r="N1500" i="5"/>
  <c r="Q1500" i="5" s="1"/>
  <c r="N1501" i="5"/>
  <c r="Q1501" i="5" s="1"/>
  <c r="N1502" i="5"/>
  <c r="Q1502" i="5" s="1"/>
  <c r="N1503" i="5"/>
  <c r="Q1503" i="5" s="1"/>
  <c r="N1504" i="5"/>
  <c r="Q1504" i="5" s="1"/>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J13" i="5"/>
  <c r="J14" i="5"/>
  <c r="J15" i="5"/>
  <c r="J17" i="5"/>
  <c r="J18" i="5"/>
  <c r="J19" i="5"/>
  <c r="J20" i="5"/>
  <c r="J22" i="5"/>
  <c r="J23" i="5"/>
  <c r="J24" i="5"/>
  <c r="J25" i="5"/>
  <c r="J26" i="5"/>
  <c r="J29" i="5"/>
  <c r="J30" i="5"/>
  <c r="J31" i="5"/>
  <c r="J32" i="5"/>
  <c r="J33" i="5"/>
  <c r="J36" i="5"/>
  <c r="J37" i="5"/>
  <c r="J38" i="5"/>
  <c r="J39" i="5"/>
  <c r="J42" i="5"/>
  <c r="J43" i="5"/>
  <c r="J44" i="5"/>
  <c r="J45" i="5"/>
  <c r="J46" i="5"/>
  <c r="J49" i="5"/>
  <c r="J50" i="5"/>
  <c r="J51" i="5"/>
  <c r="J53" i="5"/>
  <c r="J54" i="5"/>
  <c r="J55" i="5"/>
  <c r="J56" i="5"/>
  <c r="J58" i="5"/>
  <c r="J59" i="5"/>
  <c r="J60" i="5"/>
  <c r="J63" i="5"/>
  <c r="J64" i="5"/>
  <c r="J65" i="5"/>
  <c r="J66" i="5"/>
  <c r="J68" i="5"/>
  <c r="J69" i="5"/>
  <c r="J71" i="5"/>
  <c r="J72" i="5"/>
  <c r="J73" i="5"/>
  <c r="J75" i="5"/>
  <c r="J76" i="5"/>
  <c r="J77" i="5"/>
  <c r="J79" i="5"/>
  <c r="J80" i="5"/>
  <c r="J81" i="5"/>
  <c r="J82" i="5"/>
  <c r="J83" i="5"/>
  <c r="J84" i="5"/>
  <c r="J85" i="5"/>
  <c r="J86" i="5"/>
  <c r="J87" i="5"/>
  <c r="J88" i="5"/>
  <c r="J89" i="5"/>
  <c r="J90" i="5"/>
  <c r="J91" i="5"/>
  <c r="J92" i="5"/>
  <c r="J94" i="5"/>
  <c r="J95" i="5"/>
  <c r="J96" i="5"/>
  <c r="J98" i="5"/>
  <c r="J99" i="5"/>
  <c r="J100" i="5"/>
  <c r="J102" i="5"/>
  <c r="J103" i="5"/>
  <c r="J106" i="5"/>
  <c r="J107" i="5"/>
  <c r="J108" i="5"/>
  <c r="J109" i="5"/>
  <c r="J110" i="5"/>
  <c r="J111" i="5"/>
  <c r="J112" i="5"/>
  <c r="J113" i="5"/>
  <c r="J116" i="5"/>
  <c r="J117" i="5"/>
  <c r="J119" i="5"/>
  <c r="J120" i="5"/>
  <c r="J123" i="5"/>
  <c r="J124" i="5"/>
  <c r="J128" i="5"/>
  <c r="J129" i="5"/>
  <c r="J130" i="5"/>
  <c r="J131" i="5"/>
  <c r="J134" i="5"/>
  <c r="J135" i="5"/>
  <c r="J137" i="5"/>
  <c r="J138" i="5"/>
  <c r="J141" i="5"/>
  <c r="J143" i="5"/>
  <c r="J144" i="5"/>
  <c r="J146" i="5"/>
  <c r="J147" i="5"/>
  <c r="J150" i="5"/>
  <c r="J151" i="5"/>
  <c r="J154" i="5"/>
  <c r="J157" i="5"/>
  <c r="J158" i="5"/>
  <c r="J160" i="5"/>
  <c r="J161" i="5"/>
  <c r="J162" i="5"/>
  <c r="J164" i="5"/>
  <c r="J165" i="5"/>
  <c r="J168" i="5"/>
  <c r="J169" i="5"/>
  <c r="J176" i="5"/>
  <c r="J177" i="5"/>
  <c r="J179" i="5"/>
  <c r="J180" i="5"/>
  <c r="J185" i="5"/>
  <c r="J186" i="5"/>
  <c r="J190" i="5"/>
  <c r="J191" i="5"/>
  <c r="J194" i="5"/>
  <c r="J195" i="5"/>
  <c r="J197" i="5"/>
  <c r="J198" i="5"/>
  <c r="J200" i="5"/>
  <c r="J201" i="5"/>
  <c r="J202" i="5"/>
  <c r="J203" i="5"/>
  <c r="J205" i="5"/>
  <c r="J206" i="5"/>
  <c r="J211" i="5"/>
  <c r="J213" i="5"/>
  <c r="J214" i="5"/>
  <c r="J218" i="5"/>
  <c r="J219" i="5"/>
  <c r="J223" i="5"/>
  <c r="J224" i="5"/>
  <c r="J225" i="5"/>
  <c r="J227" i="5"/>
  <c r="J228" i="5"/>
  <c r="J231" i="5"/>
  <c r="J232" i="5"/>
  <c r="J237" i="5"/>
  <c r="J238" i="5"/>
  <c r="J240" i="5"/>
  <c r="J241" i="5"/>
  <c r="J243" i="5"/>
  <c r="J244" i="5"/>
  <c r="J248" i="5"/>
  <c r="J249" i="5"/>
  <c r="J251" i="5"/>
  <c r="J253" i="5"/>
  <c r="J254" i="5"/>
  <c r="J256" i="5"/>
  <c r="J257" i="5"/>
  <c r="J258" i="5"/>
  <c r="J260" i="5"/>
  <c r="J261" i="5"/>
  <c r="J264" i="5"/>
  <c r="J265" i="5"/>
  <c r="J268" i="5"/>
  <c r="J269" i="5"/>
  <c r="J270" i="5"/>
  <c r="J273" i="5"/>
  <c r="J274" i="5"/>
  <c r="J279" i="5"/>
  <c r="J280" i="5"/>
  <c r="J281" i="5"/>
  <c r="J282" i="5"/>
  <c r="J284" i="5"/>
  <c r="J285" i="5"/>
  <c r="J287" i="5"/>
  <c r="J288" i="5"/>
  <c r="J290" i="5"/>
  <c r="J291" i="5"/>
  <c r="J292" i="5"/>
  <c r="J295" i="5"/>
  <c r="J296" i="5"/>
  <c r="J297" i="5"/>
  <c r="J299" i="5"/>
  <c r="J300" i="5"/>
  <c r="J302" i="5"/>
  <c r="J303" i="5"/>
  <c r="J306" i="5"/>
  <c r="J307" i="5"/>
  <c r="J310" i="5"/>
  <c r="J311" i="5"/>
  <c r="J315" i="5"/>
  <c r="J316" i="5"/>
  <c r="J319" i="5"/>
  <c r="J320" i="5"/>
  <c r="J324" i="5"/>
  <c r="J325" i="5"/>
  <c r="J327" i="5"/>
  <c r="J328" i="5"/>
  <c r="J333" i="5"/>
  <c r="J334" i="5"/>
  <c r="J335" i="5"/>
  <c r="J336" i="5"/>
  <c r="J338" i="5"/>
  <c r="J339" i="5"/>
  <c r="J343" i="5"/>
  <c r="J344" i="5"/>
  <c r="J345" i="5"/>
  <c r="J346" i="5"/>
  <c r="J348" i="5"/>
  <c r="J349" i="5"/>
  <c r="J352" i="5"/>
  <c r="J354" i="5"/>
  <c r="J355" i="5"/>
  <c r="J357" i="5"/>
  <c r="J359" i="5"/>
  <c r="J360" i="5"/>
  <c r="J361" i="5"/>
  <c r="J364" i="5"/>
  <c r="J365" i="5"/>
  <c r="J369" i="5"/>
  <c r="J370" i="5"/>
  <c r="J372" i="5"/>
  <c r="J373" i="5"/>
  <c r="J375" i="5"/>
  <c r="J376" i="5"/>
  <c r="J379" i="5"/>
  <c r="J380" i="5"/>
  <c r="J383" i="5"/>
  <c r="J384" i="5"/>
  <c r="J385" i="5"/>
  <c r="J386" i="5"/>
  <c r="J387" i="5"/>
  <c r="J391" i="5"/>
  <c r="J392" i="5"/>
  <c r="J393" i="5"/>
  <c r="J394" i="5"/>
  <c r="J397" i="5"/>
  <c r="J398" i="5"/>
  <c r="J401" i="5"/>
  <c r="J402" i="5"/>
  <c r="J405" i="5"/>
  <c r="J406" i="5"/>
  <c r="J408" i="5"/>
  <c r="J409" i="5"/>
  <c r="J411" i="5"/>
  <c r="J412" i="5"/>
  <c r="J415" i="5"/>
  <c r="J416" i="5"/>
  <c r="J419" i="5"/>
  <c r="J420" i="5"/>
  <c r="J422" i="5"/>
  <c r="J423" i="5"/>
  <c r="J426" i="5"/>
  <c r="J427" i="5"/>
  <c r="J429" i="5"/>
  <c r="J430" i="5"/>
  <c r="J435" i="5"/>
  <c r="J437" i="5"/>
  <c r="J438" i="5"/>
  <c r="J442" i="5"/>
  <c r="J443" i="5"/>
  <c r="J446" i="5"/>
  <c r="J447" i="5"/>
  <c r="J449" i="5"/>
  <c r="J450" i="5"/>
  <c r="J453" i="5"/>
  <c r="J456" i="5"/>
  <c r="J457" i="5"/>
  <c r="J460" i="5"/>
  <c r="J461" i="5"/>
  <c r="J462" i="5"/>
  <c r="J463" i="5"/>
  <c r="J467" i="5"/>
  <c r="J468" i="5"/>
  <c r="J471" i="5"/>
  <c r="J472" i="5"/>
  <c r="J475" i="5"/>
  <c r="J476" i="5"/>
  <c r="J480" i="5"/>
  <c r="J481" i="5"/>
  <c r="J483" i="5"/>
  <c r="J486" i="5"/>
  <c r="J487" i="5"/>
  <c r="J490" i="5"/>
  <c r="J491" i="5"/>
  <c r="J494" i="5"/>
  <c r="J496" i="5"/>
  <c r="J497" i="5"/>
  <c r="J499" i="5"/>
  <c r="J500" i="5"/>
  <c r="J502" i="5"/>
  <c r="J503" i="5"/>
  <c r="J506" i="5"/>
  <c r="J507" i="5"/>
  <c r="J509" i="5"/>
  <c r="J510" i="5"/>
  <c r="J514" i="5"/>
  <c r="J515" i="5"/>
  <c r="J520" i="5"/>
  <c r="J521" i="5"/>
  <c r="J523" i="5"/>
  <c r="J524" i="5"/>
  <c r="J525" i="5"/>
  <c r="J529" i="5"/>
  <c r="J530" i="5"/>
  <c r="J532" i="5"/>
  <c r="J533" i="5"/>
  <c r="J539" i="5"/>
  <c r="J540" i="5"/>
  <c r="J545" i="5"/>
  <c r="J546" i="5"/>
  <c r="J547" i="5"/>
  <c r="J548" i="5"/>
  <c r="J552" i="5"/>
  <c r="J553" i="5"/>
  <c r="J554" i="5"/>
  <c r="J559" i="5"/>
  <c r="J562" i="5"/>
  <c r="J563" i="5"/>
  <c r="J568" i="5"/>
  <c r="J569" i="5"/>
  <c r="J572" i="5"/>
  <c r="J573" i="5"/>
  <c r="J577" i="5"/>
  <c r="J578" i="5"/>
  <c r="J583" i="5"/>
  <c r="J584" i="5"/>
  <c r="J589" i="5"/>
  <c r="J590" i="5"/>
  <c r="J594" i="5"/>
  <c r="J595" i="5"/>
  <c r="J603" i="5"/>
  <c r="J604" i="5"/>
  <c r="J605" i="5"/>
  <c r="J606" i="5"/>
  <c r="J609" i="5"/>
  <c r="J610" i="5"/>
  <c r="J612" i="5"/>
  <c r="J613" i="5"/>
  <c r="J614" i="5"/>
  <c r="J615" i="5"/>
  <c r="J616" i="5"/>
  <c r="J619" i="5"/>
  <c r="J620" i="5"/>
  <c r="J621" i="5"/>
  <c r="J628" i="5"/>
  <c r="J629" i="5"/>
  <c r="J635" i="5"/>
  <c r="J636" i="5"/>
  <c r="J645" i="5"/>
  <c r="J646" i="5"/>
  <c r="J647" i="5"/>
  <c r="J648" i="5"/>
  <c r="J653" i="5"/>
  <c r="J654" i="5"/>
  <c r="J662" i="5"/>
  <c r="J663" i="5"/>
  <c r="J669" i="5"/>
  <c r="J670" i="5"/>
  <c r="J672" i="5"/>
  <c r="J673" i="5"/>
  <c r="J676" i="5"/>
  <c r="J677" i="5"/>
  <c r="J690" i="5"/>
  <c r="J691" i="5"/>
  <c r="J692" i="5"/>
  <c r="J693" i="5"/>
  <c r="J695" i="5"/>
  <c r="J696" i="5"/>
  <c r="J697" i="5"/>
  <c r="J698" i="5"/>
  <c r="J701" i="5"/>
  <c r="J702"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D13" i="5"/>
  <c r="D15" i="5"/>
  <c r="D16" i="5"/>
  <c r="D17" i="5"/>
  <c r="D18" i="5"/>
  <c r="D19" i="5"/>
  <c r="D20" i="5"/>
  <c r="D23" i="5"/>
  <c r="D24" i="5"/>
  <c r="D25" i="5"/>
  <c r="D26" i="5"/>
  <c r="D37" i="5"/>
  <c r="D44" i="5"/>
  <c r="D45" i="5"/>
  <c r="D46" i="5"/>
  <c r="D47" i="5"/>
  <c r="D54" i="5"/>
  <c r="D55" i="5"/>
  <c r="D56" i="5"/>
  <c r="D57" i="5"/>
  <c r="D64" i="5"/>
  <c r="D65" i="5"/>
  <c r="D66" i="5"/>
  <c r="D67" i="5"/>
  <c r="D74" i="5"/>
  <c r="D75" i="5"/>
  <c r="D76" i="5"/>
  <c r="D77" i="5"/>
  <c r="D78" i="5"/>
  <c r="D79" i="5"/>
  <c r="D80" i="5"/>
  <c r="D88" i="5"/>
  <c r="D89" i="5"/>
  <c r="D98" i="5"/>
  <c r="D101" i="5"/>
  <c r="D103" i="5"/>
  <c r="D105" i="5"/>
  <c r="D106" i="5"/>
  <c r="D107" i="5"/>
  <c r="D114" i="5"/>
  <c r="D115" i="5"/>
  <c r="D116" i="5"/>
  <c r="D117" i="5"/>
  <c r="D118" i="5"/>
  <c r="D120" i="5"/>
  <c r="D121" i="5"/>
  <c r="D128" i="5"/>
  <c r="D129" i="5"/>
  <c r="D131" i="5"/>
  <c r="D132" i="5"/>
  <c r="D133" i="5"/>
  <c r="D145" i="5"/>
  <c r="D146" i="5"/>
  <c r="D147" i="5"/>
  <c r="D153" i="5"/>
  <c r="D154" i="5"/>
  <c r="D155" i="5"/>
  <c r="D156" i="5"/>
  <c r="D161" i="5"/>
  <c r="D162" i="5"/>
  <c r="D163" i="5"/>
  <c r="D164" i="5"/>
  <c r="D166" i="5"/>
  <c r="D167" i="5"/>
  <c r="D168" i="5"/>
  <c r="D169" i="5"/>
  <c r="D174" i="5"/>
  <c r="D179" i="5"/>
  <c r="D180" i="5"/>
  <c r="D181" i="5"/>
  <c r="D182" i="5"/>
  <c r="D183" i="5"/>
  <c r="D184" i="5"/>
  <c r="D186" i="5"/>
  <c r="D189" i="5"/>
  <c r="D190" i="5"/>
  <c r="D191" i="5"/>
  <c r="D192" i="5"/>
  <c r="D193" i="5"/>
  <c r="D194" i="5"/>
  <c r="D200" i="5"/>
  <c r="D201" i="5"/>
  <c r="D202" i="5"/>
  <c r="D203" i="5"/>
  <c r="D204" i="5"/>
  <c r="D205" i="5"/>
  <c r="D214" i="5"/>
  <c r="D215" i="5"/>
  <c r="D216" i="5"/>
  <c r="D217" i="5"/>
  <c r="D218" i="5"/>
  <c r="D219" i="5"/>
  <c r="D220" i="5"/>
  <c r="D221" i="5"/>
  <c r="D222" i="5"/>
  <c r="D223" i="5"/>
  <c r="D224" i="5"/>
  <c r="D225" i="5"/>
  <c r="D226" i="5"/>
  <c r="D227" i="5"/>
  <c r="D241" i="5"/>
  <c r="D242" i="5"/>
  <c r="D243" i="5"/>
  <c r="D244" i="5"/>
  <c r="D246" i="5"/>
  <c r="D247" i="5"/>
  <c r="D250" i="5"/>
  <c r="D251" i="5"/>
  <c r="D252" i="5"/>
  <c r="D257" i="5"/>
  <c r="D258" i="5"/>
  <c r="D259" i="5"/>
  <c r="D260" i="5"/>
  <c r="D261" i="5"/>
  <c r="D262" i="5"/>
  <c r="D263" i="5"/>
  <c r="D265" i="5"/>
  <c r="D266" i="5"/>
  <c r="D267" i="5"/>
  <c r="D269" i="5"/>
  <c r="D270" i="5"/>
  <c r="D271" i="5"/>
  <c r="D274" i="5"/>
  <c r="D275" i="5"/>
  <c r="D276" i="5"/>
  <c r="D277" i="5"/>
  <c r="D278" i="5"/>
  <c r="D281" i="5"/>
  <c r="D282" i="5"/>
  <c r="D283" i="5"/>
  <c r="D284" i="5"/>
  <c r="D286" i="5"/>
  <c r="D287" i="5"/>
  <c r="D288" i="5"/>
  <c r="D292" i="5"/>
  <c r="D293" i="5"/>
  <c r="D294" i="5"/>
  <c r="D295" i="5"/>
  <c r="D296" i="5"/>
  <c r="D297" i="5"/>
  <c r="D298" i="5"/>
  <c r="D299" i="5"/>
  <c r="D301" i="5"/>
  <c r="D302" i="5"/>
  <c r="D303" i="5"/>
  <c r="D307" i="5"/>
  <c r="D308" i="5"/>
  <c r="D309" i="5"/>
  <c r="D311" i="5"/>
  <c r="D315" i="5"/>
  <c r="D316" i="5"/>
  <c r="D317" i="5"/>
  <c r="D319" i="5"/>
  <c r="D322" i="5"/>
  <c r="D323" i="5"/>
  <c r="D327" i="5"/>
  <c r="D328" i="5"/>
  <c r="D329" i="5"/>
  <c r="D331" i="5"/>
  <c r="D333" i="5"/>
  <c r="D336" i="5"/>
  <c r="D337" i="5"/>
  <c r="D338" i="5"/>
  <c r="D339" i="5"/>
  <c r="D340" i="5"/>
  <c r="D341" i="5"/>
  <c r="D344" i="5"/>
  <c r="D345" i="5"/>
  <c r="D347" i="5"/>
  <c r="D348" i="5"/>
  <c r="D349" i="5"/>
  <c r="D350" i="5"/>
  <c r="D352" i="5"/>
  <c r="D353" i="5"/>
  <c r="D354" i="5"/>
  <c r="D355" i="5"/>
  <c r="D360" i="5"/>
  <c r="D365" i="5"/>
  <c r="D367" i="5"/>
  <c r="D368" i="5"/>
  <c r="D370" i="5"/>
  <c r="D371" i="5"/>
  <c r="D372" i="5"/>
  <c r="D373" i="5"/>
  <c r="D374" i="5"/>
  <c r="D375" i="5"/>
  <c r="D377" i="5"/>
  <c r="D379" i="5"/>
  <c r="D382" i="5"/>
  <c r="D383" i="5"/>
  <c r="D384" i="5"/>
  <c r="D385" i="5"/>
  <c r="D386" i="5"/>
  <c r="D387" i="5"/>
  <c r="D391" i="5"/>
  <c r="D392" i="5"/>
  <c r="D393" i="5"/>
  <c r="D394" i="5"/>
  <c r="D396" i="5"/>
  <c r="D399" i="5"/>
  <c r="D400" i="5"/>
  <c r="D401" i="5"/>
  <c r="D402" i="5"/>
  <c r="D406" i="5"/>
  <c r="D407" i="5"/>
  <c r="D408" i="5"/>
  <c r="D410" i="5"/>
  <c r="D411" i="5"/>
  <c r="D412" i="5"/>
  <c r="D413" i="5"/>
  <c r="D416" i="5"/>
  <c r="D417" i="5"/>
  <c r="D418" i="5"/>
  <c r="D444" i="5"/>
  <c r="D445" i="5"/>
  <c r="D448" i="5"/>
  <c r="D449" i="5"/>
  <c r="D458" i="5"/>
  <c r="D459" i="5"/>
  <c r="D460" i="5"/>
  <c r="D461" i="5"/>
  <c r="D465" i="5"/>
  <c r="D466" i="5"/>
  <c r="D473" i="5"/>
  <c r="D474" i="5"/>
  <c r="D477" i="5"/>
  <c r="D482" i="5"/>
  <c r="D484" i="5"/>
  <c r="D488" i="5"/>
  <c r="D489" i="5"/>
  <c r="D500" i="5"/>
  <c r="D501" i="5"/>
  <c r="D502" i="5"/>
  <c r="D509" i="5"/>
  <c r="D510" i="5"/>
  <c r="D515" i="5"/>
  <c r="D516" i="5"/>
  <c r="D530" i="5"/>
  <c r="D531" i="5"/>
  <c r="D535" i="5"/>
  <c r="D536" i="5"/>
  <c r="D543" i="5"/>
  <c r="D544" i="5"/>
  <c r="D548" i="5"/>
  <c r="D554" i="5"/>
  <c r="D555" i="5"/>
  <c r="D559" i="5"/>
  <c r="D560" i="5"/>
  <c r="D568" i="5"/>
  <c r="D569" i="5"/>
  <c r="D572" i="5"/>
  <c r="D573" i="5"/>
  <c r="D577" i="5"/>
  <c r="D578" i="5"/>
  <c r="D588" i="5"/>
  <c r="D589" i="5"/>
  <c r="D594" i="5"/>
  <c r="D595" i="5"/>
  <c r="D603" i="5"/>
  <c r="D604" i="5"/>
  <c r="D613" i="5"/>
  <c r="D614" i="5"/>
  <c r="D621" i="5"/>
  <c r="D622" i="5"/>
  <c r="D626" i="5"/>
  <c r="D627" i="5"/>
  <c r="D632" i="5"/>
  <c r="D633" i="5"/>
  <c r="D637" i="5"/>
  <c r="D638" i="5"/>
  <c r="D642" i="5"/>
  <c r="D643" i="5"/>
  <c r="D649" i="5"/>
  <c r="D650" i="5"/>
  <c r="D651" i="5"/>
  <c r="D655" i="5"/>
  <c r="D656" i="5"/>
  <c r="D661" i="5"/>
  <c r="D664" i="5"/>
  <c r="D665" i="5"/>
  <c r="D666" i="5"/>
  <c r="D670" i="5"/>
  <c r="D671" i="5"/>
  <c r="D675" i="5"/>
  <c r="D676" i="5"/>
  <c r="D683" i="5"/>
  <c r="D684" i="5"/>
  <c r="D688" i="5"/>
  <c r="D689" i="5"/>
  <c r="D692" i="5"/>
  <c r="D693" i="5"/>
  <c r="D700" i="5"/>
  <c r="D701" i="5"/>
  <c r="D709" i="5"/>
  <c r="D710" i="5"/>
  <c r="D713" i="5"/>
  <c r="D718" i="5"/>
  <c r="D719" i="5"/>
  <c r="D726" i="5"/>
  <c r="D727" i="5"/>
  <c r="D732" i="5"/>
  <c r="D733" i="5"/>
  <c r="D736" i="5"/>
  <c r="D737" i="5"/>
  <c r="D747" i="5"/>
  <c r="D750" i="5"/>
  <c r="D751" i="5"/>
  <c r="D753" i="5"/>
  <c r="D754" i="5"/>
  <c r="D756" i="5"/>
  <c r="D757" i="5"/>
  <c r="D761" i="5"/>
  <c r="D762" i="5"/>
  <c r="D777" i="5"/>
  <c r="D783" i="5"/>
  <c r="D784" i="5"/>
  <c r="D785" i="5"/>
  <c r="D791" i="5"/>
  <c r="D792" i="5"/>
  <c r="D793" i="5"/>
  <c r="D803" i="5"/>
  <c r="D804" i="5"/>
  <c r="D805" i="5"/>
  <c r="D810" i="5"/>
  <c r="D815" i="5"/>
  <c r="D816" i="5"/>
  <c r="D827" i="5"/>
  <c r="D828" i="5"/>
  <c r="D835" i="5"/>
  <c r="D836" i="5"/>
  <c r="D844" i="5"/>
  <c r="D845" i="5"/>
  <c r="D850" i="5"/>
  <c r="D851" i="5"/>
  <c r="D859" i="5"/>
  <c r="D860" i="5"/>
  <c r="D873" i="5"/>
  <c r="D874" i="5"/>
  <c r="D875" i="5"/>
  <c r="D876" i="5"/>
  <c r="D878" i="5"/>
  <c r="D879" i="5"/>
  <c r="D880" i="5"/>
  <c r="D881" i="5"/>
  <c r="D882" i="5"/>
  <c r="D887" i="5"/>
  <c r="D888" i="5"/>
  <c r="D889" i="5"/>
  <c r="D896" i="5"/>
  <c r="D897" i="5"/>
  <c r="D898" i="5"/>
  <c r="D899" i="5"/>
  <c r="D903" i="5"/>
  <c r="D904" i="5"/>
  <c r="D905" i="5"/>
  <c r="D909" i="5"/>
  <c r="D910" i="5"/>
  <c r="D911" i="5"/>
  <c r="D912" i="5"/>
  <c r="D915" i="5"/>
  <c r="D916" i="5"/>
  <c r="D917" i="5"/>
  <c r="D918"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E11" i="5"/>
  <c r="E12" i="5"/>
  <c r="E14" i="5"/>
  <c r="E21" i="5"/>
  <c r="E22" i="5"/>
  <c r="E27" i="5"/>
  <c r="E28" i="5"/>
  <c r="E29" i="5"/>
  <c r="E30" i="5"/>
  <c r="E31" i="5"/>
  <c r="E32" i="5"/>
  <c r="E33" i="5"/>
  <c r="E34" i="5"/>
  <c r="E35" i="5"/>
  <c r="E36" i="5"/>
  <c r="E38" i="5"/>
  <c r="E39" i="5"/>
  <c r="E40" i="5"/>
  <c r="E41" i="5"/>
  <c r="E42" i="5"/>
  <c r="E43" i="5"/>
  <c r="E48" i="5"/>
  <c r="E49" i="5"/>
  <c r="E50" i="5"/>
  <c r="E51" i="5"/>
  <c r="E52" i="5"/>
  <c r="E53" i="5"/>
  <c r="E58" i="5"/>
  <c r="E59" i="5"/>
  <c r="E60" i="5"/>
  <c r="E61" i="5"/>
  <c r="E62" i="5"/>
  <c r="E63" i="5"/>
  <c r="E68" i="5"/>
  <c r="E69" i="5"/>
  <c r="E70" i="5"/>
  <c r="E71" i="5"/>
  <c r="E72" i="5"/>
  <c r="E73" i="5"/>
  <c r="E81" i="5"/>
  <c r="E82" i="5"/>
  <c r="E83" i="5"/>
  <c r="E84" i="5"/>
  <c r="E85" i="5"/>
  <c r="E86" i="5"/>
  <c r="E87" i="5"/>
  <c r="E90" i="5"/>
  <c r="E91" i="5"/>
  <c r="E92" i="5"/>
  <c r="E93" i="5"/>
  <c r="E94" i="5"/>
  <c r="E95" i="5"/>
  <c r="E96" i="5"/>
  <c r="E97" i="5"/>
  <c r="E99" i="5"/>
  <c r="E100" i="5"/>
  <c r="E102" i="5"/>
  <c r="E104" i="5"/>
  <c r="E108" i="5"/>
  <c r="E109" i="5"/>
  <c r="E110" i="5"/>
  <c r="E111" i="5"/>
  <c r="E112" i="5"/>
  <c r="E113" i="5"/>
  <c r="E119" i="5"/>
  <c r="E122" i="5"/>
  <c r="E123" i="5"/>
  <c r="E124" i="5"/>
  <c r="E125" i="5"/>
  <c r="E126" i="5"/>
  <c r="E127" i="5"/>
  <c r="E130" i="5"/>
  <c r="E134" i="5"/>
  <c r="E135" i="5"/>
  <c r="E136" i="5"/>
  <c r="E137" i="5"/>
  <c r="E138" i="5"/>
  <c r="E139" i="5"/>
  <c r="E140" i="5"/>
  <c r="E141" i="5"/>
  <c r="E142" i="5"/>
  <c r="E143" i="5"/>
  <c r="E144" i="5"/>
  <c r="E148" i="5"/>
  <c r="E149" i="5"/>
  <c r="E150" i="5"/>
  <c r="E151" i="5"/>
  <c r="E152" i="5"/>
  <c r="E157" i="5"/>
  <c r="E158" i="5"/>
  <c r="E159" i="5"/>
  <c r="E160" i="5"/>
  <c r="E165" i="5"/>
  <c r="E170" i="5"/>
  <c r="E171" i="5"/>
  <c r="E172" i="5"/>
  <c r="E173" i="5"/>
  <c r="E175" i="5"/>
  <c r="E176" i="5"/>
  <c r="E177" i="5"/>
  <c r="E178" i="5"/>
  <c r="E185" i="5"/>
  <c r="E187" i="5"/>
  <c r="E188" i="5"/>
  <c r="E195" i="5"/>
  <c r="E196" i="5"/>
  <c r="E197" i="5"/>
  <c r="E198" i="5"/>
  <c r="E199" i="5"/>
  <c r="E206" i="5"/>
  <c r="E207" i="5"/>
  <c r="E208" i="5"/>
  <c r="E209" i="5"/>
  <c r="E210" i="5"/>
  <c r="E211" i="5"/>
  <c r="E212" i="5"/>
  <c r="E213" i="5"/>
  <c r="E228" i="5"/>
  <c r="E229" i="5"/>
  <c r="E230" i="5"/>
  <c r="E231" i="5"/>
  <c r="E232" i="5"/>
  <c r="E233" i="5"/>
  <c r="E234" i="5"/>
  <c r="E235" i="5"/>
  <c r="E236" i="5"/>
  <c r="E237" i="5"/>
  <c r="E238" i="5"/>
  <c r="E239" i="5"/>
  <c r="E240" i="5"/>
  <c r="E245" i="5"/>
  <c r="E248" i="5"/>
  <c r="E249" i="5"/>
  <c r="E253" i="5"/>
  <c r="E254" i="5"/>
  <c r="E255" i="5"/>
  <c r="E256" i="5"/>
  <c r="E264" i="5"/>
  <c r="E268" i="5"/>
  <c r="E272" i="5"/>
  <c r="E273" i="5"/>
  <c r="E279" i="5"/>
  <c r="E280" i="5"/>
  <c r="E285" i="5"/>
  <c r="E289" i="5"/>
  <c r="E290" i="5"/>
  <c r="E291" i="5"/>
  <c r="E300" i="5"/>
  <c r="E304" i="5"/>
  <c r="E305" i="5"/>
  <c r="E306" i="5"/>
  <c r="E310" i="5"/>
  <c r="E312" i="5"/>
  <c r="E313" i="5"/>
  <c r="E314" i="5"/>
  <c r="E318" i="5"/>
  <c r="E320" i="5"/>
  <c r="E321" i="5"/>
  <c r="E324" i="5"/>
  <c r="E325" i="5"/>
  <c r="E326" i="5"/>
  <c r="E330" i="5"/>
  <c r="E332" i="5"/>
  <c r="E334" i="5"/>
  <c r="E335" i="5"/>
  <c r="E342" i="5"/>
  <c r="E343" i="5"/>
  <c r="E346" i="5"/>
  <c r="E351" i="5"/>
  <c r="E356" i="5"/>
  <c r="E357" i="5"/>
  <c r="E358" i="5"/>
  <c r="E359" i="5"/>
  <c r="E361" i="5"/>
  <c r="E362" i="5"/>
  <c r="E363" i="5"/>
  <c r="E364" i="5"/>
  <c r="E366" i="5"/>
  <c r="E369" i="5"/>
  <c r="E376" i="5"/>
  <c r="E378" i="5"/>
  <c r="E380" i="5"/>
  <c r="E381" i="5"/>
  <c r="E388" i="5"/>
  <c r="E389" i="5"/>
  <c r="E390" i="5"/>
  <c r="E395" i="5"/>
  <c r="E397" i="5"/>
  <c r="E398" i="5"/>
  <c r="E403" i="5"/>
  <c r="E404" i="5"/>
  <c r="E405" i="5"/>
  <c r="E409" i="5"/>
  <c r="E414" i="5"/>
  <c r="E415"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6" i="5"/>
  <c r="E447" i="5"/>
  <c r="E450" i="5"/>
  <c r="E451" i="5"/>
  <c r="E452" i="5"/>
  <c r="E453" i="5"/>
  <c r="E454" i="5"/>
  <c r="E455" i="5"/>
  <c r="E456" i="5"/>
  <c r="E457" i="5"/>
  <c r="E462" i="5"/>
  <c r="E463" i="5"/>
  <c r="E464" i="5"/>
  <c r="E467" i="5"/>
  <c r="E468" i="5"/>
  <c r="E469" i="5"/>
  <c r="E470" i="5"/>
  <c r="E471" i="5"/>
  <c r="E472" i="5"/>
  <c r="E475" i="5"/>
  <c r="E476" i="5"/>
  <c r="E478" i="5"/>
  <c r="E479" i="5"/>
  <c r="E480" i="5"/>
  <c r="E481" i="5"/>
  <c r="E483" i="5"/>
  <c r="E485" i="5"/>
  <c r="E486" i="5"/>
  <c r="E487" i="5"/>
  <c r="E490" i="5"/>
  <c r="E491" i="5"/>
  <c r="E492" i="5"/>
  <c r="E493" i="5"/>
  <c r="E494" i="5"/>
  <c r="E495" i="5"/>
  <c r="E496" i="5"/>
  <c r="E497" i="5"/>
  <c r="E498" i="5"/>
  <c r="E499" i="5"/>
  <c r="E503" i="5"/>
  <c r="E504" i="5"/>
  <c r="E505" i="5"/>
  <c r="E506" i="5"/>
  <c r="E507" i="5"/>
  <c r="E508" i="5"/>
  <c r="E511" i="5"/>
  <c r="E512" i="5"/>
  <c r="E513" i="5"/>
  <c r="E514" i="5"/>
  <c r="E517" i="5"/>
  <c r="E518" i="5"/>
  <c r="E519" i="5"/>
  <c r="E520" i="5"/>
  <c r="E521" i="5"/>
  <c r="E522" i="5"/>
  <c r="E523" i="5"/>
  <c r="E524" i="5"/>
  <c r="E525" i="5"/>
  <c r="E526" i="5"/>
  <c r="E527" i="5"/>
  <c r="E528" i="5"/>
  <c r="E529" i="5"/>
  <c r="E532" i="5"/>
  <c r="E533" i="5"/>
  <c r="E534" i="5"/>
  <c r="E537" i="5"/>
  <c r="E538" i="5"/>
  <c r="E539" i="5"/>
  <c r="E540" i="5"/>
  <c r="E541" i="5"/>
  <c r="E542" i="5"/>
  <c r="E545" i="5"/>
  <c r="E546" i="5"/>
  <c r="E547" i="5"/>
  <c r="E549" i="5"/>
  <c r="E550" i="5"/>
  <c r="E551" i="5"/>
  <c r="E552" i="5"/>
  <c r="E553" i="5"/>
  <c r="E556" i="5"/>
  <c r="E557" i="5"/>
  <c r="E558" i="5"/>
  <c r="E561" i="5"/>
  <c r="E562" i="5"/>
  <c r="E563" i="5"/>
  <c r="E564" i="5"/>
  <c r="E565" i="5"/>
  <c r="E566" i="5"/>
  <c r="E567" i="5"/>
  <c r="E570" i="5"/>
  <c r="E571" i="5"/>
  <c r="E574" i="5"/>
  <c r="E575" i="5"/>
  <c r="E576" i="5"/>
  <c r="E579" i="5"/>
  <c r="E580" i="5"/>
  <c r="E581" i="5"/>
  <c r="E582" i="5"/>
  <c r="E583" i="5"/>
  <c r="E584" i="5"/>
  <c r="E585" i="5"/>
  <c r="E586" i="5"/>
  <c r="E587" i="5"/>
  <c r="E590" i="5"/>
  <c r="E591" i="5"/>
  <c r="E592" i="5"/>
  <c r="E593" i="5"/>
  <c r="E596" i="5"/>
  <c r="E597" i="5"/>
  <c r="E598" i="5"/>
  <c r="E599" i="5"/>
  <c r="E600" i="5"/>
  <c r="E601" i="5"/>
  <c r="E602" i="5"/>
  <c r="E605" i="5"/>
  <c r="E606" i="5"/>
  <c r="E607" i="5"/>
  <c r="E608" i="5"/>
  <c r="E609" i="5"/>
  <c r="E610" i="5"/>
  <c r="E611" i="5"/>
  <c r="E612" i="5"/>
  <c r="E615" i="5"/>
  <c r="E616" i="5"/>
  <c r="E617" i="5"/>
  <c r="E618" i="5"/>
  <c r="E619" i="5"/>
  <c r="E620" i="5"/>
  <c r="E623" i="5"/>
  <c r="E624" i="5"/>
  <c r="E625" i="5"/>
  <c r="E628" i="5"/>
  <c r="E629" i="5"/>
  <c r="E630" i="5"/>
  <c r="E631" i="5"/>
  <c r="E634" i="5"/>
  <c r="E635" i="5"/>
  <c r="E636" i="5"/>
  <c r="E639" i="5"/>
  <c r="E640" i="5"/>
  <c r="E641" i="5"/>
  <c r="E644" i="5"/>
  <c r="E645" i="5"/>
  <c r="E646" i="5"/>
  <c r="E647" i="5"/>
  <c r="E648" i="5"/>
  <c r="E652" i="5"/>
  <c r="E653" i="5"/>
  <c r="E654" i="5"/>
  <c r="E657" i="5"/>
  <c r="E658" i="5"/>
  <c r="E659" i="5"/>
  <c r="E660" i="5"/>
  <c r="E662" i="5"/>
  <c r="E663" i="5"/>
  <c r="E667" i="5"/>
  <c r="E668" i="5"/>
  <c r="E669" i="5"/>
  <c r="E672" i="5"/>
  <c r="E673" i="5"/>
  <c r="E674" i="5"/>
  <c r="E677" i="5"/>
  <c r="E678" i="5"/>
  <c r="E679" i="5"/>
  <c r="E680" i="5"/>
  <c r="E681" i="5"/>
  <c r="E682" i="5"/>
  <c r="E685" i="5"/>
  <c r="E686" i="5"/>
  <c r="E687" i="5"/>
  <c r="E690" i="5"/>
  <c r="E691" i="5"/>
  <c r="E694" i="5"/>
  <c r="E695" i="5"/>
  <c r="E696" i="5"/>
  <c r="E697" i="5"/>
  <c r="E698" i="5"/>
  <c r="E699" i="5"/>
  <c r="E702" i="5"/>
  <c r="E703" i="5"/>
  <c r="E704" i="5"/>
  <c r="E705" i="5"/>
  <c r="E706" i="5"/>
  <c r="E707" i="5"/>
  <c r="E708" i="5"/>
  <c r="E711" i="5"/>
  <c r="E712" i="5"/>
  <c r="E714" i="5"/>
  <c r="E715" i="5"/>
  <c r="E716" i="5"/>
  <c r="E717" i="5"/>
  <c r="E720" i="5"/>
  <c r="E721" i="5"/>
  <c r="E722" i="5"/>
  <c r="E723" i="5"/>
  <c r="E724" i="5"/>
  <c r="E725" i="5"/>
  <c r="E728" i="5"/>
  <c r="E729" i="5"/>
  <c r="E730" i="5"/>
  <c r="E731" i="5"/>
  <c r="E734" i="5"/>
  <c r="E735" i="5"/>
  <c r="E738" i="5"/>
  <c r="E739" i="5"/>
  <c r="E740" i="5"/>
  <c r="E741" i="5"/>
  <c r="E742" i="5"/>
  <c r="E743" i="5"/>
  <c r="E744" i="5"/>
  <c r="E745" i="5"/>
  <c r="E746" i="5"/>
  <c r="E748" i="5"/>
  <c r="E749" i="5"/>
  <c r="E752" i="5"/>
  <c r="E755" i="5"/>
  <c r="E758" i="5"/>
  <c r="E759" i="5"/>
  <c r="E760" i="5"/>
  <c r="E763" i="5"/>
  <c r="E764" i="5"/>
  <c r="E765" i="5"/>
  <c r="E766" i="5"/>
  <c r="E767" i="5"/>
  <c r="E768" i="5"/>
  <c r="E769" i="5"/>
  <c r="E770" i="5"/>
  <c r="E771" i="5"/>
  <c r="E772" i="5"/>
  <c r="E773" i="5"/>
  <c r="E774" i="5"/>
  <c r="E775" i="5"/>
  <c r="E776" i="5"/>
  <c r="E778" i="5"/>
  <c r="E779" i="5"/>
  <c r="E780" i="5"/>
  <c r="E781" i="5"/>
  <c r="E782" i="5"/>
  <c r="E786" i="5"/>
  <c r="E787" i="5"/>
  <c r="E788" i="5"/>
  <c r="E789" i="5"/>
  <c r="E790" i="5"/>
  <c r="E794" i="5"/>
  <c r="E795" i="5"/>
  <c r="E796" i="5"/>
  <c r="E797" i="5"/>
  <c r="E798" i="5"/>
  <c r="E799" i="5"/>
  <c r="E800" i="5"/>
  <c r="E801" i="5"/>
  <c r="E802" i="5"/>
  <c r="E806" i="5"/>
  <c r="E807" i="5"/>
  <c r="E808" i="5"/>
  <c r="E809" i="5"/>
  <c r="E811" i="5"/>
  <c r="E812" i="5"/>
  <c r="E813" i="5"/>
  <c r="E814" i="5"/>
  <c r="E817" i="5"/>
  <c r="E818" i="5"/>
  <c r="E819" i="5"/>
  <c r="E820" i="5"/>
  <c r="E821" i="5"/>
  <c r="E822" i="5"/>
  <c r="E823" i="5"/>
  <c r="E824" i="5"/>
  <c r="E825" i="5"/>
  <c r="E826" i="5"/>
  <c r="E829" i="5"/>
  <c r="E830" i="5"/>
  <c r="E831" i="5"/>
  <c r="E832" i="5"/>
  <c r="E833" i="5"/>
  <c r="E834" i="5"/>
  <c r="E837" i="5"/>
  <c r="E838" i="5"/>
  <c r="E839" i="5"/>
  <c r="E840" i="5"/>
  <c r="E841" i="5"/>
  <c r="E842" i="5"/>
  <c r="E843" i="5"/>
  <c r="E846" i="5"/>
  <c r="E847" i="5"/>
  <c r="E848" i="5"/>
  <c r="E849" i="5"/>
  <c r="E852" i="5"/>
  <c r="E853" i="5"/>
  <c r="E854" i="5"/>
  <c r="E855" i="5"/>
  <c r="E856" i="5"/>
  <c r="E857" i="5"/>
  <c r="E858" i="5"/>
  <c r="E861" i="5"/>
  <c r="E862" i="5"/>
  <c r="E863" i="5"/>
  <c r="E864" i="5"/>
  <c r="E865" i="5"/>
  <c r="E866" i="5"/>
  <c r="E867" i="5"/>
  <c r="E868" i="5"/>
  <c r="E869" i="5"/>
  <c r="E870" i="5"/>
  <c r="E871" i="5"/>
  <c r="E872" i="5"/>
  <c r="E877" i="5"/>
  <c r="E883" i="5"/>
  <c r="E884" i="5"/>
  <c r="E885" i="5"/>
  <c r="E886" i="5"/>
  <c r="E890" i="5"/>
  <c r="E891" i="5"/>
  <c r="E892" i="5"/>
  <c r="E893" i="5"/>
  <c r="E894" i="5"/>
  <c r="E895" i="5"/>
  <c r="E900" i="5"/>
  <c r="E901" i="5"/>
  <c r="E902" i="5"/>
  <c r="E906" i="5"/>
  <c r="E907" i="5"/>
  <c r="E908" i="5"/>
  <c r="E913" i="5"/>
  <c r="E914"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H1504" i="5"/>
  <c r="H1503" i="5"/>
  <c r="H1502" i="5"/>
  <c r="H1501" i="5"/>
  <c r="H1500" i="5"/>
  <c r="H1499" i="5"/>
  <c r="H1498" i="5"/>
  <c r="H1497" i="5"/>
  <c r="H1496" i="5"/>
  <c r="H1495" i="5"/>
  <c r="H1494" i="5"/>
  <c r="H1493" i="5"/>
  <c r="H1492" i="5"/>
  <c r="H1491" i="5"/>
  <c r="H1490" i="5"/>
  <c r="H1489" i="5"/>
  <c r="H1488" i="5"/>
  <c r="H1487" i="5"/>
  <c r="H1486" i="5"/>
  <c r="H1485" i="5"/>
  <c r="H1484" i="5"/>
  <c r="H1483" i="5"/>
  <c r="H1482" i="5"/>
  <c r="H1481" i="5"/>
  <c r="H1480" i="5"/>
  <c r="H1479" i="5"/>
  <c r="H1478" i="5"/>
  <c r="H1477" i="5"/>
  <c r="H1476" i="5"/>
  <c r="H1475" i="5"/>
  <c r="H1474" i="5"/>
  <c r="H1473" i="5"/>
  <c r="H1472" i="5"/>
  <c r="H1471" i="5"/>
  <c r="H1470" i="5"/>
  <c r="H1469" i="5"/>
  <c r="H1468" i="5"/>
  <c r="H1467" i="5"/>
  <c r="H1466" i="5"/>
  <c r="H1465" i="5"/>
  <c r="H1464" i="5"/>
  <c r="H1463" i="5"/>
  <c r="H1462" i="5"/>
  <c r="H1461" i="5"/>
  <c r="H1460" i="5"/>
  <c r="H1459" i="5"/>
  <c r="H1458" i="5"/>
  <c r="H1457" i="5"/>
  <c r="H1456" i="5"/>
  <c r="H1455" i="5"/>
  <c r="H1454" i="5"/>
  <c r="H1453" i="5"/>
  <c r="H1452" i="5"/>
  <c r="H1451" i="5"/>
  <c r="H1450" i="5"/>
  <c r="H1449" i="5"/>
  <c r="H1448" i="5"/>
  <c r="H1447" i="5"/>
  <c r="H1446" i="5"/>
  <c r="H1445" i="5"/>
  <c r="H1444" i="5"/>
  <c r="H1443" i="5"/>
  <c r="H1442" i="5"/>
  <c r="H1441" i="5"/>
  <c r="H1440" i="5"/>
  <c r="H1439" i="5"/>
  <c r="H1438" i="5"/>
  <c r="H1437" i="5"/>
  <c r="H1436" i="5"/>
  <c r="H1435" i="5"/>
  <c r="H1434" i="5"/>
  <c r="H1433" i="5"/>
  <c r="H1432" i="5"/>
  <c r="H1431" i="5"/>
  <c r="H1430" i="5"/>
  <c r="H1429" i="5"/>
  <c r="H1428" i="5"/>
  <c r="H1427" i="5"/>
  <c r="H1426" i="5"/>
  <c r="H1425" i="5"/>
  <c r="H1424" i="5"/>
  <c r="H1423" i="5"/>
  <c r="H1422" i="5"/>
  <c r="H1421" i="5"/>
  <c r="H1420" i="5"/>
  <c r="H1419" i="5"/>
  <c r="H1418" i="5"/>
  <c r="H1417" i="5"/>
  <c r="H1416" i="5"/>
  <c r="H1415" i="5"/>
  <c r="H1414" i="5"/>
  <c r="H1413" i="5"/>
  <c r="H1412" i="5"/>
  <c r="H1411" i="5"/>
  <c r="H1410" i="5"/>
  <c r="H1409" i="5"/>
  <c r="H1408" i="5"/>
  <c r="H1407" i="5"/>
  <c r="H1406" i="5"/>
  <c r="H1405" i="5"/>
  <c r="H1404" i="5"/>
  <c r="H1403" i="5"/>
  <c r="H1402" i="5"/>
  <c r="H1401" i="5"/>
  <c r="H1400" i="5"/>
  <c r="H1399" i="5"/>
  <c r="H1398" i="5"/>
  <c r="H1397" i="5"/>
  <c r="H1396" i="5"/>
  <c r="H1395" i="5"/>
  <c r="H1394" i="5"/>
  <c r="H1393" i="5"/>
  <c r="H1392" i="5"/>
  <c r="H1391" i="5"/>
  <c r="H1390" i="5"/>
  <c r="H1389" i="5"/>
  <c r="H1388" i="5"/>
  <c r="H1387" i="5"/>
  <c r="H1386" i="5"/>
  <c r="H1385" i="5"/>
  <c r="H1384" i="5"/>
  <c r="H1383" i="5"/>
  <c r="H1382" i="5"/>
  <c r="H1381" i="5"/>
  <c r="H1380" i="5"/>
  <c r="H1379" i="5"/>
  <c r="H1378" i="5"/>
  <c r="H1377" i="5"/>
  <c r="H1376" i="5"/>
  <c r="H1375" i="5"/>
  <c r="H1374" i="5"/>
  <c r="H1373" i="5"/>
  <c r="H1372" i="5"/>
  <c r="H1371" i="5"/>
  <c r="H1370" i="5"/>
  <c r="H1369" i="5"/>
  <c r="H1368" i="5"/>
  <c r="H1367" i="5"/>
  <c r="H1366" i="5"/>
  <c r="H1365" i="5"/>
  <c r="H1364" i="5"/>
  <c r="H1363" i="5"/>
  <c r="H1362" i="5"/>
  <c r="H1361" i="5"/>
  <c r="H1360" i="5"/>
  <c r="H1359" i="5"/>
  <c r="H1358" i="5"/>
  <c r="H1357" i="5"/>
  <c r="H1356" i="5"/>
  <c r="H1355" i="5"/>
  <c r="H1354" i="5"/>
  <c r="H1353" i="5"/>
  <c r="H1352" i="5"/>
  <c r="H1351" i="5"/>
  <c r="H1350" i="5"/>
  <c r="H1349" i="5"/>
  <c r="H1348" i="5"/>
  <c r="H1347" i="5"/>
  <c r="H1346" i="5"/>
  <c r="H1345" i="5"/>
  <c r="H1344" i="5"/>
  <c r="H1343" i="5"/>
  <c r="H1342" i="5"/>
  <c r="H1341" i="5"/>
  <c r="H1340" i="5"/>
  <c r="H1339" i="5"/>
  <c r="H1338" i="5"/>
  <c r="H1337" i="5"/>
  <c r="H1336" i="5"/>
  <c r="H1335" i="5"/>
  <c r="H1334" i="5"/>
  <c r="H1333" i="5"/>
  <c r="H1332" i="5"/>
  <c r="H1331" i="5"/>
  <c r="H1330" i="5"/>
  <c r="H1329" i="5"/>
  <c r="H1328" i="5"/>
  <c r="H1327" i="5"/>
  <c r="H1326" i="5"/>
  <c r="H1325" i="5"/>
  <c r="H1324" i="5"/>
  <c r="H1323" i="5"/>
  <c r="H1322" i="5"/>
  <c r="H1321" i="5"/>
  <c r="H1320" i="5"/>
  <c r="H1319" i="5"/>
  <c r="H1318" i="5"/>
  <c r="H1317" i="5"/>
  <c r="H1316" i="5"/>
  <c r="H1315" i="5"/>
  <c r="H1314" i="5"/>
  <c r="H1313" i="5"/>
  <c r="H1312" i="5"/>
  <c r="H1311" i="5"/>
  <c r="H1310" i="5"/>
  <c r="H1309" i="5"/>
  <c r="H1308" i="5"/>
  <c r="H1307" i="5"/>
  <c r="H1306" i="5"/>
  <c r="H1305" i="5"/>
  <c r="H1304" i="5"/>
  <c r="H1303" i="5"/>
  <c r="H1302" i="5"/>
  <c r="H1301" i="5"/>
  <c r="H1300" i="5"/>
  <c r="H1299" i="5"/>
  <c r="H1298" i="5"/>
  <c r="H1297" i="5"/>
  <c r="H1296" i="5"/>
  <c r="H1295" i="5"/>
  <c r="H1294" i="5"/>
  <c r="H1293" i="5"/>
  <c r="H1292" i="5"/>
  <c r="H1291" i="5"/>
  <c r="H1290" i="5"/>
  <c r="H1289" i="5"/>
  <c r="H1288" i="5"/>
  <c r="H1287" i="5"/>
  <c r="H1286" i="5"/>
  <c r="H1285" i="5"/>
  <c r="H1284" i="5"/>
  <c r="H1283" i="5"/>
  <c r="H1282" i="5"/>
  <c r="H1281" i="5"/>
  <c r="H1280" i="5"/>
  <c r="H1279" i="5"/>
  <c r="H1278" i="5"/>
  <c r="H1277" i="5"/>
  <c r="H1276" i="5"/>
  <c r="H1275" i="5"/>
  <c r="H1274" i="5"/>
  <c r="H1273" i="5"/>
  <c r="H1272" i="5"/>
  <c r="H1271" i="5"/>
  <c r="H1270" i="5"/>
  <c r="H1269" i="5"/>
  <c r="H1268" i="5"/>
  <c r="H1267" i="5"/>
  <c r="H1266" i="5"/>
  <c r="H1265" i="5"/>
  <c r="H1264" i="5"/>
  <c r="H1263" i="5"/>
  <c r="H1262" i="5"/>
  <c r="H1261" i="5"/>
  <c r="H1260" i="5"/>
  <c r="H1259" i="5"/>
  <c r="H1258" i="5"/>
  <c r="H1257" i="5"/>
  <c r="H1256" i="5"/>
  <c r="H1255" i="5"/>
  <c r="H1254" i="5"/>
  <c r="H1253" i="5"/>
  <c r="H1252" i="5"/>
  <c r="H1251" i="5"/>
  <c r="H1250" i="5"/>
  <c r="H1249" i="5"/>
  <c r="H1248" i="5"/>
  <c r="H1247" i="5"/>
  <c r="H1246" i="5"/>
  <c r="H1245" i="5"/>
  <c r="H1244" i="5"/>
  <c r="H1243" i="5"/>
  <c r="H1242" i="5"/>
  <c r="H1241" i="5"/>
  <c r="H1240" i="5"/>
  <c r="H1239" i="5"/>
  <c r="H1238" i="5"/>
  <c r="H1237" i="5"/>
  <c r="H1236" i="5"/>
  <c r="H1235" i="5"/>
  <c r="H1234" i="5"/>
  <c r="H1233" i="5"/>
  <c r="H1232" i="5"/>
  <c r="H1231" i="5"/>
  <c r="H1230" i="5"/>
  <c r="H1229" i="5"/>
  <c r="H1228" i="5"/>
  <c r="H1227" i="5"/>
  <c r="H1226" i="5"/>
  <c r="H1225" i="5"/>
  <c r="H1224" i="5"/>
  <c r="H1223" i="5"/>
  <c r="H1222" i="5"/>
  <c r="H1221" i="5"/>
  <c r="H1220" i="5"/>
  <c r="H1219" i="5"/>
  <c r="H1218" i="5"/>
  <c r="H1217" i="5"/>
  <c r="H1216" i="5"/>
  <c r="H1215" i="5"/>
  <c r="H1214" i="5"/>
  <c r="H1213" i="5"/>
  <c r="H1212" i="5"/>
  <c r="H1211" i="5"/>
  <c r="H1210" i="5"/>
  <c r="H1209" i="5"/>
  <c r="H1208" i="5"/>
  <c r="H1207" i="5"/>
  <c r="H1206" i="5"/>
  <c r="H1205" i="5"/>
  <c r="H1204" i="5"/>
  <c r="H1203" i="5"/>
  <c r="H1202" i="5"/>
  <c r="H1201" i="5"/>
  <c r="H1200" i="5"/>
  <c r="H1199" i="5"/>
  <c r="H1198" i="5"/>
  <c r="H1197" i="5"/>
  <c r="H1196" i="5"/>
  <c r="H1195" i="5"/>
  <c r="H1194" i="5"/>
  <c r="H1193" i="5"/>
  <c r="H1192" i="5"/>
  <c r="H1191" i="5"/>
  <c r="H1190" i="5"/>
  <c r="H1189" i="5"/>
  <c r="H1188" i="5"/>
  <c r="H1187" i="5"/>
  <c r="H1186" i="5"/>
  <c r="H1185" i="5"/>
  <c r="H1184" i="5"/>
  <c r="H1183" i="5"/>
  <c r="H1182" i="5"/>
  <c r="H1181" i="5"/>
  <c r="H1180" i="5"/>
  <c r="H1179" i="5"/>
  <c r="H1178" i="5"/>
  <c r="H1177" i="5"/>
  <c r="H1176" i="5"/>
  <c r="H1175" i="5"/>
  <c r="H1174" i="5"/>
  <c r="H1173" i="5"/>
  <c r="H1172" i="5"/>
  <c r="H1171" i="5"/>
  <c r="H1170" i="5"/>
  <c r="H1169" i="5"/>
  <c r="H1168" i="5"/>
  <c r="H1167" i="5"/>
  <c r="H1166" i="5"/>
  <c r="H1165" i="5"/>
  <c r="H1164" i="5"/>
  <c r="H1163" i="5"/>
  <c r="H1162" i="5"/>
  <c r="H1161" i="5"/>
  <c r="H1160" i="5"/>
  <c r="H1159" i="5"/>
  <c r="H1158" i="5"/>
  <c r="H1157" i="5"/>
  <c r="H1156" i="5"/>
  <c r="H1155" i="5"/>
  <c r="H1154" i="5"/>
  <c r="H1153" i="5"/>
  <c r="H1152" i="5"/>
  <c r="H1151" i="5"/>
  <c r="H1150" i="5"/>
  <c r="H1149" i="5"/>
  <c r="H1148" i="5"/>
  <c r="H1147" i="5"/>
  <c r="H1146" i="5"/>
  <c r="H1145" i="5"/>
  <c r="H1144" i="5"/>
  <c r="H1143" i="5"/>
  <c r="H1142" i="5"/>
  <c r="H1141" i="5"/>
  <c r="H1140" i="5"/>
  <c r="H1139" i="5"/>
  <c r="H1138" i="5"/>
  <c r="H1137" i="5"/>
  <c r="H1136" i="5"/>
  <c r="H1135" i="5"/>
  <c r="H1134" i="5"/>
  <c r="H1133" i="5"/>
  <c r="H1132" i="5"/>
  <c r="H1131" i="5"/>
  <c r="H1130" i="5"/>
  <c r="H1129" i="5"/>
  <c r="H1128" i="5"/>
  <c r="H1127" i="5"/>
  <c r="H1126" i="5"/>
  <c r="H1125" i="5"/>
  <c r="H1124" i="5"/>
  <c r="H1123" i="5"/>
  <c r="H1122" i="5"/>
  <c r="H1121" i="5"/>
  <c r="H1120" i="5"/>
  <c r="H1119" i="5"/>
  <c r="H1118" i="5"/>
  <c r="H1117" i="5"/>
  <c r="H1116" i="5"/>
  <c r="H1115" i="5"/>
  <c r="H1114" i="5"/>
  <c r="H1113" i="5"/>
  <c r="H1112" i="5"/>
  <c r="H1111" i="5"/>
  <c r="H1110" i="5"/>
  <c r="H1109" i="5"/>
  <c r="H1108" i="5"/>
  <c r="H1107" i="5"/>
  <c r="H1106" i="5"/>
  <c r="H1105" i="5"/>
  <c r="H1104" i="5"/>
  <c r="H1103" i="5"/>
  <c r="H1102" i="5"/>
  <c r="H1101" i="5"/>
  <c r="H1100" i="5"/>
  <c r="H1099" i="5"/>
  <c r="H1098" i="5"/>
  <c r="H1097" i="5"/>
  <c r="H1096" i="5"/>
  <c r="H1095" i="5"/>
  <c r="H1094" i="5"/>
  <c r="H1093" i="5"/>
  <c r="H1092" i="5"/>
  <c r="H1091" i="5"/>
  <c r="H1090" i="5"/>
  <c r="H1089" i="5"/>
  <c r="H1088" i="5"/>
  <c r="H1087" i="5"/>
  <c r="H1086" i="5"/>
  <c r="H1085" i="5"/>
  <c r="H1084" i="5"/>
  <c r="H1083" i="5"/>
  <c r="H1082" i="5"/>
  <c r="H1081" i="5"/>
  <c r="H1080" i="5"/>
  <c r="H1079" i="5"/>
  <c r="H1078" i="5"/>
  <c r="H1077" i="5"/>
  <c r="H1076" i="5"/>
  <c r="H1075" i="5"/>
  <c r="H1074" i="5"/>
  <c r="H1073" i="5"/>
  <c r="H1072" i="5"/>
  <c r="H1071" i="5"/>
  <c r="H1070" i="5"/>
  <c r="H1069" i="5"/>
  <c r="H1068" i="5"/>
  <c r="H1067" i="5"/>
  <c r="H1066" i="5"/>
  <c r="H1065" i="5"/>
  <c r="H1064" i="5"/>
  <c r="H1063" i="5"/>
  <c r="H1062" i="5"/>
  <c r="H1061" i="5"/>
  <c r="H1060" i="5"/>
  <c r="H1059" i="5"/>
  <c r="H1058" i="5"/>
  <c r="H1057" i="5"/>
  <c r="H1056" i="5"/>
  <c r="H1055" i="5"/>
  <c r="H1054" i="5"/>
  <c r="H1053" i="5"/>
  <c r="H1052" i="5"/>
  <c r="H1051" i="5"/>
  <c r="H1050" i="5"/>
  <c r="H1049" i="5"/>
  <c r="H1048" i="5"/>
  <c r="H1047" i="5"/>
  <c r="H1046" i="5"/>
  <c r="H1045" i="5"/>
  <c r="H1044" i="5"/>
  <c r="H1043" i="5"/>
  <c r="H1042" i="5"/>
  <c r="H1041" i="5"/>
  <c r="H1040" i="5"/>
  <c r="H1039" i="5"/>
  <c r="H1038" i="5"/>
  <c r="H1037" i="5"/>
  <c r="H1036" i="5"/>
  <c r="H1035" i="5"/>
  <c r="H1034" i="5"/>
  <c r="H1033" i="5"/>
  <c r="H1032" i="5"/>
  <c r="H1031" i="5"/>
  <c r="H1030" i="5"/>
  <c r="H1029" i="5"/>
  <c r="H1028" i="5"/>
  <c r="H1027" i="5"/>
  <c r="H1026" i="5"/>
  <c r="H1025" i="5"/>
  <c r="H1024" i="5"/>
  <c r="H1023" i="5"/>
  <c r="H1022" i="5"/>
  <c r="H1021" i="5"/>
  <c r="H1020" i="5"/>
  <c r="H1019" i="5"/>
  <c r="H1018" i="5"/>
  <c r="H1017" i="5"/>
  <c r="H1016" i="5"/>
  <c r="H1015" i="5"/>
  <c r="H1014" i="5"/>
  <c r="H1013" i="5"/>
  <c r="H1012" i="5"/>
  <c r="H1011" i="5"/>
  <c r="H1010" i="5"/>
  <c r="H1009" i="5"/>
  <c r="H1008" i="5"/>
  <c r="H1007" i="5"/>
  <c r="H1006" i="5"/>
  <c r="H1005" i="5"/>
  <c r="H1004" i="5"/>
  <c r="H1003" i="5"/>
  <c r="H1002" i="5"/>
  <c r="H1001" i="5"/>
  <c r="H1000" i="5"/>
  <c r="H999" i="5"/>
  <c r="H998" i="5"/>
  <c r="H997" i="5"/>
  <c r="H996" i="5"/>
  <c r="H995" i="5"/>
  <c r="H994" i="5"/>
  <c r="H993" i="5"/>
  <c r="H992" i="5"/>
  <c r="H991" i="5"/>
  <c r="H990" i="5"/>
  <c r="H989" i="5"/>
  <c r="H988" i="5"/>
  <c r="H987" i="5"/>
  <c r="H986" i="5"/>
  <c r="H985" i="5"/>
  <c r="H984" i="5"/>
  <c r="H983" i="5"/>
  <c r="H982" i="5"/>
  <c r="H981" i="5"/>
  <c r="H980" i="5"/>
  <c r="H979" i="5"/>
  <c r="H978" i="5"/>
  <c r="H977" i="5"/>
  <c r="H976" i="5"/>
  <c r="H975" i="5"/>
  <c r="H974" i="5"/>
  <c r="H973" i="5"/>
  <c r="H972" i="5"/>
  <c r="H971" i="5"/>
  <c r="H970" i="5"/>
  <c r="H969" i="5"/>
  <c r="H968" i="5"/>
  <c r="H967" i="5"/>
  <c r="H966" i="5"/>
  <c r="H965" i="5"/>
  <c r="H964" i="5"/>
  <c r="H963" i="5"/>
  <c r="H962" i="5"/>
  <c r="H961" i="5"/>
  <c r="H960" i="5"/>
  <c r="H959" i="5"/>
  <c r="H958" i="5"/>
  <c r="H957" i="5"/>
  <c r="H956" i="5"/>
  <c r="H955" i="5"/>
  <c r="H954" i="5"/>
  <c r="H953" i="5"/>
  <c r="H952" i="5"/>
  <c r="H951" i="5"/>
  <c r="H950" i="5"/>
  <c r="H949" i="5"/>
  <c r="H948" i="5"/>
  <c r="H947" i="5"/>
  <c r="H946" i="5"/>
  <c r="H945" i="5"/>
  <c r="H944" i="5"/>
  <c r="H943" i="5"/>
  <c r="H942" i="5"/>
  <c r="H941" i="5"/>
  <c r="H940" i="5"/>
  <c r="H939" i="5"/>
  <c r="H938" i="5"/>
  <c r="H937" i="5"/>
  <c r="H936" i="5"/>
  <c r="H935" i="5"/>
  <c r="H934" i="5"/>
  <c r="H933" i="5"/>
  <c r="H932" i="5"/>
  <c r="H931" i="5"/>
  <c r="H930" i="5"/>
  <c r="H929" i="5"/>
  <c r="H928" i="5"/>
  <c r="H927" i="5"/>
  <c r="H926" i="5"/>
  <c r="H925" i="5"/>
  <c r="H924" i="5"/>
  <c r="H923" i="5"/>
  <c r="H922" i="5"/>
  <c r="H921" i="5"/>
  <c r="H920" i="5"/>
  <c r="H919" i="5"/>
  <c r="H918" i="5"/>
  <c r="H917" i="5"/>
  <c r="H916" i="5"/>
  <c r="H915" i="5"/>
  <c r="H914" i="5"/>
  <c r="H913" i="5"/>
  <c r="H912" i="5"/>
  <c r="H911" i="5"/>
  <c r="H910" i="5"/>
  <c r="H909" i="5"/>
  <c r="H908" i="5"/>
  <c r="H907" i="5"/>
  <c r="H906" i="5"/>
  <c r="H905" i="5"/>
  <c r="H904" i="5"/>
  <c r="H903" i="5"/>
  <c r="H902" i="5"/>
  <c r="H901" i="5"/>
  <c r="H900" i="5"/>
  <c r="H899" i="5"/>
  <c r="H898" i="5"/>
  <c r="H897" i="5"/>
  <c r="H896" i="5"/>
  <c r="H895" i="5"/>
  <c r="H894" i="5"/>
  <c r="H893" i="5"/>
  <c r="H892" i="5"/>
  <c r="H891" i="5"/>
  <c r="H890" i="5"/>
  <c r="H889" i="5"/>
  <c r="H888" i="5"/>
  <c r="H887" i="5"/>
  <c r="H886" i="5"/>
  <c r="H885" i="5"/>
  <c r="H884" i="5"/>
  <c r="H883" i="5"/>
  <c r="H882" i="5"/>
  <c r="H881" i="5"/>
  <c r="H880" i="5"/>
  <c r="H879" i="5"/>
  <c r="H878" i="5"/>
  <c r="H877" i="5"/>
  <c r="H876" i="5"/>
  <c r="H875" i="5"/>
  <c r="H874" i="5"/>
  <c r="H873" i="5"/>
  <c r="H872" i="5"/>
  <c r="H871" i="5"/>
  <c r="H870" i="5"/>
  <c r="H869" i="5"/>
  <c r="H868" i="5"/>
  <c r="H867" i="5"/>
  <c r="H866" i="5"/>
  <c r="H865" i="5"/>
  <c r="H864" i="5"/>
  <c r="H863" i="5"/>
  <c r="H862" i="5"/>
  <c r="H861" i="5"/>
  <c r="H860" i="5"/>
  <c r="H859" i="5"/>
  <c r="H858" i="5"/>
  <c r="H857" i="5"/>
  <c r="H856" i="5"/>
  <c r="H855" i="5"/>
  <c r="H854" i="5"/>
  <c r="H853" i="5"/>
  <c r="H852" i="5"/>
  <c r="H851" i="5"/>
  <c r="H850" i="5"/>
  <c r="H849" i="5"/>
  <c r="H848" i="5"/>
  <c r="H847" i="5"/>
  <c r="H846" i="5"/>
  <c r="H845" i="5"/>
  <c r="H844" i="5"/>
  <c r="H843" i="5"/>
  <c r="H842" i="5"/>
  <c r="H841" i="5"/>
  <c r="H840" i="5"/>
  <c r="H839" i="5"/>
  <c r="H838" i="5"/>
  <c r="H837" i="5"/>
  <c r="H836" i="5"/>
  <c r="H835" i="5"/>
  <c r="H834" i="5"/>
  <c r="H833" i="5"/>
  <c r="H832" i="5"/>
  <c r="H831" i="5"/>
  <c r="H830" i="5"/>
  <c r="H829" i="5"/>
  <c r="H828" i="5"/>
  <c r="H827" i="5"/>
  <c r="H826" i="5"/>
  <c r="H825" i="5"/>
  <c r="H824" i="5"/>
  <c r="H823" i="5"/>
  <c r="H822" i="5"/>
  <c r="H821" i="5"/>
  <c r="H820" i="5"/>
  <c r="H819" i="5"/>
  <c r="H818" i="5"/>
  <c r="H817" i="5"/>
  <c r="H816" i="5"/>
  <c r="H815" i="5"/>
  <c r="H814" i="5"/>
  <c r="H813" i="5"/>
  <c r="H812" i="5"/>
  <c r="H811" i="5"/>
  <c r="H810" i="5"/>
  <c r="H809" i="5"/>
  <c r="H808" i="5"/>
  <c r="H807" i="5"/>
  <c r="H806" i="5"/>
  <c r="H805" i="5"/>
  <c r="H804" i="5"/>
  <c r="H803" i="5"/>
  <c r="H802" i="5"/>
  <c r="H801" i="5"/>
  <c r="H800" i="5"/>
  <c r="H799" i="5"/>
  <c r="H798" i="5"/>
  <c r="H797" i="5"/>
  <c r="H796" i="5"/>
  <c r="H795" i="5"/>
  <c r="H794" i="5"/>
  <c r="H793" i="5"/>
  <c r="H792" i="5"/>
  <c r="H791" i="5"/>
  <c r="H790" i="5"/>
  <c r="H789" i="5"/>
  <c r="H788" i="5"/>
  <c r="H787" i="5"/>
  <c r="H786" i="5"/>
  <c r="H785" i="5"/>
  <c r="H784" i="5"/>
  <c r="H783" i="5"/>
  <c r="H782" i="5"/>
  <c r="H781" i="5"/>
  <c r="H780" i="5"/>
  <c r="H779" i="5"/>
  <c r="H778" i="5"/>
  <c r="H777" i="5"/>
  <c r="H776" i="5"/>
  <c r="H775" i="5"/>
  <c r="H774" i="5"/>
  <c r="H773" i="5"/>
  <c r="H772" i="5"/>
  <c r="H771" i="5"/>
  <c r="H770" i="5"/>
  <c r="H769" i="5"/>
  <c r="H768" i="5"/>
  <c r="H767" i="5"/>
  <c r="H766" i="5"/>
  <c r="H765" i="5"/>
  <c r="H764" i="5"/>
  <c r="H763" i="5"/>
  <c r="H762" i="5"/>
  <c r="H761" i="5"/>
  <c r="H760" i="5"/>
  <c r="H759" i="5"/>
  <c r="H758" i="5"/>
  <c r="H757" i="5"/>
  <c r="H756" i="5"/>
  <c r="H755" i="5"/>
  <c r="H754" i="5"/>
  <c r="H753" i="5"/>
  <c r="H752" i="5"/>
  <c r="H751" i="5"/>
  <c r="H750" i="5"/>
  <c r="H749" i="5"/>
  <c r="H748" i="5"/>
  <c r="H747" i="5"/>
  <c r="H746" i="5"/>
  <c r="H745" i="5"/>
  <c r="H744" i="5"/>
  <c r="H743" i="5"/>
  <c r="H742" i="5"/>
  <c r="H741" i="5"/>
  <c r="H740" i="5"/>
  <c r="H739" i="5"/>
  <c r="H738" i="5"/>
  <c r="H737" i="5"/>
  <c r="H736" i="5"/>
  <c r="H735" i="5"/>
  <c r="H734" i="5"/>
  <c r="H733" i="5"/>
  <c r="H732" i="5"/>
  <c r="H731" i="5"/>
  <c r="H730" i="5"/>
  <c r="H729" i="5"/>
  <c r="H728" i="5"/>
  <c r="H727" i="5"/>
  <c r="H726" i="5"/>
  <c r="H725" i="5"/>
  <c r="H724" i="5"/>
  <c r="H723" i="5"/>
  <c r="H722" i="5"/>
  <c r="H721" i="5"/>
  <c r="H720" i="5"/>
  <c r="H719" i="5"/>
  <c r="H718" i="5"/>
  <c r="H717" i="5"/>
  <c r="H716" i="5"/>
  <c r="H715" i="5"/>
  <c r="H714" i="5"/>
  <c r="H713" i="5"/>
  <c r="H712" i="5"/>
  <c r="H711" i="5"/>
  <c r="H710" i="5"/>
  <c r="J710" i="5" s="1"/>
  <c r="H709" i="5"/>
  <c r="J709" i="5" s="1"/>
  <c r="H708" i="5"/>
  <c r="J708" i="5" s="1"/>
  <c r="H707" i="5"/>
  <c r="J707" i="5" s="1"/>
  <c r="H706" i="5"/>
  <c r="J706" i="5" s="1"/>
  <c r="H705" i="5"/>
  <c r="J705" i="5" s="1"/>
  <c r="H704" i="5"/>
  <c r="J704" i="5" s="1"/>
  <c r="H703" i="5"/>
  <c r="J703" i="5" s="1"/>
  <c r="H702" i="5"/>
  <c r="H701" i="5"/>
  <c r="K701" i="5" s="1"/>
  <c r="H700" i="5"/>
  <c r="J700" i="5" s="1"/>
  <c r="H699" i="5"/>
  <c r="J699" i="5" s="1"/>
  <c r="H698" i="5"/>
  <c r="H697" i="5"/>
  <c r="H696" i="5"/>
  <c r="H695" i="5"/>
  <c r="H694" i="5"/>
  <c r="J694" i="5" s="1"/>
  <c r="H693" i="5"/>
  <c r="K693" i="5" s="1"/>
  <c r="H692" i="5"/>
  <c r="K692" i="5" s="1"/>
  <c r="H691" i="5"/>
  <c r="K691" i="5" s="1"/>
  <c r="H690" i="5"/>
  <c r="H689" i="5"/>
  <c r="J689" i="5" s="1"/>
  <c r="H688" i="5"/>
  <c r="J688" i="5" s="1"/>
  <c r="H687" i="5"/>
  <c r="J687" i="5" s="1"/>
  <c r="H686" i="5"/>
  <c r="J686" i="5" s="1"/>
  <c r="H685" i="5"/>
  <c r="J685" i="5" s="1"/>
  <c r="H684" i="5"/>
  <c r="J684" i="5" s="1"/>
  <c r="H683" i="5"/>
  <c r="J683" i="5" s="1"/>
  <c r="H682" i="5"/>
  <c r="J682" i="5" s="1"/>
  <c r="H681" i="5"/>
  <c r="J681" i="5" s="1"/>
  <c r="H680" i="5"/>
  <c r="J680" i="5" s="1"/>
  <c r="H679" i="5"/>
  <c r="J679" i="5" s="1"/>
  <c r="H678" i="5"/>
  <c r="J678" i="5" s="1"/>
  <c r="H677" i="5"/>
  <c r="K677" i="5" s="1"/>
  <c r="H676" i="5"/>
  <c r="K676" i="5" s="1"/>
  <c r="H675" i="5"/>
  <c r="J675" i="5" s="1"/>
  <c r="H674" i="5"/>
  <c r="J674" i="5" s="1"/>
  <c r="H673" i="5"/>
  <c r="H672" i="5"/>
  <c r="H671" i="5"/>
  <c r="J671" i="5" s="1"/>
  <c r="H670" i="5"/>
  <c r="H669" i="5"/>
  <c r="K669" i="5" s="1"/>
  <c r="H668" i="5"/>
  <c r="J668" i="5" s="1"/>
  <c r="H667" i="5"/>
  <c r="J667" i="5" s="1"/>
  <c r="H666" i="5"/>
  <c r="J666" i="5" s="1"/>
  <c r="H665" i="5"/>
  <c r="J665" i="5" s="1"/>
  <c r="H664" i="5"/>
  <c r="J664" i="5" s="1"/>
  <c r="H663" i="5"/>
  <c r="H662" i="5"/>
  <c r="H661" i="5"/>
  <c r="J661" i="5" s="1"/>
  <c r="H660" i="5"/>
  <c r="J660" i="5" s="1"/>
  <c r="H659" i="5"/>
  <c r="J659" i="5" s="1"/>
  <c r="H658" i="5"/>
  <c r="J658" i="5" s="1"/>
  <c r="H657" i="5"/>
  <c r="J657" i="5" s="1"/>
  <c r="H656" i="5"/>
  <c r="J656" i="5" s="1"/>
  <c r="H655" i="5"/>
  <c r="J655" i="5" s="1"/>
  <c r="H654" i="5"/>
  <c r="H653" i="5"/>
  <c r="K653" i="5" s="1"/>
  <c r="H652" i="5"/>
  <c r="J652" i="5" s="1"/>
  <c r="H651" i="5"/>
  <c r="J651" i="5" s="1"/>
  <c r="H650" i="5"/>
  <c r="J650" i="5" s="1"/>
  <c r="H649" i="5"/>
  <c r="J649" i="5" s="1"/>
  <c r="H648" i="5"/>
  <c r="H647" i="5"/>
  <c r="H646" i="5"/>
  <c r="H645" i="5"/>
  <c r="K645" i="5" s="1"/>
  <c r="H644" i="5"/>
  <c r="J644" i="5" s="1"/>
  <c r="H643" i="5"/>
  <c r="J643" i="5" s="1"/>
  <c r="H642" i="5"/>
  <c r="J642" i="5" s="1"/>
  <c r="H641" i="5"/>
  <c r="J641" i="5" s="1"/>
  <c r="H640" i="5"/>
  <c r="J640" i="5" s="1"/>
  <c r="H639" i="5"/>
  <c r="J639" i="5" s="1"/>
  <c r="H638" i="5"/>
  <c r="J638" i="5" s="1"/>
  <c r="H637" i="5"/>
  <c r="J637" i="5" s="1"/>
  <c r="H636" i="5"/>
  <c r="K636" i="5" s="1"/>
  <c r="H635" i="5"/>
  <c r="K635" i="5" s="1"/>
  <c r="H634" i="5"/>
  <c r="J634" i="5" s="1"/>
  <c r="H633" i="5"/>
  <c r="J633" i="5" s="1"/>
  <c r="H632" i="5"/>
  <c r="J632" i="5" s="1"/>
  <c r="H631" i="5"/>
  <c r="J631" i="5" s="1"/>
  <c r="H630" i="5"/>
  <c r="J630" i="5" s="1"/>
  <c r="H629" i="5"/>
  <c r="K629" i="5" s="1"/>
  <c r="H628" i="5"/>
  <c r="K628" i="5" s="1"/>
  <c r="H627" i="5"/>
  <c r="J627" i="5" s="1"/>
  <c r="H626" i="5"/>
  <c r="J626" i="5" s="1"/>
  <c r="H625" i="5"/>
  <c r="J625" i="5" s="1"/>
  <c r="H624" i="5"/>
  <c r="J624" i="5" s="1"/>
  <c r="H623" i="5"/>
  <c r="J623" i="5" s="1"/>
  <c r="H622" i="5"/>
  <c r="J622" i="5" s="1"/>
  <c r="H621" i="5"/>
  <c r="K621" i="5" s="1"/>
  <c r="H620" i="5"/>
  <c r="K620" i="5" s="1"/>
  <c r="H619" i="5"/>
  <c r="H618" i="5"/>
  <c r="J618" i="5" s="1"/>
  <c r="H617" i="5"/>
  <c r="J617" i="5" s="1"/>
  <c r="H616" i="5"/>
  <c r="H615" i="5"/>
  <c r="H614" i="5"/>
  <c r="H613" i="5"/>
  <c r="K613" i="5" s="1"/>
  <c r="H612" i="5"/>
  <c r="K612" i="5" s="1"/>
  <c r="H611" i="5"/>
  <c r="J611" i="5" s="1"/>
  <c r="H610" i="5"/>
  <c r="H609" i="5"/>
  <c r="H608" i="5"/>
  <c r="J608" i="5" s="1"/>
  <c r="H607" i="5"/>
  <c r="J607" i="5" s="1"/>
  <c r="H606" i="5"/>
  <c r="H605" i="5"/>
  <c r="K605" i="5" s="1"/>
  <c r="H604" i="5"/>
  <c r="K604" i="5" s="1"/>
  <c r="H603" i="5"/>
  <c r="K603" i="5" s="1"/>
  <c r="H602" i="5"/>
  <c r="J602" i="5" s="1"/>
  <c r="H601" i="5"/>
  <c r="J601" i="5" s="1"/>
  <c r="H600" i="5"/>
  <c r="J600" i="5" s="1"/>
  <c r="H599" i="5"/>
  <c r="J599" i="5" s="1"/>
  <c r="H598" i="5"/>
  <c r="J598" i="5" s="1"/>
  <c r="H597" i="5"/>
  <c r="J597" i="5" s="1"/>
  <c r="H596" i="5"/>
  <c r="J596" i="5" s="1"/>
  <c r="H595" i="5"/>
  <c r="K595" i="5" s="1"/>
  <c r="H594" i="5"/>
  <c r="H593" i="5"/>
  <c r="J593" i="5" s="1"/>
  <c r="H592" i="5"/>
  <c r="J592" i="5" s="1"/>
  <c r="H591" i="5"/>
  <c r="J591" i="5" s="1"/>
  <c r="H590" i="5"/>
  <c r="H589" i="5"/>
  <c r="K589" i="5" s="1"/>
  <c r="H588" i="5"/>
  <c r="J588" i="5" s="1"/>
  <c r="H587" i="5"/>
  <c r="J587" i="5" s="1"/>
  <c r="H586" i="5"/>
  <c r="J586" i="5" s="1"/>
  <c r="H585" i="5"/>
  <c r="J585" i="5" s="1"/>
  <c r="H584" i="5"/>
  <c r="H583" i="5"/>
  <c r="H582" i="5"/>
  <c r="J582" i="5" s="1"/>
  <c r="H581" i="5"/>
  <c r="J581" i="5" s="1"/>
  <c r="H580" i="5"/>
  <c r="J580" i="5" s="1"/>
  <c r="H579" i="5"/>
  <c r="J579" i="5" s="1"/>
  <c r="H578" i="5"/>
  <c r="H577" i="5"/>
  <c r="H576" i="5"/>
  <c r="J576" i="5" s="1"/>
  <c r="H575" i="5"/>
  <c r="J575" i="5" s="1"/>
  <c r="H574" i="5"/>
  <c r="J574" i="5" s="1"/>
  <c r="H573" i="5"/>
  <c r="K573" i="5" s="1"/>
  <c r="H572" i="5"/>
  <c r="K572" i="5" s="1"/>
  <c r="H571" i="5"/>
  <c r="J571" i="5" s="1"/>
  <c r="H570" i="5"/>
  <c r="J570" i="5" s="1"/>
  <c r="H569" i="5"/>
  <c r="H568" i="5"/>
  <c r="H567" i="5"/>
  <c r="J567" i="5" s="1"/>
  <c r="H566" i="5"/>
  <c r="J566" i="5" s="1"/>
  <c r="H565" i="5"/>
  <c r="J565" i="5" s="1"/>
  <c r="H564" i="5"/>
  <c r="J564" i="5" s="1"/>
  <c r="H563" i="5"/>
  <c r="K563" i="5" s="1"/>
  <c r="H562" i="5"/>
  <c r="H561" i="5"/>
  <c r="J561" i="5" s="1"/>
  <c r="H560" i="5"/>
  <c r="J560" i="5" s="1"/>
  <c r="H559" i="5"/>
  <c r="H558" i="5"/>
  <c r="J558" i="5" s="1"/>
  <c r="H557" i="5"/>
  <c r="J557" i="5" s="1"/>
  <c r="H556" i="5"/>
  <c r="J556" i="5" s="1"/>
  <c r="H555" i="5"/>
  <c r="J555" i="5" s="1"/>
  <c r="H554" i="5"/>
  <c r="H553" i="5"/>
  <c r="H552" i="5"/>
  <c r="H551" i="5"/>
  <c r="J551" i="5" s="1"/>
  <c r="H550" i="5"/>
  <c r="J550" i="5" s="1"/>
  <c r="H549" i="5"/>
  <c r="J549" i="5" s="1"/>
  <c r="H548" i="5"/>
  <c r="K548" i="5" s="1"/>
  <c r="H547" i="5"/>
  <c r="K547" i="5" s="1"/>
  <c r="H546" i="5"/>
  <c r="H545" i="5"/>
  <c r="H544" i="5"/>
  <c r="J544" i="5" s="1"/>
  <c r="H543" i="5"/>
  <c r="J543" i="5" s="1"/>
  <c r="H542" i="5"/>
  <c r="J542" i="5" s="1"/>
  <c r="H541" i="5"/>
  <c r="J541" i="5" s="1"/>
  <c r="H540" i="5"/>
  <c r="K540" i="5" s="1"/>
  <c r="H539" i="5"/>
  <c r="K539" i="5" s="1"/>
  <c r="H538" i="5"/>
  <c r="J538" i="5" s="1"/>
  <c r="H537" i="5"/>
  <c r="J537" i="5" s="1"/>
  <c r="H536" i="5"/>
  <c r="J536" i="5" s="1"/>
  <c r="H535" i="5"/>
  <c r="J535" i="5" s="1"/>
  <c r="H534" i="5"/>
  <c r="J534" i="5" s="1"/>
  <c r="H533" i="5"/>
  <c r="K533" i="5" s="1"/>
  <c r="H532" i="5"/>
  <c r="K532" i="5" s="1"/>
  <c r="H531" i="5"/>
  <c r="J531" i="5" s="1"/>
  <c r="H530" i="5"/>
  <c r="H529" i="5"/>
  <c r="H528" i="5"/>
  <c r="J528" i="5" s="1"/>
  <c r="H527" i="5"/>
  <c r="J527" i="5" s="1"/>
  <c r="H526" i="5"/>
  <c r="J526" i="5" s="1"/>
  <c r="H525" i="5"/>
  <c r="K525" i="5" s="1"/>
  <c r="H524" i="5"/>
  <c r="K524" i="5" s="1"/>
  <c r="H523" i="5"/>
  <c r="K523" i="5" s="1"/>
  <c r="H522" i="5"/>
  <c r="J522" i="5" s="1"/>
  <c r="H521" i="5"/>
  <c r="H520" i="5"/>
  <c r="H519" i="5"/>
  <c r="J519" i="5" s="1"/>
  <c r="H518" i="5"/>
  <c r="J518" i="5" s="1"/>
  <c r="H517" i="5"/>
  <c r="J517" i="5" s="1"/>
  <c r="H516" i="5"/>
  <c r="J516" i="5" s="1"/>
  <c r="H515" i="5"/>
  <c r="K515" i="5" s="1"/>
  <c r="H514" i="5"/>
  <c r="H513" i="5"/>
  <c r="J513" i="5" s="1"/>
  <c r="H512" i="5"/>
  <c r="J512" i="5" s="1"/>
  <c r="H511" i="5"/>
  <c r="J511" i="5" s="1"/>
  <c r="H510" i="5"/>
  <c r="H509" i="5"/>
  <c r="K509" i="5" s="1"/>
  <c r="H508" i="5"/>
  <c r="J508" i="5" s="1"/>
  <c r="H507" i="5"/>
  <c r="K507" i="5" s="1"/>
  <c r="H506" i="5"/>
  <c r="H505" i="5"/>
  <c r="J505" i="5" s="1"/>
  <c r="H504" i="5"/>
  <c r="J504" i="5" s="1"/>
  <c r="H503" i="5"/>
  <c r="H502" i="5"/>
  <c r="H501" i="5"/>
  <c r="J501" i="5" s="1"/>
  <c r="H500" i="5"/>
  <c r="K500" i="5" s="1"/>
  <c r="H499" i="5"/>
  <c r="K499" i="5" s="1"/>
  <c r="H498" i="5"/>
  <c r="J498" i="5" s="1"/>
  <c r="H497" i="5"/>
  <c r="H496" i="5"/>
  <c r="H495" i="5"/>
  <c r="J495" i="5" s="1"/>
  <c r="H494" i="5"/>
  <c r="H493" i="5"/>
  <c r="J493" i="5" s="1"/>
  <c r="H492" i="5"/>
  <c r="J492" i="5" s="1"/>
  <c r="H491" i="5"/>
  <c r="K491" i="5" s="1"/>
  <c r="H490" i="5"/>
  <c r="H489" i="5"/>
  <c r="J489" i="5" s="1"/>
  <c r="H488" i="5"/>
  <c r="J488" i="5" s="1"/>
  <c r="H487" i="5"/>
  <c r="H486" i="5"/>
  <c r="H485" i="5"/>
  <c r="J485" i="5" s="1"/>
  <c r="H484" i="5"/>
  <c r="J484" i="5" s="1"/>
  <c r="H483" i="5"/>
  <c r="K483" i="5" s="1"/>
  <c r="H482" i="5"/>
  <c r="J482" i="5" s="1"/>
  <c r="H481" i="5"/>
  <c r="H480" i="5"/>
  <c r="H479" i="5"/>
  <c r="J479" i="5" s="1"/>
  <c r="H478" i="5"/>
  <c r="J478" i="5" s="1"/>
  <c r="H477" i="5"/>
  <c r="J477" i="5" s="1"/>
  <c r="H476" i="5"/>
  <c r="K476" i="5" s="1"/>
  <c r="H475" i="5"/>
  <c r="K475" i="5" s="1"/>
  <c r="H474" i="5"/>
  <c r="J474" i="5" s="1"/>
  <c r="H473" i="5"/>
  <c r="J473" i="5" s="1"/>
  <c r="H472" i="5"/>
  <c r="H471" i="5"/>
  <c r="H470" i="5"/>
  <c r="J470" i="5" s="1"/>
  <c r="H469" i="5"/>
  <c r="J469" i="5" s="1"/>
  <c r="H468" i="5"/>
  <c r="K468" i="5" s="1"/>
  <c r="H467" i="5"/>
  <c r="K467" i="5" s="1"/>
  <c r="H466" i="5"/>
  <c r="J466" i="5" s="1"/>
  <c r="H465" i="5"/>
  <c r="J465" i="5" s="1"/>
  <c r="H464" i="5"/>
  <c r="J464" i="5" s="1"/>
  <c r="H463" i="5"/>
  <c r="H462" i="5"/>
  <c r="H461" i="5"/>
  <c r="K461" i="5" s="1"/>
  <c r="H460" i="5"/>
  <c r="K460" i="5" s="1"/>
  <c r="H459" i="5"/>
  <c r="J459" i="5" s="1"/>
  <c r="H458" i="5"/>
  <c r="J458" i="5" s="1"/>
  <c r="H457" i="5"/>
  <c r="H456" i="5"/>
  <c r="H455" i="5"/>
  <c r="J455" i="5" s="1"/>
  <c r="H454" i="5"/>
  <c r="J454" i="5" s="1"/>
  <c r="H453" i="5"/>
  <c r="K453" i="5" s="1"/>
  <c r="H452" i="5"/>
  <c r="J452" i="5" s="1"/>
  <c r="H451" i="5"/>
  <c r="J451" i="5" s="1"/>
  <c r="H450" i="5"/>
  <c r="H449" i="5"/>
  <c r="H448" i="5"/>
  <c r="J448" i="5" s="1"/>
  <c r="H447" i="5"/>
  <c r="H446" i="5"/>
  <c r="H445" i="5"/>
  <c r="J445" i="5" s="1"/>
  <c r="H444" i="5"/>
  <c r="J444" i="5" s="1"/>
  <c r="H443" i="5"/>
  <c r="H442" i="5"/>
  <c r="H441" i="5"/>
  <c r="J441" i="5" s="1"/>
  <c r="H440" i="5"/>
  <c r="J440" i="5" s="1"/>
  <c r="H439" i="5"/>
  <c r="J439" i="5" s="1"/>
  <c r="H438" i="5"/>
  <c r="H437" i="5"/>
  <c r="K437" i="5" s="1"/>
  <c r="H436" i="5"/>
  <c r="J436" i="5" s="1"/>
  <c r="H435" i="5"/>
  <c r="K435" i="5" s="1"/>
  <c r="H434" i="5"/>
  <c r="J434" i="5" s="1"/>
  <c r="H433" i="5"/>
  <c r="J433" i="5" s="1"/>
  <c r="H432" i="5"/>
  <c r="J432" i="5" s="1"/>
  <c r="H431" i="5"/>
  <c r="J431" i="5" s="1"/>
  <c r="H430" i="5"/>
  <c r="H429" i="5"/>
  <c r="K429" i="5" s="1"/>
  <c r="H428" i="5"/>
  <c r="J428" i="5" s="1"/>
  <c r="H427" i="5"/>
  <c r="K427" i="5" s="1"/>
  <c r="H426" i="5"/>
  <c r="H425" i="5"/>
  <c r="J425" i="5" s="1"/>
  <c r="H424" i="5"/>
  <c r="J424" i="5" s="1"/>
  <c r="H423" i="5"/>
  <c r="H422" i="5"/>
  <c r="H421" i="5"/>
  <c r="J421" i="5" s="1"/>
  <c r="H420" i="5"/>
  <c r="K420" i="5" s="1"/>
  <c r="H419" i="5"/>
  <c r="K419" i="5" s="1"/>
  <c r="H418" i="5"/>
  <c r="J418" i="5" s="1"/>
  <c r="H417" i="5"/>
  <c r="J417" i="5" s="1"/>
  <c r="H416" i="5"/>
  <c r="H415" i="5"/>
  <c r="H414" i="5"/>
  <c r="J414" i="5" s="1"/>
  <c r="H413" i="5"/>
  <c r="J413" i="5" s="1"/>
  <c r="H412" i="5"/>
  <c r="K412" i="5" s="1"/>
  <c r="H411" i="5"/>
  <c r="K411" i="5" s="1"/>
  <c r="H410" i="5"/>
  <c r="J410" i="5" s="1"/>
  <c r="H409" i="5"/>
  <c r="H408" i="5"/>
  <c r="H407" i="5"/>
  <c r="J407" i="5" s="1"/>
  <c r="H406" i="5"/>
  <c r="H405" i="5"/>
  <c r="K405" i="5" s="1"/>
  <c r="H404" i="5"/>
  <c r="J404" i="5" s="1"/>
  <c r="H403" i="5"/>
  <c r="J403" i="5" s="1"/>
  <c r="H402" i="5"/>
  <c r="H401" i="5"/>
  <c r="H400" i="5"/>
  <c r="J400" i="5" s="1"/>
  <c r="H399" i="5"/>
  <c r="J399" i="5" s="1"/>
  <c r="H398" i="5"/>
  <c r="H397" i="5"/>
  <c r="K397" i="5" s="1"/>
  <c r="H396" i="5"/>
  <c r="J396" i="5" s="1"/>
  <c r="H395" i="5"/>
  <c r="J395" i="5" s="1"/>
  <c r="H394" i="5"/>
  <c r="H393" i="5"/>
  <c r="H392" i="5"/>
  <c r="H391" i="5"/>
  <c r="H390" i="5"/>
  <c r="J390" i="5" s="1"/>
  <c r="H389" i="5"/>
  <c r="J389" i="5" s="1"/>
  <c r="H388" i="5"/>
  <c r="J388" i="5" s="1"/>
  <c r="H387" i="5"/>
  <c r="K387" i="5" s="1"/>
  <c r="H386" i="5"/>
  <c r="H385" i="5"/>
  <c r="H384" i="5"/>
  <c r="H383" i="5"/>
  <c r="H382" i="5"/>
  <c r="J382" i="5" s="1"/>
  <c r="H381" i="5"/>
  <c r="J381" i="5" s="1"/>
  <c r="H380" i="5"/>
  <c r="K380" i="5" s="1"/>
  <c r="H379" i="5"/>
  <c r="K379" i="5" s="1"/>
  <c r="H378" i="5"/>
  <c r="J378" i="5" s="1"/>
  <c r="H377" i="5"/>
  <c r="J377" i="5" s="1"/>
  <c r="H376" i="5"/>
  <c r="H375" i="5"/>
  <c r="H374" i="5"/>
  <c r="J374" i="5" s="1"/>
  <c r="H373" i="5"/>
  <c r="K373" i="5" s="1"/>
  <c r="H372" i="5"/>
  <c r="K372" i="5" s="1"/>
  <c r="H371" i="5"/>
  <c r="J371" i="5" s="1"/>
  <c r="H370" i="5"/>
  <c r="H369" i="5"/>
  <c r="H368" i="5"/>
  <c r="J368" i="5" s="1"/>
  <c r="H367" i="5"/>
  <c r="J367" i="5" s="1"/>
  <c r="H366" i="5"/>
  <c r="J366" i="5" s="1"/>
  <c r="H365" i="5"/>
  <c r="K365" i="5" s="1"/>
  <c r="H364" i="5"/>
  <c r="K364" i="5" s="1"/>
  <c r="H363" i="5"/>
  <c r="J363" i="5" s="1"/>
  <c r="H362" i="5"/>
  <c r="J362" i="5" s="1"/>
  <c r="H361" i="5"/>
  <c r="H360" i="5"/>
  <c r="H359" i="5"/>
  <c r="H358" i="5"/>
  <c r="J358" i="5" s="1"/>
  <c r="H357" i="5"/>
  <c r="K357" i="5" s="1"/>
  <c r="H356" i="5"/>
  <c r="J356" i="5" s="1"/>
  <c r="H355" i="5"/>
  <c r="K355" i="5" s="1"/>
  <c r="H354" i="5"/>
  <c r="H353" i="5"/>
  <c r="J353" i="5" s="1"/>
  <c r="H352" i="5"/>
  <c r="H351" i="5"/>
  <c r="J351" i="5" s="1"/>
  <c r="H350" i="5"/>
  <c r="J350" i="5" s="1"/>
  <c r="H349" i="5"/>
  <c r="K349" i="5" s="1"/>
  <c r="H348" i="5"/>
  <c r="K348" i="5" s="1"/>
  <c r="H347" i="5"/>
  <c r="J347" i="5" s="1"/>
  <c r="H346" i="5"/>
  <c r="H345" i="5"/>
  <c r="H344" i="5"/>
  <c r="H343" i="5"/>
  <c r="H342" i="5"/>
  <c r="J342" i="5" s="1"/>
  <c r="H341" i="5"/>
  <c r="J341" i="5" s="1"/>
  <c r="H340" i="5"/>
  <c r="J340" i="5" s="1"/>
  <c r="H339" i="5"/>
  <c r="K339" i="5" s="1"/>
  <c r="H338" i="5"/>
  <c r="H337" i="5"/>
  <c r="J337" i="5" s="1"/>
  <c r="H336" i="5"/>
  <c r="H335" i="5"/>
  <c r="H334" i="5"/>
  <c r="H333" i="5"/>
  <c r="K333" i="5" s="1"/>
  <c r="H332" i="5"/>
  <c r="J332" i="5" s="1"/>
  <c r="H331" i="5"/>
  <c r="J331" i="5" s="1"/>
  <c r="H330" i="5"/>
  <c r="J330" i="5" s="1"/>
  <c r="H329" i="5"/>
  <c r="J329" i="5" s="1"/>
  <c r="H328" i="5"/>
  <c r="H327" i="5"/>
  <c r="H326" i="5"/>
  <c r="J326" i="5" s="1"/>
  <c r="H325" i="5"/>
  <c r="K325" i="5" s="1"/>
  <c r="H324" i="5"/>
  <c r="K324" i="5" s="1"/>
  <c r="H323" i="5"/>
  <c r="J323" i="5" s="1"/>
  <c r="H322" i="5"/>
  <c r="J322" i="5" s="1"/>
  <c r="H321" i="5"/>
  <c r="J321" i="5" s="1"/>
  <c r="H320" i="5"/>
  <c r="H319" i="5"/>
  <c r="H318" i="5"/>
  <c r="J318" i="5" s="1"/>
  <c r="H317" i="5"/>
  <c r="J317" i="5" s="1"/>
  <c r="H316" i="5"/>
  <c r="K316" i="5" s="1"/>
  <c r="H315" i="5"/>
  <c r="H314" i="5"/>
  <c r="J314" i="5" s="1"/>
  <c r="H313" i="5"/>
  <c r="J313" i="5" s="1"/>
  <c r="H312" i="5"/>
  <c r="J312" i="5" s="1"/>
  <c r="H311" i="5"/>
  <c r="H310" i="5"/>
  <c r="H309" i="5"/>
  <c r="J309" i="5" s="1"/>
  <c r="H308" i="5"/>
  <c r="J308" i="5" s="1"/>
  <c r="H307" i="5"/>
  <c r="H306" i="5"/>
  <c r="H305" i="5"/>
  <c r="J305" i="5" s="1"/>
  <c r="H304" i="5"/>
  <c r="J304" i="5" s="1"/>
  <c r="H303" i="5"/>
  <c r="H302" i="5"/>
  <c r="H301" i="5"/>
  <c r="J301" i="5" s="1"/>
  <c r="H300" i="5"/>
  <c r="K300" i="5" s="1"/>
  <c r="H299" i="5"/>
  <c r="K299" i="5" s="1"/>
  <c r="H298" i="5"/>
  <c r="J298" i="5" s="1"/>
  <c r="H297" i="5"/>
  <c r="H296" i="5"/>
  <c r="H295" i="5"/>
  <c r="H294" i="5"/>
  <c r="J294" i="5" s="1"/>
  <c r="H293" i="5"/>
  <c r="J293" i="5" s="1"/>
  <c r="H292" i="5"/>
  <c r="K292" i="5" s="1"/>
  <c r="H291" i="5"/>
  <c r="K291" i="5" s="1"/>
  <c r="H290" i="5"/>
  <c r="H289" i="5"/>
  <c r="J289" i="5" s="1"/>
  <c r="H288" i="5"/>
  <c r="H287" i="5"/>
  <c r="H286" i="5"/>
  <c r="J286" i="5" s="1"/>
  <c r="H285" i="5"/>
  <c r="K285" i="5" s="1"/>
  <c r="H284" i="5"/>
  <c r="K284" i="5" s="1"/>
  <c r="H283" i="5"/>
  <c r="J283" i="5" s="1"/>
  <c r="H282" i="5"/>
  <c r="H281" i="5"/>
  <c r="H280" i="5"/>
  <c r="H279" i="5"/>
  <c r="H278" i="5"/>
  <c r="J278" i="5" s="1"/>
  <c r="H277" i="5"/>
  <c r="J277" i="5" s="1"/>
  <c r="H276" i="5"/>
  <c r="J276" i="5" s="1"/>
  <c r="H275" i="5"/>
  <c r="J275" i="5" s="1"/>
  <c r="H274" i="5"/>
  <c r="H273" i="5"/>
  <c r="H272" i="5"/>
  <c r="J272" i="5" s="1"/>
  <c r="H271" i="5"/>
  <c r="J271" i="5" s="1"/>
  <c r="H270" i="5"/>
  <c r="H269" i="5"/>
  <c r="K269" i="5" s="1"/>
  <c r="H268" i="5"/>
  <c r="K268" i="5" s="1"/>
  <c r="H267" i="5"/>
  <c r="J267" i="5" s="1"/>
  <c r="H266" i="5"/>
  <c r="J266" i="5" s="1"/>
  <c r="H265" i="5"/>
  <c r="H264" i="5"/>
  <c r="H263" i="5"/>
  <c r="J263" i="5" s="1"/>
  <c r="H262" i="5"/>
  <c r="J262" i="5" s="1"/>
  <c r="H261" i="5"/>
  <c r="K261" i="5" s="1"/>
  <c r="H260" i="5"/>
  <c r="K260" i="5" s="1"/>
  <c r="H259" i="5"/>
  <c r="J259" i="5" s="1"/>
  <c r="H258" i="5"/>
  <c r="H257" i="5"/>
  <c r="H256" i="5"/>
  <c r="H255" i="5"/>
  <c r="J255" i="5" s="1"/>
  <c r="H254" i="5"/>
  <c r="H253" i="5"/>
  <c r="K253" i="5" s="1"/>
  <c r="H252" i="5"/>
  <c r="J252" i="5" s="1"/>
  <c r="H251" i="5"/>
  <c r="K251" i="5" s="1"/>
  <c r="H250" i="5"/>
  <c r="J250" i="5" s="1"/>
  <c r="H249" i="5"/>
  <c r="H248" i="5"/>
  <c r="H247" i="5"/>
  <c r="J247" i="5" s="1"/>
  <c r="H246" i="5"/>
  <c r="J246" i="5" s="1"/>
  <c r="H245" i="5"/>
  <c r="J245" i="5" s="1"/>
  <c r="H244" i="5"/>
  <c r="K244" i="5" s="1"/>
  <c r="H243" i="5"/>
  <c r="K243" i="5" s="1"/>
  <c r="H242" i="5"/>
  <c r="J242" i="5" s="1"/>
  <c r="H241" i="5"/>
  <c r="H240" i="5"/>
  <c r="H239" i="5"/>
  <c r="J239" i="5" s="1"/>
  <c r="H238" i="5"/>
  <c r="H237" i="5"/>
  <c r="K237" i="5" s="1"/>
  <c r="H236" i="5"/>
  <c r="J236" i="5" s="1"/>
  <c r="H235" i="5"/>
  <c r="J235" i="5" s="1"/>
  <c r="H234" i="5"/>
  <c r="J234" i="5" s="1"/>
  <c r="H233" i="5"/>
  <c r="J233" i="5" s="1"/>
  <c r="H232" i="5"/>
  <c r="H231" i="5"/>
  <c r="H230" i="5"/>
  <c r="J230" i="5" s="1"/>
  <c r="H229" i="5"/>
  <c r="J229" i="5" s="1"/>
  <c r="H228" i="5"/>
  <c r="K228" i="5" s="1"/>
  <c r="H227" i="5"/>
  <c r="K227" i="5" s="1"/>
  <c r="H226" i="5"/>
  <c r="J226" i="5" s="1"/>
  <c r="H225" i="5"/>
  <c r="H224" i="5"/>
  <c r="H223" i="5"/>
  <c r="H222" i="5"/>
  <c r="J222" i="5" s="1"/>
  <c r="H221" i="5"/>
  <c r="J221" i="5" s="1"/>
  <c r="H220" i="5"/>
  <c r="J220" i="5" s="1"/>
  <c r="H219" i="5"/>
  <c r="K219" i="5" s="1"/>
  <c r="H218" i="5"/>
  <c r="H217" i="5"/>
  <c r="J217" i="5" s="1"/>
  <c r="H216" i="5"/>
  <c r="J216" i="5" s="1"/>
  <c r="H215" i="5"/>
  <c r="J215" i="5" s="1"/>
  <c r="H214" i="5"/>
  <c r="H213" i="5"/>
  <c r="K213" i="5" s="1"/>
  <c r="H212" i="5"/>
  <c r="J212" i="5" s="1"/>
  <c r="H211" i="5"/>
  <c r="K211" i="5" s="1"/>
  <c r="H210" i="5"/>
  <c r="J210" i="5" s="1"/>
  <c r="H209" i="5"/>
  <c r="J209" i="5" s="1"/>
  <c r="H208" i="5"/>
  <c r="J208" i="5" s="1"/>
  <c r="H207" i="5"/>
  <c r="J207" i="5" s="1"/>
  <c r="H206" i="5"/>
  <c r="H205" i="5"/>
  <c r="H204" i="5"/>
  <c r="J204" i="5" s="1"/>
  <c r="H203" i="5"/>
  <c r="K203" i="5" s="1"/>
  <c r="H202" i="5"/>
  <c r="H201" i="5"/>
  <c r="H200" i="5"/>
  <c r="H199" i="5"/>
  <c r="J199" i="5" s="1"/>
  <c r="H198" i="5"/>
  <c r="H197" i="5"/>
  <c r="H196" i="5"/>
  <c r="J196" i="5" s="1"/>
  <c r="H195" i="5"/>
  <c r="K195" i="5" s="1"/>
  <c r="H194" i="5"/>
  <c r="H193" i="5"/>
  <c r="J193" i="5" s="1"/>
  <c r="H192" i="5"/>
  <c r="J192" i="5" s="1"/>
  <c r="H191" i="5"/>
  <c r="H190" i="5"/>
  <c r="H189" i="5"/>
  <c r="J189" i="5" s="1"/>
  <c r="H188" i="5"/>
  <c r="J188" i="5" s="1"/>
  <c r="H187" i="5"/>
  <c r="J187" i="5" s="1"/>
  <c r="H186" i="5"/>
  <c r="H185" i="5"/>
  <c r="H184" i="5"/>
  <c r="J184" i="5" s="1"/>
  <c r="H183" i="5"/>
  <c r="J183" i="5" s="1"/>
  <c r="H182" i="5"/>
  <c r="J182" i="5" s="1"/>
  <c r="H181" i="5"/>
  <c r="J181" i="5" s="1"/>
  <c r="H180" i="5"/>
  <c r="K180" i="5" s="1"/>
  <c r="H179" i="5"/>
  <c r="K179" i="5" s="1"/>
  <c r="H178" i="5"/>
  <c r="J178" i="5" s="1"/>
  <c r="H177" i="5"/>
  <c r="H176" i="5"/>
  <c r="H175" i="5"/>
  <c r="J175" i="5" s="1"/>
  <c r="H174" i="5"/>
  <c r="J174" i="5" s="1"/>
  <c r="H173" i="5"/>
  <c r="J173" i="5" s="1"/>
  <c r="H172" i="5"/>
  <c r="J172" i="5" s="1"/>
  <c r="H171" i="5"/>
  <c r="J171" i="5" s="1"/>
  <c r="H170" i="5"/>
  <c r="J170" i="5" s="1"/>
  <c r="H169" i="5"/>
  <c r="H168" i="5"/>
  <c r="H167" i="5"/>
  <c r="J167" i="5" s="1"/>
  <c r="H166" i="5"/>
  <c r="J166" i="5" s="1"/>
  <c r="H165" i="5"/>
  <c r="K165" i="5" s="1"/>
  <c r="H164" i="5"/>
  <c r="K164" i="5" s="1"/>
  <c r="H163" i="5"/>
  <c r="J163" i="5" s="1"/>
  <c r="H162" i="5"/>
  <c r="H161" i="5"/>
  <c r="H160" i="5"/>
  <c r="H159" i="5"/>
  <c r="J159" i="5" s="1"/>
  <c r="H158" i="5"/>
  <c r="H157" i="5"/>
  <c r="K157" i="5" s="1"/>
  <c r="H156" i="5"/>
  <c r="J156" i="5" s="1"/>
  <c r="H155" i="5"/>
  <c r="J155" i="5" s="1"/>
  <c r="H154" i="5"/>
  <c r="H153" i="5"/>
  <c r="J153" i="5" s="1"/>
  <c r="H152" i="5"/>
  <c r="J152" i="5" s="1"/>
  <c r="H151" i="5"/>
  <c r="H150" i="5"/>
  <c r="H149" i="5"/>
  <c r="J149" i="5" s="1"/>
  <c r="H148" i="5"/>
  <c r="J148" i="5" s="1"/>
  <c r="H147" i="5"/>
  <c r="K147" i="5" s="1"/>
  <c r="H146" i="5"/>
  <c r="H145" i="5"/>
  <c r="J145" i="5" s="1"/>
  <c r="H144" i="5"/>
  <c r="H143" i="5"/>
  <c r="H142" i="5"/>
  <c r="J142" i="5" s="1"/>
  <c r="H141" i="5"/>
  <c r="K141" i="5" s="1"/>
  <c r="H140" i="5"/>
  <c r="J140" i="5" s="1"/>
  <c r="H139" i="5"/>
  <c r="J139" i="5" s="1"/>
  <c r="H138" i="5"/>
  <c r="H137" i="5"/>
  <c r="H136" i="5"/>
  <c r="J136" i="5" s="1"/>
  <c r="H135" i="5"/>
  <c r="H134" i="5"/>
  <c r="H133" i="5"/>
  <c r="J133" i="5" s="1"/>
  <c r="H132" i="5"/>
  <c r="J132" i="5" s="1"/>
  <c r="H131" i="5"/>
  <c r="H130" i="5"/>
  <c r="H129" i="5"/>
  <c r="H128" i="5"/>
  <c r="H127" i="5"/>
  <c r="J127" i="5" s="1"/>
  <c r="H126" i="5"/>
  <c r="J126" i="5" s="1"/>
  <c r="H125" i="5"/>
  <c r="J125" i="5" s="1"/>
  <c r="H124" i="5"/>
  <c r="K124" i="5" s="1"/>
  <c r="H123" i="5"/>
  <c r="K123" i="5" s="1"/>
  <c r="H122" i="5"/>
  <c r="J122" i="5" s="1"/>
  <c r="H121" i="5"/>
  <c r="J121" i="5" s="1"/>
  <c r="H120" i="5"/>
  <c r="H119" i="5"/>
  <c r="H118" i="5"/>
  <c r="J118" i="5" s="1"/>
  <c r="H117" i="5"/>
  <c r="K117" i="5" s="1"/>
  <c r="H116" i="5"/>
  <c r="K116" i="5" s="1"/>
  <c r="H115" i="5"/>
  <c r="J115" i="5" s="1"/>
  <c r="H114" i="5"/>
  <c r="J114" i="5" s="1"/>
  <c r="H113" i="5"/>
  <c r="H112" i="5"/>
  <c r="H111" i="5"/>
  <c r="H110" i="5"/>
  <c r="H109" i="5"/>
  <c r="K109" i="5" s="1"/>
  <c r="H108" i="5"/>
  <c r="K108" i="5" s="1"/>
  <c r="H107" i="5"/>
  <c r="K107" i="5" s="1"/>
  <c r="H106" i="5"/>
  <c r="H105" i="5"/>
  <c r="J105" i="5" s="1"/>
  <c r="H104" i="5"/>
  <c r="J104" i="5" s="1"/>
  <c r="H103" i="5"/>
  <c r="H102" i="5"/>
  <c r="H101" i="5"/>
  <c r="J101" i="5" s="1"/>
  <c r="H100" i="5"/>
  <c r="K100" i="5" s="1"/>
  <c r="H99" i="5"/>
  <c r="K99" i="5" s="1"/>
  <c r="H98" i="5"/>
  <c r="H97" i="5"/>
  <c r="J97" i="5" s="1"/>
  <c r="H96" i="5"/>
  <c r="H95" i="5"/>
  <c r="H94" i="5"/>
  <c r="H93" i="5"/>
  <c r="J93" i="5" s="1"/>
  <c r="H92" i="5"/>
  <c r="K92" i="5" s="1"/>
  <c r="H91" i="5"/>
  <c r="K91" i="5" s="1"/>
  <c r="H90" i="5"/>
  <c r="H89" i="5"/>
  <c r="H88" i="5"/>
  <c r="H87" i="5"/>
  <c r="H86" i="5"/>
  <c r="H85" i="5"/>
  <c r="K85" i="5" s="1"/>
  <c r="H84" i="5"/>
  <c r="K84" i="5" s="1"/>
  <c r="H83" i="5"/>
  <c r="H82" i="5"/>
  <c r="H81" i="5"/>
  <c r="H80" i="5"/>
  <c r="H79" i="5"/>
  <c r="H78" i="5"/>
  <c r="J78" i="5" s="1"/>
  <c r="H77" i="5"/>
  <c r="K77" i="5" s="1"/>
  <c r="H76" i="5"/>
  <c r="K76" i="5" s="1"/>
  <c r="H75" i="5"/>
  <c r="K75" i="5" s="1"/>
  <c r="H74" i="5"/>
  <c r="J74" i="5" s="1"/>
  <c r="H73" i="5"/>
  <c r="H72" i="5"/>
  <c r="H71" i="5"/>
  <c r="H70" i="5"/>
  <c r="J70" i="5" s="1"/>
  <c r="H69" i="5"/>
  <c r="K69" i="5" s="1"/>
  <c r="H68" i="5"/>
  <c r="K68" i="5" s="1"/>
  <c r="H67" i="5"/>
  <c r="J67" i="5" s="1"/>
  <c r="H66" i="5"/>
  <c r="H65" i="5"/>
  <c r="H64" i="5"/>
  <c r="H63" i="5"/>
  <c r="H62" i="5"/>
  <c r="J62" i="5" s="1"/>
  <c r="H61" i="5"/>
  <c r="J61" i="5" s="1"/>
  <c r="H60" i="5"/>
  <c r="K60" i="5" s="1"/>
  <c r="H59" i="5"/>
  <c r="K59" i="5" s="1"/>
  <c r="H58" i="5"/>
  <c r="H57" i="5"/>
  <c r="J57" i="5" s="1"/>
  <c r="H56" i="5"/>
  <c r="H55" i="5"/>
  <c r="H54" i="5"/>
  <c r="K54" i="5" s="1"/>
  <c r="H53" i="5"/>
  <c r="K53" i="5" s="1"/>
  <c r="H52" i="5"/>
  <c r="J52" i="5" s="1"/>
  <c r="H51" i="5"/>
  <c r="K51" i="5" s="1"/>
  <c r="H50" i="5"/>
  <c r="H49" i="5"/>
  <c r="H48" i="5"/>
  <c r="J48" i="5" s="1"/>
  <c r="H47" i="5"/>
  <c r="J47" i="5" s="1"/>
  <c r="H46" i="5"/>
  <c r="H45" i="5"/>
  <c r="K45" i="5" s="1"/>
  <c r="H44" i="5"/>
  <c r="K44" i="5" s="1"/>
  <c r="H43" i="5"/>
  <c r="H42" i="5"/>
  <c r="H41" i="5"/>
  <c r="J41" i="5" s="1"/>
  <c r="H40" i="5"/>
  <c r="J40" i="5" s="1"/>
  <c r="H39" i="5"/>
  <c r="H38" i="5"/>
  <c r="H37" i="5"/>
  <c r="K37" i="5" s="1"/>
  <c r="H36" i="5"/>
  <c r="K36" i="5" s="1"/>
  <c r="H35" i="5"/>
  <c r="J35" i="5" s="1"/>
  <c r="H34" i="5"/>
  <c r="J34" i="5" s="1"/>
  <c r="H33" i="5"/>
  <c r="H32" i="5"/>
  <c r="H31" i="5"/>
  <c r="H30" i="5"/>
  <c r="H29" i="5"/>
  <c r="K29" i="5" s="1"/>
  <c r="H28" i="5"/>
  <c r="J28" i="5" s="1"/>
  <c r="H27" i="5"/>
  <c r="J27" i="5" s="1"/>
  <c r="H26" i="5"/>
  <c r="H25" i="5"/>
  <c r="H24" i="5"/>
  <c r="H23" i="5"/>
  <c r="H22" i="5"/>
  <c r="H21" i="5"/>
  <c r="J21" i="5" s="1"/>
  <c r="H20" i="5"/>
  <c r="K20" i="5" s="1"/>
  <c r="H19" i="5"/>
  <c r="K19" i="5" s="1"/>
  <c r="H18" i="5"/>
  <c r="H17" i="5"/>
  <c r="H16" i="5"/>
  <c r="J16" i="5" s="1"/>
  <c r="H15" i="5"/>
  <c r="H14" i="5"/>
  <c r="H13" i="5"/>
  <c r="K13" i="5" s="1"/>
  <c r="H12" i="5"/>
  <c r="J12" i="5" s="1"/>
  <c r="H11" i="5"/>
  <c r="J11" i="5" s="1"/>
  <c r="K11" i="5"/>
  <c r="K1504" i="5"/>
  <c r="G1504" i="5"/>
  <c r="B1504" i="5"/>
  <c r="E1504" i="5" s="1"/>
  <c r="A1504" i="5"/>
  <c r="K1503" i="5"/>
  <c r="G1503" i="5"/>
  <c r="B1503" i="5"/>
  <c r="E1503" i="5" s="1"/>
  <c r="A1503" i="5"/>
  <c r="K1502" i="5"/>
  <c r="G1502" i="5"/>
  <c r="B1502" i="5"/>
  <c r="E1502" i="5" s="1"/>
  <c r="A1502" i="5"/>
  <c r="K1501" i="5"/>
  <c r="G1501" i="5"/>
  <c r="B1501" i="5"/>
  <c r="E1501" i="5" s="1"/>
  <c r="A1501" i="5"/>
  <c r="K1500" i="5"/>
  <c r="G1500" i="5"/>
  <c r="B1500" i="5"/>
  <c r="E1500" i="5" s="1"/>
  <c r="A1500" i="5"/>
  <c r="K1499" i="5"/>
  <c r="G1499" i="5"/>
  <c r="B1499" i="5"/>
  <c r="E1499" i="5" s="1"/>
  <c r="A1499" i="5"/>
  <c r="K1498" i="5"/>
  <c r="G1498" i="5"/>
  <c r="B1498" i="5"/>
  <c r="E1498" i="5" s="1"/>
  <c r="A1498" i="5"/>
  <c r="K1497" i="5"/>
  <c r="G1497" i="5"/>
  <c r="B1497" i="5"/>
  <c r="E1497" i="5" s="1"/>
  <c r="A1497" i="5"/>
  <c r="K1496" i="5"/>
  <c r="G1496" i="5"/>
  <c r="B1496" i="5"/>
  <c r="E1496" i="5" s="1"/>
  <c r="A1496" i="5"/>
  <c r="K1495" i="5"/>
  <c r="G1495" i="5"/>
  <c r="B1495" i="5"/>
  <c r="E1495" i="5" s="1"/>
  <c r="A1495" i="5"/>
  <c r="K1494" i="5"/>
  <c r="G1494" i="5"/>
  <c r="B1494" i="5"/>
  <c r="E1494" i="5" s="1"/>
  <c r="A1494" i="5"/>
  <c r="K1493" i="5"/>
  <c r="G1493" i="5"/>
  <c r="B1493" i="5"/>
  <c r="E1493" i="5" s="1"/>
  <c r="A1493" i="5"/>
  <c r="K1492" i="5"/>
  <c r="G1492" i="5"/>
  <c r="B1492" i="5"/>
  <c r="E1492" i="5" s="1"/>
  <c r="A1492" i="5"/>
  <c r="K1491" i="5"/>
  <c r="G1491" i="5"/>
  <c r="B1491" i="5"/>
  <c r="E1491" i="5" s="1"/>
  <c r="A1491" i="5"/>
  <c r="K1490" i="5"/>
  <c r="G1490" i="5"/>
  <c r="B1490" i="5"/>
  <c r="E1490" i="5" s="1"/>
  <c r="A1490" i="5"/>
  <c r="K1489" i="5"/>
  <c r="G1489" i="5"/>
  <c r="B1489" i="5"/>
  <c r="E1489" i="5" s="1"/>
  <c r="A1489" i="5"/>
  <c r="K1488" i="5"/>
  <c r="G1488" i="5"/>
  <c r="B1488" i="5"/>
  <c r="E1488" i="5" s="1"/>
  <c r="A1488" i="5"/>
  <c r="K1487" i="5"/>
  <c r="G1487" i="5"/>
  <c r="B1487" i="5"/>
  <c r="E1487" i="5" s="1"/>
  <c r="A1487" i="5"/>
  <c r="K1486" i="5"/>
  <c r="G1486" i="5"/>
  <c r="B1486" i="5"/>
  <c r="E1486" i="5" s="1"/>
  <c r="A1486" i="5"/>
  <c r="K1485" i="5"/>
  <c r="G1485" i="5"/>
  <c r="B1485" i="5"/>
  <c r="E1485" i="5" s="1"/>
  <c r="A1485" i="5"/>
  <c r="G1484" i="5"/>
  <c r="B1484" i="5"/>
  <c r="E1484" i="5" s="1"/>
  <c r="A1484" i="5"/>
  <c r="K1483" i="5"/>
  <c r="G1483" i="5"/>
  <c r="B1483" i="5"/>
  <c r="E1483" i="5" s="1"/>
  <c r="A1483" i="5"/>
  <c r="K1482" i="5"/>
  <c r="G1482" i="5"/>
  <c r="B1482" i="5"/>
  <c r="E1482" i="5" s="1"/>
  <c r="A1482" i="5"/>
  <c r="K1481" i="5"/>
  <c r="G1481" i="5"/>
  <c r="B1481" i="5"/>
  <c r="E1481" i="5" s="1"/>
  <c r="A1481" i="5"/>
  <c r="K1480" i="5"/>
  <c r="G1480" i="5"/>
  <c r="B1480" i="5"/>
  <c r="E1480" i="5" s="1"/>
  <c r="A1480" i="5"/>
  <c r="K1479" i="5"/>
  <c r="G1479" i="5"/>
  <c r="B1479" i="5"/>
  <c r="E1479" i="5" s="1"/>
  <c r="A1479" i="5"/>
  <c r="K1478" i="5"/>
  <c r="G1478" i="5"/>
  <c r="B1478" i="5"/>
  <c r="E1478" i="5" s="1"/>
  <c r="A1478" i="5"/>
  <c r="K1477" i="5"/>
  <c r="G1477" i="5"/>
  <c r="B1477" i="5"/>
  <c r="E1477" i="5" s="1"/>
  <c r="A1477" i="5"/>
  <c r="K1476" i="5"/>
  <c r="G1476" i="5"/>
  <c r="B1476" i="5"/>
  <c r="E1476" i="5" s="1"/>
  <c r="A1476" i="5"/>
  <c r="K1475" i="5"/>
  <c r="G1475" i="5"/>
  <c r="B1475" i="5"/>
  <c r="E1475" i="5" s="1"/>
  <c r="A1475" i="5"/>
  <c r="K1474" i="5"/>
  <c r="G1474" i="5"/>
  <c r="B1474" i="5"/>
  <c r="E1474" i="5" s="1"/>
  <c r="A1474" i="5"/>
  <c r="K1473" i="5"/>
  <c r="G1473" i="5"/>
  <c r="B1473" i="5"/>
  <c r="E1473" i="5" s="1"/>
  <c r="A1473" i="5"/>
  <c r="K1472" i="5"/>
  <c r="G1472" i="5"/>
  <c r="B1472" i="5"/>
  <c r="E1472" i="5" s="1"/>
  <c r="A1472" i="5"/>
  <c r="K1471" i="5"/>
  <c r="G1471" i="5"/>
  <c r="B1471" i="5"/>
  <c r="E1471" i="5" s="1"/>
  <c r="A1471" i="5"/>
  <c r="K1470" i="5"/>
  <c r="G1470" i="5"/>
  <c r="B1470" i="5"/>
  <c r="E1470" i="5" s="1"/>
  <c r="A1470" i="5"/>
  <c r="K1469" i="5"/>
  <c r="G1469" i="5"/>
  <c r="B1469" i="5"/>
  <c r="E1469" i="5" s="1"/>
  <c r="A1469" i="5"/>
  <c r="K1468" i="5"/>
  <c r="G1468" i="5"/>
  <c r="B1468" i="5"/>
  <c r="E1468" i="5" s="1"/>
  <c r="A1468" i="5"/>
  <c r="K1467" i="5"/>
  <c r="G1467" i="5"/>
  <c r="B1467" i="5"/>
  <c r="E1467" i="5" s="1"/>
  <c r="A1467" i="5"/>
  <c r="K1466" i="5"/>
  <c r="G1466" i="5"/>
  <c r="B1466" i="5"/>
  <c r="E1466" i="5" s="1"/>
  <c r="A1466" i="5"/>
  <c r="K1465" i="5"/>
  <c r="G1465" i="5"/>
  <c r="B1465" i="5"/>
  <c r="E1465" i="5" s="1"/>
  <c r="A1465" i="5"/>
  <c r="K1464" i="5"/>
  <c r="G1464" i="5"/>
  <c r="B1464" i="5"/>
  <c r="E1464" i="5" s="1"/>
  <c r="A1464" i="5"/>
  <c r="K1463" i="5"/>
  <c r="G1463" i="5"/>
  <c r="B1463" i="5"/>
  <c r="E1463" i="5" s="1"/>
  <c r="A1463" i="5"/>
  <c r="K1462" i="5"/>
  <c r="G1462" i="5"/>
  <c r="B1462" i="5"/>
  <c r="E1462" i="5" s="1"/>
  <c r="A1462" i="5"/>
  <c r="K1461" i="5"/>
  <c r="G1461" i="5"/>
  <c r="B1461" i="5"/>
  <c r="E1461" i="5" s="1"/>
  <c r="A1461" i="5"/>
  <c r="K1460" i="5"/>
  <c r="G1460" i="5"/>
  <c r="B1460" i="5"/>
  <c r="E1460" i="5" s="1"/>
  <c r="A1460" i="5"/>
  <c r="K1459" i="5"/>
  <c r="G1459" i="5"/>
  <c r="B1459" i="5"/>
  <c r="E1459" i="5" s="1"/>
  <c r="A1459" i="5"/>
  <c r="K1458" i="5"/>
  <c r="G1458" i="5"/>
  <c r="B1458" i="5"/>
  <c r="E1458" i="5" s="1"/>
  <c r="A1458" i="5"/>
  <c r="K1457" i="5"/>
  <c r="G1457" i="5"/>
  <c r="B1457" i="5"/>
  <c r="E1457" i="5" s="1"/>
  <c r="A1457" i="5"/>
  <c r="K1456" i="5"/>
  <c r="G1456" i="5"/>
  <c r="B1456" i="5"/>
  <c r="E1456" i="5" s="1"/>
  <c r="A1456" i="5"/>
  <c r="K1455" i="5"/>
  <c r="G1455" i="5"/>
  <c r="B1455" i="5"/>
  <c r="E1455" i="5" s="1"/>
  <c r="A1455" i="5"/>
  <c r="K1454" i="5"/>
  <c r="G1454" i="5"/>
  <c r="B1454" i="5"/>
  <c r="E1454" i="5" s="1"/>
  <c r="A1454" i="5"/>
  <c r="K1453" i="5"/>
  <c r="G1453" i="5"/>
  <c r="B1453" i="5"/>
  <c r="E1453" i="5" s="1"/>
  <c r="A1453" i="5"/>
  <c r="K1452" i="5"/>
  <c r="G1452" i="5"/>
  <c r="B1452" i="5"/>
  <c r="E1452" i="5" s="1"/>
  <c r="A1452" i="5"/>
  <c r="K1451" i="5"/>
  <c r="G1451" i="5"/>
  <c r="B1451" i="5"/>
  <c r="E1451" i="5" s="1"/>
  <c r="A1451" i="5"/>
  <c r="K1450" i="5"/>
  <c r="G1450" i="5"/>
  <c r="B1450" i="5"/>
  <c r="E1450" i="5" s="1"/>
  <c r="A1450" i="5"/>
  <c r="K1449" i="5"/>
  <c r="G1449" i="5"/>
  <c r="B1449" i="5"/>
  <c r="E1449" i="5" s="1"/>
  <c r="A1449" i="5"/>
  <c r="K1448" i="5"/>
  <c r="G1448" i="5"/>
  <c r="B1448" i="5"/>
  <c r="E1448" i="5" s="1"/>
  <c r="A1448" i="5"/>
  <c r="K1447" i="5"/>
  <c r="G1447" i="5"/>
  <c r="B1447" i="5"/>
  <c r="E1447" i="5" s="1"/>
  <c r="A1447" i="5"/>
  <c r="K1446" i="5"/>
  <c r="G1446" i="5"/>
  <c r="B1446" i="5"/>
  <c r="E1446" i="5" s="1"/>
  <c r="A1446" i="5"/>
  <c r="K1445" i="5"/>
  <c r="G1445" i="5"/>
  <c r="B1445" i="5"/>
  <c r="E1445" i="5" s="1"/>
  <c r="A1445" i="5"/>
  <c r="K1444" i="5"/>
  <c r="G1444" i="5"/>
  <c r="B1444" i="5"/>
  <c r="E1444" i="5" s="1"/>
  <c r="A1444" i="5"/>
  <c r="K1443" i="5"/>
  <c r="G1443" i="5"/>
  <c r="B1443" i="5"/>
  <c r="E1443" i="5" s="1"/>
  <c r="A1443" i="5"/>
  <c r="K1442" i="5"/>
  <c r="G1442" i="5"/>
  <c r="B1442" i="5"/>
  <c r="E1442" i="5" s="1"/>
  <c r="A1442" i="5"/>
  <c r="K1441" i="5"/>
  <c r="G1441" i="5"/>
  <c r="B1441" i="5"/>
  <c r="E1441" i="5" s="1"/>
  <c r="A1441" i="5"/>
  <c r="K1440" i="5"/>
  <c r="G1440" i="5"/>
  <c r="B1440" i="5"/>
  <c r="E1440" i="5" s="1"/>
  <c r="A1440" i="5"/>
  <c r="K1439" i="5"/>
  <c r="G1439" i="5"/>
  <c r="B1439" i="5"/>
  <c r="E1439" i="5" s="1"/>
  <c r="A1439" i="5"/>
  <c r="K1438" i="5"/>
  <c r="G1438" i="5"/>
  <c r="B1438" i="5"/>
  <c r="E1438" i="5" s="1"/>
  <c r="A1438" i="5"/>
  <c r="K1437" i="5"/>
  <c r="G1437" i="5"/>
  <c r="B1437" i="5"/>
  <c r="E1437" i="5" s="1"/>
  <c r="A1437" i="5"/>
  <c r="K1436" i="5"/>
  <c r="G1436" i="5"/>
  <c r="B1436" i="5"/>
  <c r="E1436" i="5" s="1"/>
  <c r="A1436" i="5"/>
  <c r="K1435" i="5"/>
  <c r="G1435" i="5"/>
  <c r="B1435" i="5"/>
  <c r="E1435" i="5" s="1"/>
  <c r="A1435" i="5"/>
  <c r="K1434" i="5"/>
  <c r="G1434" i="5"/>
  <c r="B1434" i="5"/>
  <c r="E1434" i="5" s="1"/>
  <c r="A1434" i="5"/>
  <c r="K1433" i="5"/>
  <c r="G1433" i="5"/>
  <c r="B1433" i="5"/>
  <c r="E1433" i="5" s="1"/>
  <c r="A1433" i="5"/>
  <c r="K1432" i="5"/>
  <c r="G1432" i="5"/>
  <c r="B1432" i="5"/>
  <c r="E1432" i="5" s="1"/>
  <c r="A1432" i="5"/>
  <c r="K1431" i="5"/>
  <c r="G1431" i="5"/>
  <c r="B1431" i="5"/>
  <c r="E1431" i="5" s="1"/>
  <c r="A1431" i="5"/>
  <c r="K1430" i="5"/>
  <c r="G1430" i="5"/>
  <c r="B1430" i="5"/>
  <c r="E1430" i="5" s="1"/>
  <c r="A1430" i="5"/>
  <c r="K1429" i="5"/>
  <c r="G1429" i="5"/>
  <c r="B1429" i="5"/>
  <c r="E1429" i="5" s="1"/>
  <c r="A1429" i="5"/>
  <c r="K1428" i="5"/>
  <c r="G1428" i="5"/>
  <c r="B1428" i="5"/>
  <c r="E1428" i="5" s="1"/>
  <c r="A1428" i="5"/>
  <c r="K1427" i="5"/>
  <c r="G1427" i="5"/>
  <c r="B1427" i="5"/>
  <c r="E1427" i="5" s="1"/>
  <c r="A1427" i="5"/>
  <c r="K1426" i="5"/>
  <c r="G1426" i="5"/>
  <c r="B1426" i="5"/>
  <c r="E1426" i="5" s="1"/>
  <c r="A1426" i="5"/>
  <c r="K1425" i="5"/>
  <c r="G1425" i="5"/>
  <c r="B1425" i="5"/>
  <c r="E1425" i="5" s="1"/>
  <c r="A1425" i="5"/>
  <c r="K1424" i="5"/>
  <c r="G1424" i="5"/>
  <c r="B1424" i="5"/>
  <c r="E1424" i="5" s="1"/>
  <c r="A1424" i="5"/>
  <c r="K1423" i="5"/>
  <c r="G1423" i="5"/>
  <c r="B1423" i="5"/>
  <c r="E1423" i="5" s="1"/>
  <c r="A1423" i="5"/>
  <c r="K1422" i="5"/>
  <c r="G1422" i="5"/>
  <c r="B1422" i="5"/>
  <c r="E1422" i="5" s="1"/>
  <c r="A1422" i="5"/>
  <c r="K1421" i="5"/>
  <c r="G1421" i="5"/>
  <c r="B1421" i="5"/>
  <c r="E1421" i="5" s="1"/>
  <c r="A1421" i="5"/>
  <c r="K1420" i="5"/>
  <c r="G1420" i="5"/>
  <c r="B1420" i="5"/>
  <c r="E1420" i="5" s="1"/>
  <c r="A1420" i="5"/>
  <c r="K1419" i="5"/>
  <c r="G1419" i="5"/>
  <c r="B1419" i="5"/>
  <c r="E1419" i="5" s="1"/>
  <c r="A1419" i="5"/>
  <c r="K1418" i="5"/>
  <c r="G1418" i="5"/>
  <c r="B1418" i="5"/>
  <c r="E1418" i="5" s="1"/>
  <c r="A1418" i="5"/>
  <c r="K1417" i="5"/>
  <c r="G1417" i="5"/>
  <c r="B1417" i="5"/>
  <c r="E1417" i="5" s="1"/>
  <c r="A1417" i="5"/>
  <c r="K1416" i="5"/>
  <c r="G1416" i="5"/>
  <c r="B1416" i="5"/>
  <c r="E1416" i="5" s="1"/>
  <c r="A1416" i="5"/>
  <c r="K1415" i="5"/>
  <c r="G1415" i="5"/>
  <c r="B1415" i="5"/>
  <c r="E1415" i="5" s="1"/>
  <c r="A1415" i="5"/>
  <c r="K1414" i="5"/>
  <c r="G1414" i="5"/>
  <c r="B1414" i="5"/>
  <c r="E1414" i="5" s="1"/>
  <c r="A1414" i="5"/>
  <c r="K1413" i="5"/>
  <c r="G1413" i="5"/>
  <c r="B1413" i="5"/>
  <c r="E1413" i="5" s="1"/>
  <c r="A1413" i="5"/>
  <c r="K1412" i="5"/>
  <c r="G1412" i="5"/>
  <c r="B1412" i="5"/>
  <c r="E1412" i="5" s="1"/>
  <c r="A1412" i="5"/>
  <c r="K1411" i="5"/>
  <c r="G1411" i="5"/>
  <c r="B1411" i="5"/>
  <c r="E1411" i="5" s="1"/>
  <c r="A1411" i="5"/>
  <c r="K1410" i="5"/>
  <c r="G1410" i="5"/>
  <c r="B1410" i="5"/>
  <c r="E1410" i="5" s="1"/>
  <c r="A1410" i="5"/>
  <c r="K1409" i="5"/>
  <c r="G1409" i="5"/>
  <c r="B1409" i="5"/>
  <c r="E1409" i="5" s="1"/>
  <c r="A1409" i="5"/>
  <c r="K1408" i="5"/>
  <c r="G1408" i="5"/>
  <c r="B1408" i="5"/>
  <c r="E1408" i="5" s="1"/>
  <c r="A1408" i="5"/>
  <c r="K1407" i="5"/>
  <c r="G1407" i="5"/>
  <c r="B1407" i="5"/>
  <c r="E1407" i="5" s="1"/>
  <c r="A1407" i="5"/>
  <c r="K1406" i="5"/>
  <c r="G1406" i="5"/>
  <c r="B1406" i="5"/>
  <c r="E1406" i="5" s="1"/>
  <c r="A1406" i="5"/>
  <c r="K1405" i="5"/>
  <c r="G1405" i="5"/>
  <c r="B1405" i="5"/>
  <c r="E1405" i="5" s="1"/>
  <c r="A1405" i="5"/>
  <c r="K1404" i="5"/>
  <c r="G1404" i="5"/>
  <c r="B1404" i="5"/>
  <c r="E1404" i="5" s="1"/>
  <c r="A1404" i="5"/>
  <c r="K1403" i="5"/>
  <c r="G1403" i="5"/>
  <c r="B1403" i="5"/>
  <c r="E1403" i="5" s="1"/>
  <c r="A1403" i="5"/>
  <c r="K1402" i="5"/>
  <c r="G1402" i="5"/>
  <c r="B1402" i="5"/>
  <c r="E1402" i="5" s="1"/>
  <c r="A1402" i="5"/>
  <c r="K1401" i="5"/>
  <c r="G1401" i="5"/>
  <c r="B1401" i="5"/>
  <c r="E1401" i="5" s="1"/>
  <c r="A1401" i="5"/>
  <c r="K1400" i="5"/>
  <c r="G1400" i="5"/>
  <c r="B1400" i="5"/>
  <c r="E1400" i="5" s="1"/>
  <c r="A1400" i="5"/>
  <c r="K1399" i="5"/>
  <c r="G1399" i="5"/>
  <c r="B1399" i="5"/>
  <c r="E1399" i="5" s="1"/>
  <c r="A1399" i="5"/>
  <c r="K1398" i="5"/>
  <c r="G1398" i="5"/>
  <c r="B1398" i="5"/>
  <c r="E1398" i="5" s="1"/>
  <c r="A1398" i="5"/>
  <c r="K1397" i="5"/>
  <c r="G1397" i="5"/>
  <c r="B1397" i="5"/>
  <c r="E1397" i="5" s="1"/>
  <c r="A1397" i="5"/>
  <c r="K1396" i="5"/>
  <c r="G1396" i="5"/>
  <c r="B1396" i="5"/>
  <c r="E1396" i="5" s="1"/>
  <c r="A1396" i="5"/>
  <c r="K1395" i="5"/>
  <c r="G1395" i="5"/>
  <c r="B1395" i="5"/>
  <c r="E1395" i="5" s="1"/>
  <c r="A1395" i="5"/>
  <c r="K1394" i="5"/>
  <c r="G1394" i="5"/>
  <c r="B1394" i="5"/>
  <c r="E1394" i="5" s="1"/>
  <c r="A1394" i="5"/>
  <c r="K1393" i="5"/>
  <c r="G1393" i="5"/>
  <c r="B1393" i="5"/>
  <c r="E1393" i="5" s="1"/>
  <c r="A1393" i="5"/>
  <c r="K1392" i="5"/>
  <c r="G1392" i="5"/>
  <c r="B1392" i="5"/>
  <c r="E1392" i="5" s="1"/>
  <c r="A1392" i="5"/>
  <c r="K1391" i="5"/>
  <c r="G1391" i="5"/>
  <c r="B1391" i="5"/>
  <c r="E1391" i="5" s="1"/>
  <c r="A1391" i="5"/>
  <c r="K1390" i="5"/>
  <c r="G1390" i="5"/>
  <c r="B1390" i="5"/>
  <c r="E1390" i="5" s="1"/>
  <c r="A1390" i="5"/>
  <c r="K1389" i="5"/>
  <c r="G1389" i="5"/>
  <c r="B1389" i="5"/>
  <c r="E1389" i="5" s="1"/>
  <c r="A1389" i="5"/>
  <c r="K1388" i="5"/>
  <c r="G1388" i="5"/>
  <c r="B1388" i="5"/>
  <c r="E1388" i="5" s="1"/>
  <c r="A1388" i="5"/>
  <c r="K1387" i="5"/>
  <c r="G1387" i="5"/>
  <c r="B1387" i="5"/>
  <c r="E1387" i="5" s="1"/>
  <c r="A1387" i="5"/>
  <c r="K1386" i="5"/>
  <c r="G1386" i="5"/>
  <c r="B1386" i="5"/>
  <c r="E1386" i="5" s="1"/>
  <c r="A1386" i="5"/>
  <c r="K1385" i="5"/>
  <c r="G1385" i="5"/>
  <c r="B1385" i="5"/>
  <c r="E1385" i="5" s="1"/>
  <c r="A1385" i="5"/>
  <c r="K1384" i="5"/>
  <c r="G1384" i="5"/>
  <c r="B1384" i="5"/>
  <c r="E1384" i="5" s="1"/>
  <c r="A1384" i="5"/>
  <c r="K1383" i="5"/>
  <c r="G1383" i="5"/>
  <c r="B1383" i="5"/>
  <c r="E1383" i="5" s="1"/>
  <c r="A1383" i="5"/>
  <c r="K1382" i="5"/>
  <c r="G1382" i="5"/>
  <c r="B1382" i="5"/>
  <c r="E1382" i="5" s="1"/>
  <c r="A1382" i="5"/>
  <c r="K1381" i="5"/>
  <c r="G1381" i="5"/>
  <c r="B1381" i="5"/>
  <c r="E1381" i="5" s="1"/>
  <c r="A1381" i="5"/>
  <c r="K1380" i="5"/>
  <c r="G1380" i="5"/>
  <c r="B1380" i="5"/>
  <c r="E1380" i="5" s="1"/>
  <c r="A1380" i="5"/>
  <c r="K1379" i="5"/>
  <c r="G1379" i="5"/>
  <c r="B1379" i="5"/>
  <c r="E1379" i="5" s="1"/>
  <c r="A1379" i="5"/>
  <c r="K1378" i="5"/>
  <c r="G1378" i="5"/>
  <c r="B1378" i="5"/>
  <c r="E1378" i="5" s="1"/>
  <c r="A1378" i="5"/>
  <c r="K1377" i="5"/>
  <c r="G1377" i="5"/>
  <c r="B1377" i="5"/>
  <c r="E1377" i="5" s="1"/>
  <c r="A1377" i="5"/>
  <c r="K1376" i="5"/>
  <c r="G1376" i="5"/>
  <c r="B1376" i="5"/>
  <c r="E1376" i="5" s="1"/>
  <c r="A1376" i="5"/>
  <c r="K1375" i="5"/>
  <c r="G1375" i="5"/>
  <c r="B1375" i="5"/>
  <c r="E1375" i="5" s="1"/>
  <c r="A1375" i="5"/>
  <c r="K1374" i="5"/>
  <c r="G1374" i="5"/>
  <c r="B1374" i="5"/>
  <c r="E1374" i="5" s="1"/>
  <c r="A1374" i="5"/>
  <c r="K1373" i="5"/>
  <c r="G1373" i="5"/>
  <c r="B1373" i="5"/>
  <c r="E1373" i="5" s="1"/>
  <c r="A1373" i="5"/>
  <c r="K1372" i="5"/>
  <c r="G1372" i="5"/>
  <c r="B1372" i="5"/>
  <c r="E1372" i="5" s="1"/>
  <c r="A1372" i="5"/>
  <c r="K1371" i="5"/>
  <c r="G1371" i="5"/>
  <c r="B1371" i="5"/>
  <c r="E1371" i="5" s="1"/>
  <c r="A1371" i="5"/>
  <c r="K1370" i="5"/>
  <c r="G1370" i="5"/>
  <c r="B1370" i="5"/>
  <c r="E1370" i="5" s="1"/>
  <c r="A1370" i="5"/>
  <c r="K1369" i="5"/>
  <c r="G1369" i="5"/>
  <c r="B1369" i="5"/>
  <c r="E1369" i="5" s="1"/>
  <c r="A1369" i="5"/>
  <c r="K1368" i="5"/>
  <c r="G1368" i="5"/>
  <c r="B1368" i="5"/>
  <c r="E1368" i="5" s="1"/>
  <c r="A1368" i="5"/>
  <c r="K1367" i="5"/>
  <c r="G1367" i="5"/>
  <c r="B1367" i="5"/>
  <c r="E1367" i="5" s="1"/>
  <c r="A1367" i="5"/>
  <c r="K1366" i="5"/>
  <c r="G1366" i="5"/>
  <c r="B1366" i="5"/>
  <c r="E1366" i="5" s="1"/>
  <c r="A1366" i="5"/>
  <c r="K1365" i="5"/>
  <c r="G1365" i="5"/>
  <c r="B1365" i="5"/>
  <c r="E1365" i="5" s="1"/>
  <c r="A1365" i="5"/>
  <c r="K1364" i="5"/>
  <c r="G1364" i="5"/>
  <c r="B1364" i="5"/>
  <c r="E1364" i="5" s="1"/>
  <c r="A1364" i="5"/>
  <c r="K1363" i="5"/>
  <c r="G1363" i="5"/>
  <c r="B1363" i="5"/>
  <c r="E1363" i="5" s="1"/>
  <c r="A1363" i="5"/>
  <c r="K1362" i="5"/>
  <c r="G1362" i="5"/>
  <c r="B1362" i="5"/>
  <c r="E1362" i="5" s="1"/>
  <c r="A1362" i="5"/>
  <c r="K1361" i="5"/>
  <c r="G1361" i="5"/>
  <c r="B1361" i="5"/>
  <c r="E1361" i="5" s="1"/>
  <c r="A1361" i="5"/>
  <c r="K1360" i="5"/>
  <c r="G1360" i="5"/>
  <c r="B1360" i="5"/>
  <c r="E1360" i="5" s="1"/>
  <c r="A1360" i="5"/>
  <c r="K1359" i="5"/>
  <c r="G1359" i="5"/>
  <c r="B1359" i="5"/>
  <c r="E1359" i="5" s="1"/>
  <c r="A1359" i="5"/>
  <c r="K1358" i="5"/>
  <c r="G1358" i="5"/>
  <c r="B1358" i="5"/>
  <c r="E1358" i="5" s="1"/>
  <c r="A1358" i="5"/>
  <c r="K1357" i="5"/>
  <c r="G1357" i="5"/>
  <c r="B1357" i="5"/>
  <c r="E1357" i="5" s="1"/>
  <c r="A1357" i="5"/>
  <c r="K1356" i="5"/>
  <c r="G1356" i="5"/>
  <c r="B1356" i="5"/>
  <c r="E1356" i="5" s="1"/>
  <c r="A1356" i="5"/>
  <c r="K1355" i="5"/>
  <c r="G1355" i="5"/>
  <c r="B1355" i="5"/>
  <c r="E1355" i="5" s="1"/>
  <c r="A1355" i="5"/>
  <c r="K1354" i="5"/>
  <c r="G1354" i="5"/>
  <c r="B1354" i="5"/>
  <c r="E1354" i="5" s="1"/>
  <c r="A1354" i="5"/>
  <c r="K1353" i="5"/>
  <c r="G1353" i="5"/>
  <c r="B1353" i="5"/>
  <c r="E1353" i="5" s="1"/>
  <c r="A1353" i="5"/>
  <c r="K1352" i="5"/>
  <c r="G1352" i="5"/>
  <c r="B1352" i="5"/>
  <c r="E1352" i="5" s="1"/>
  <c r="A1352" i="5"/>
  <c r="K1351" i="5"/>
  <c r="G1351" i="5"/>
  <c r="B1351" i="5"/>
  <c r="E1351" i="5" s="1"/>
  <c r="A1351" i="5"/>
  <c r="K1350" i="5"/>
  <c r="G1350" i="5"/>
  <c r="B1350" i="5"/>
  <c r="E1350" i="5" s="1"/>
  <c r="A1350" i="5"/>
  <c r="K1349" i="5"/>
  <c r="G1349" i="5"/>
  <c r="B1349" i="5"/>
  <c r="E1349" i="5" s="1"/>
  <c r="A1349" i="5"/>
  <c r="K1348" i="5"/>
  <c r="G1348" i="5"/>
  <c r="B1348" i="5"/>
  <c r="E1348" i="5" s="1"/>
  <c r="A1348" i="5"/>
  <c r="K1347" i="5"/>
  <c r="G1347" i="5"/>
  <c r="B1347" i="5"/>
  <c r="E1347" i="5" s="1"/>
  <c r="A1347" i="5"/>
  <c r="K1346" i="5"/>
  <c r="G1346" i="5"/>
  <c r="B1346" i="5"/>
  <c r="E1346" i="5" s="1"/>
  <c r="A1346" i="5"/>
  <c r="K1345" i="5"/>
  <c r="G1345" i="5"/>
  <c r="B1345" i="5"/>
  <c r="E1345" i="5" s="1"/>
  <c r="A1345" i="5"/>
  <c r="K1344" i="5"/>
  <c r="G1344" i="5"/>
  <c r="B1344" i="5"/>
  <c r="E1344" i="5" s="1"/>
  <c r="A1344" i="5"/>
  <c r="K1343" i="5"/>
  <c r="G1343" i="5"/>
  <c r="B1343" i="5"/>
  <c r="E1343" i="5" s="1"/>
  <c r="A1343" i="5"/>
  <c r="K1342" i="5"/>
  <c r="G1342" i="5"/>
  <c r="B1342" i="5"/>
  <c r="E1342" i="5" s="1"/>
  <c r="A1342" i="5"/>
  <c r="K1341" i="5"/>
  <c r="G1341" i="5"/>
  <c r="B1341" i="5"/>
  <c r="E1341" i="5" s="1"/>
  <c r="A1341" i="5"/>
  <c r="K1340" i="5"/>
  <c r="G1340" i="5"/>
  <c r="B1340" i="5"/>
  <c r="E1340" i="5" s="1"/>
  <c r="A1340" i="5"/>
  <c r="K1339" i="5"/>
  <c r="G1339" i="5"/>
  <c r="B1339" i="5"/>
  <c r="E1339" i="5" s="1"/>
  <c r="A1339" i="5"/>
  <c r="K1338" i="5"/>
  <c r="G1338" i="5"/>
  <c r="B1338" i="5"/>
  <c r="E1338" i="5" s="1"/>
  <c r="A1338" i="5"/>
  <c r="K1337" i="5"/>
  <c r="G1337" i="5"/>
  <c r="B1337" i="5"/>
  <c r="E1337" i="5" s="1"/>
  <c r="A1337" i="5"/>
  <c r="K1336" i="5"/>
  <c r="G1336" i="5"/>
  <c r="B1336" i="5"/>
  <c r="E1336" i="5" s="1"/>
  <c r="A1336" i="5"/>
  <c r="K1335" i="5"/>
  <c r="G1335" i="5"/>
  <c r="B1335" i="5"/>
  <c r="E1335" i="5" s="1"/>
  <c r="A1335" i="5"/>
  <c r="K1334" i="5"/>
  <c r="G1334" i="5"/>
  <c r="B1334" i="5"/>
  <c r="E1334" i="5" s="1"/>
  <c r="A1334" i="5"/>
  <c r="K1333" i="5"/>
  <c r="G1333" i="5"/>
  <c r="B1333" i="5"/>
  <c r="E1333" i="5" s="1"/>
  <c r="A1333" i="5"/>
  <c r="K1332" i="5"/>
  <c r="G1332" i="5"/>
  <c r="B1332" i="5"/>
  <c r="E1332" i="5" s="1"/>
  <c r="A1332" i="5"/>
  <c r="K1331" i="5"/>
  <c r="G1331" i="5"/>
  <c r="B1331" i="5"/>
  <c r="E1331" i="5" s="1"/>
  <c r="A1331" i="5"/>
  <c r="K1330" i="5"/>
  <c r="G1330" i="5"/>
  <c r="B1330" i="5"/>
  <c r="E1330" i="5" s="1"/>
  <c r="A1330" i="5"/>
  <c r="K1329" i="5"/>
  <c r="G1329" i="5"/>
  <c r="B1329" i="5"/>
  <c r="E1329" i="5" s="1"/>
  <c r="A1329" i="5"/>
  <c r="K1328" i="5"/>
  <c r="G1328" i="5"/>
  <c r="B1328" i="5"/>
  <c r="E1328" i="5" s="1"/>
  <c r="A1328" i="5"/>
  <c r="K1327" i="5"/>
  <c r="G1327" i="5"/>
  <c r="B1327" i="5"/>
  <c r="E1327" i="5" s="1"/>
  <c r="A1327" i="5"/>
  <c r="K1326" i="5"/>
  <c r="G1326" i="5"/>
  <c r="B1326" i="5"/>
  <c r="E1326" i="5" s="1"/>
  <c r="A1326" i="5"/>
  <c r="K1325" i="5"/>
  <c r="G1325" i="5"/>
  <c r="B1325" i="5"/>
  <c r="E1325" i="5" s="1"/>
  <c r="A1325" i="5"/>
  <c r="K1324" i="5"/>
  <c r="G1324" i="5"/>
  <c r="B1324" i="5"/>
  <c r="E1324" i="5" s="1"/>
  <c r="A1324" i="5"/>
  <c r="K1323" i="5"/>
  <c r="G1323" i="5"/>
  <c r="B1323" i="5"/>
  <c r="E1323" i="5" s="1"/>
  <c r="A1323" i="5"/>
  <c r="K1322" i="5"/>
  <c r="G1322" i="5"/>
  <c r="B1322" i="5"/>
  <c r="E1322" i="5" s="1"/>
  <c r="A1322" i="5"/>
  <c r="K1321" i="5"/>
  <c r="G1321" i="5"/>
  <c r="B1321" i="5"/>
  <c r="E1321" i="5" s="1"/>
  <c r="A1321" i="5"/>
  <c r="K1320" i="5"/>
  <c r="G1320" i="5"/>
  <c r="B1320" i="5"/>
  <c r="E1320" i="5" s="1"/>
  <c r="A1320" i="5"/>
  <c r="K1319" i="5"/>
  <c r="G1319" i="5"/>
  <c r="B1319" i="5"/>
  <c r="E1319" i="5" s="1"/>
  <c r="A1319" i="5"/>
  <c r="K1318" i="5"/>
  <c r="G1318" i="5"/>
  <c r="B1318" i="5"/>
  <c r="E1318" i="5" s="1"/>
  <c r="A1318" i="5"/>
  <c r="K1317" i="5"/>
  <c r="G1317" i="5"/>
  <c r="B1317" i="5"/>
  <c r="E1317" i="5" s="1"/>
  <c r="A1317" i="5"/>
  <c r="K1316" i="5"/>
  <c r="G1316" i="5"/>
  <c r="B1316" i="5"/>
  <c r="E1316" i="5" s="1"/>
  <c r="A1316" i="5"/>
  <c r="K1315" i="5"/>
  <c r="G1315" i="5"/>
  <c r="B1315" i="5"/>
  <c r="E1315" i="5" s="1"/>
  <c r="A1315" i="5"/>
  <c r="K1314" i="5"/>
  <c r="G1314" i="5"/>
  <c r="B1314" i="5"/>
  <c r="E1314" i="5" s="1"/>
  <c r="A1314" i="5"/>
  <c r="K1313" i="5"/>
  <c r="G1313" i="5"/>
  <c r="B1313" i="5"/>
  <c r="E1313" i="5" s="1"/>
  <c r="A1313" i="5"/>
  <c r="K1312" i="5"/>
  <c r="G1312" i="5"/>
  <c r="B1312" i="5"/>
  <c r="E1312" i="5" s="1"/>
  <c r="A1312" i="5"/>
  <c r="K1311" i="5"/>
  <c r="G1311" i="5"/>
  <c r="B1311" i="5"/>
  <c r="E1311" i="5" s="1"/>
  <c r="A1311" i="5"/>
  <c r="K1310" i="5"/>
  <c r="G1310" i="5"/>
  <c r="B1310" i="5"/>
  <c r="E1310" i="5" s="1"/>
  <c r="A1310" i="5"/>
  <c r="K1309" i="5"/>
  <c r="G1309" i="5"/>
  <c r="B1309" i="5"/>
  <c r="E1309" i="5" s="1"/>
  <c r="A1309" i="5"/>
  <c r="K1308" i="5"/>
  <c r="G1308" i="5"/>
  <c r="B1308" i="5"/>
  <c r="E1308" i="5" s="1"/>
  <c r="A1308" i="5"/>
  <c r="K1307" i="5"/>
  <c r="G1307" i="5"/>
  <c r="B1307" i="5"/>
  <c r="E1307" i="5" s="1"/>
  <c r="A1307" i="5"/>
  <c r="K1306" i="5"/>
  <c r="G1306" i="5"/>
  <c r="B1306" i="5"/>
  <c r="E1306" i="5" s="1"/>
  <c r="A1306" i="5"/>
  <c r="K1305" i="5"/>
  <c r="G1305" i="5"/>
  <c r="B1305" i="5"/>
  <c r="E1305" i="5" s="1"/>
  <c r="A1305" i="5"/>
  <c r="K1304" i="5"/>
  <c r="G1304" i="5"/>
  <c r="B1304" i="5"/>
  <c r="E1304" i="5" s="1"/>
  <c r="A1304" i="5"/>
  <c r="K1303" i="5"/>
  <c r="G1303" i="5"/>
  <c r="B1303" i="5"/>
  <c r="E1303" i="5" s="1"/>
  <c r="A1303" i="5"/>
  <c r="K1302" i="5"/>
  <c r="G1302" i="5"/>
  <c r="B1302" i="5"/>
  <c r="E1302" i="5" s="1"/>
  <c r="A1302" i="5"/>
  <c r="K1301" i="5"/>
  <c r="G1301" i="5"/>
  <c r="B1301" i="5"/>
  <c r="E1301" i="5" s="1"/>
  <c r="A1301" i="5"/>
  <c r="K1300" i="5"/>
  <c r="G1300" i="5"/>
  <c r="B1300" i="5"/>
  <c r="E1300" i="5" s="1"/>
  <c r="A1300" i="5"/>
  <c r="K1299" i="5"/>
  <c r="G1299" i="5"/>
  <c r="B1299" i="5"/>
  <c r="E1299" i="5" s="1"/>
  <c r="A1299" i="5"/>
  <c r="K1298" i="5"/>
  <c r="G1298" i="5"/>
  <c r="B1298" i="5"/>
  <c r="E1298" i="5" s="1"/>
  <c r="A1298" i="5"/>
  <c r="K1297" i="5"/>
  <c r="G1297" i="5"/>
  <c r="B1297" i="5"/>
  <c r="E1297" i="5" s="1"/>
  <c r="A1297" i="5"/>
  <c r="K1296" i="5"/>
  <c r="G1296" i="5"/>
  <c r="B1296" i="5"/>
  <c r="E1296" i="5" s="1"/>
  <c r="A1296" i="5"/>
  <c r="K1295" i="5"/>
  <c r="G1295" i="5"/>
  <c r="B1295" i="5"/>
  <c r="E1295" i="5" s="1"/>
  <c r="A1295" i="5"/>
  <c r="K1294" i="5"/>
  <c r="G1294" i="5"/>
  <c r="B1294" i="5"/>
  <c r="E1294" i="5" s="1"/>
  <c r="A1294" i="5"/>
  <c r="K1293" i="5"/>
  <c r="G1293" i="5"/>
  <c r="B1293" i="5"/>
  <c r="E1293" i="5" s="1"/>
  <c r="A1293" i="5"/>
  <c r="K1292" i="5"/>
  <c r="G1292" i="5"/>
  <c r="B1292" i="5"/>
  <c r="E1292" i="5" s="1"/>
  <c r="A1292" i="5"/>
  <c r="K1291" i="5"/>
  <c r="G1291" i="5"/>
  <c r="B1291" i="5"/>
  <c r="E1291" i="5" s="1"/>
  <c r="A1291" i="5"/>
  <c r="K1290" i="5"/>
  <c r="G1290" i="5"/>
  <c r="B1290" i="5"/>
  <c r="E1290" i="5" s="1"/>
  <c r="A1290" i="5"/>
  <c r="K1289" i="5"/>
  <c r="G1289" i="5"/>
  <c r="B1289" i="5"/>
  <c r="E1289" i="5" s="1"/>
  <c r="A1289" i="5"/>
  <c r="K1288" i="5"/>
  <c r="G1288" i="5"/>
  <c r="B1288" i="5"/>
  <c r="E1288" i="5" s="1"/>
  <c r="A1288" i="5"/>
  <c r="K1287" i="5"/>
  <c r="G1287" i="5"/>
  <c r="B1287" i="5"/>
  <c r="E1287" i="5" s="1"/>
  <c r="A1287" i="5"/>
  <c r="K1286" i="5"/>
  <c r="G1286" i="5"/>
  <c r="B1286" i="5"/>
  <c r="E1286" i="5" s="1"/>
  <c r="A1286" i="5"/>
  <c r="K1285" i="5"/>
  <c r="G1285" i="5"/>
  <c r="B1285" i="5"/>
  <c r="E1285" i="5" s="1"/>
  <c r="A1285" i="5"/>
  <c r="K1284" i="5"/>
  <c r="G1284" i="5"/>
  <c r="B1284" i="5"/>
  <c r="E1284" i="5" s="1"/>
  <c r="A1284" i="5"/>
  <c r="K1283" i="5"/>
  <c r="G1283" i="5"/>
  <c r="B1283" i="5"/>
  <c r="E1283" i="5" s="1"/>
  <c r="A1283" i="5"/>
  <c r="K1282" i="5"/>
  <c r="G1282" i="5"/>
  <c r="B1282" i="5"/>
  <c r="E1282" i="5" s="1"/>
  <c r="A1282" i="5"/>
  <c r="K1281" i="5"/>
  <c r="G1281" i="5"/>
  <c r="B1281" i="5"/>
  <c r="E1281" i="5" s="1"/>
  <c r="A1281" i="5"/>
  <c r="K1280" i="5"/>
  <c r="G1280" i="5"/>
  <c r="B1280" i="5"/>
  <c r="E1280" i="5" s="1"/>
  <c r="A1280" i="5"/>
  <c r="K1279" i="5"/>
  <c r="G1279" i="5"/>
  <c r="B1279" i="5"/>
  <c r="E1279" i="5" s="1"/>
  <c r="A1279" i="5"/>
  <c r="K1278" i="5"/>
  <c r="G1278" i="5"/>
  <c r="B1278" i="5"/>
  <c r="E1278" i="5" s="1"/>
  <c r="A1278" i="5"/>
  <c r="K1277" i="5"/>
  <c r="G1277" i="5"/>
  <c r="B1277" i="5"/>
  <c r="E1277" i="5" s="1"/>
  <c r="A1277" i="5"/>
  <c r="K1276" i="5"/>
  <c r="G1276" i="5"/>
  <c r="B1276" i="5"/>
  <c r="E1276" i="5" s="1"/>
  <c r="A1276" i="5"/>
  <c r="K1275" i="5"/>
  <c r="G1275" i="5"/>
  <c r="B1275" i="5"/>
  <c r="E1275" i="5" s="1"/>
  <c r="A1275" i="5"/>
  <c r="K1274" i="5"/>
  <c r="G1274" i="5"/>
  <c r="B1274" i="5"/>
  <c r="E1274" i="5" s="1"/>
  <c r="A1274" i="5"/>
  <c r="K1273" i="5"/>
  <c r="G1273" i="5"/>
  <c r="B1273" i="5"/>
  <c r="E1273" i="5" s="1"/>
  <c r="A1273" i="5"/>
  <c r="K1272" i="5"/>
  <c r="G1272" i="5"/>
  <c r="B1272" i="5"/>
  <c r="E1272" i="5" s="1"/>
  <c r="A1272" i="5"/>
  <c r="K1271" i="5"/>
  <c r="G1271" i="5"/>
  <c r="B1271" i="5"/>
  <c r="E1271" i="5" s="1"/>
  <c r="A1271" i="5"/>
  <c r="K1270" i="5"/>
  <c r="G1270" i="5"/>
  <c r="B1270" i="5"/>
  <c r="E1270" i="5" s="1"/>
  <c r="A1270" i="5"/>
  <c r="K1269" i="5"/>
  <c r="G1269" i="5"/>
  <c r="B1269" i="5"/>
  <c r="E1269" i="5" s="1"/>
  <c r="A1269" i="5"/>
  <c r="K1268" i="5"/>
  <c r="G1268" i="5"/>
  <c r="B1268" i="5"/>
  <c r="E1268" i="5" s="1"/>
  <c r="A1268" i="5"/>
  <c r="K1267" i="5"/>
  <c r="G1267" i="5"/>
  <c r="B1267" i="5"/>
  <c r="E1267" i="5" s="1"/>
  <c r="A1267" i="5"/>
  <c r="K1266" i="5"/>
  <c r="G1266" i="5"/>
  <c r="B1266" i="5"/>
  <c r="E1266" i="5" s="1"/>
  <c r="A1266" i="5"/>
  <c r="K1265" i="5"/>
  <c r="G1265" i="5"/>
  <c r="B1265" i="5"/>
  <c r="E1265" i="5" s="1"/>
  <c r="A1265" i="5"/>
  <c r="K1264" i="5"/>
  <c r="G1264" i="5"/>
  <c r="B1264" i="5"/>
  <c r="E1264" i="5" s="1"/>
  <c r="A1264" i="5"/>
  <c r="K1263" i="5"/>
  <c r="G1263" i="5"/>
  <c r="B1263" i="5"/>
  <c r="E1263" i="5" s="1"/>
  <c r="A1263" i="5"/>
  <c r="K1262" i="5"/>
  <c r="G1262" i="5"/>
  <c r="B1262" i="5"/>
  <c r="E1262" i="5" s="1"/>
  <c r="A1262" i="5"/>
  <c r="K1261" i="5"/>
  <c r="G1261" i="5"/>
  <c r="B1261" i="5"/>
  <c r="E1261" i="5" s="1"/>
  <c r="A1261" i="5"/>
  <c r="K1260" i="5"/>
  <c r="G1260" i="5"/>
  <c r="B1260" i="5"/>
  <c r="E1260" i="5" s="1"/>
  <c r="A1260" i="5"/>
  <c r="K1259" i="5"/>
  <c r="G1259" i="5"/>
  <c r="B1259" i="5"/>
  <c r="E1259" i="5" s="1"/>
  <c r="A1259" i="5"/>
  <c r="K1258" i="5"/>
  <c r="G1258" i="5"/>
  <c r="B1258" i="5"/>
  <c r="E1258" i="5" s="1"/>
  <c r="A1258" i="5"/>
  <c r="K1257" i="5"/>
  <c r="G1257" i="5"/>
  <c r="B1257" i="5"/>
  <c r="E1257" i="5" s="1"/>
  <c r="A1257" i="5"/>
  <c r="K1256" i="5"/>
  <c r="G1256" i="5"/>
  <c r="B1256" i="5"/>
  <c r="E1256" i="5" s="1"/>
  <c r="A1256" i="5"/>
  <c r="K1255" i="5"/>
  <c r="G1255" i="5"/>
  <c r="B1255" i="5"/>
  <c r="E1255" i="5" s="1"/>
  <c r="A1255" i="5"/>
  <c r="K1254" i="5"/>
  <c r="G1254" i="5"/>
  <c r="B1254" i="5"/>
  <c r="E1254" i="5" s="1"/>
  <c r="A1254" i="5"/>
  <c r="K1253" i="5"/>
  <c r="G1253" i="5"/>
  <c r="B1253" i="5"/>
  <c r="E1253" i="5" s="1"/>
  <c r="A1253" i="5"/>
  <c r="K1252" i="5"/>
  <c r="G1252" i="5"/>
  <c r="B1252" i="5"/>
  <c r="E1252" i="5" s="1"/>
  <c r="A1252" i="5"/>
  <c r="K1251" i="5"/>
  <c r="G1251" i="5"/>
  <c r="B1251" i="5"/>
  <c r="E1251" i="5" s="1"/>
  <c r="A1251" i="5"/>
  <c r="K1250" i="5"/>
  <c r="G1250" i="5"/>
  <c r="B1250" i="5"/>
  <c r="E1250" i="5" s="1"/>
  <c r="A1250" i="5"/>
  <c r="K1249" i="5"/>
  <c r="G1249" i="5"/>
  <c r="B1249" i="5"/>
  <c r="E1249" i="5" s="1"/>
  <c r="A1249" i="5"/>
  <c r="K1248" i="5"/>
  <c r="G1248" i="5"/>
  <c r="B1248" i="5"/>
  <c r="E1248" i="5" s="1"/>
  <c r="A1248" i="5"/>
  <c r="K1247" i="5"/>
  <c r="G1247" i="5"/>
  <c r="B1247" i="5"/>
  <c r="E1247" i="5" s="1"/>
  <c r="A1247" i="5"/>
  <c r="K1246" i="5"/>
  <c r="G1246" i="5"/>
  <c r="B1246" i="5"/>
  <c r="E1246" i="5" s="1"/>
  <c r="A1246" i="5"/>
  <c r="K1245" i="5"/>
  <c r="G1245" i="5"/>
  <c r="B1245" i="5"/>
  <c r="E1245" i="5" s="1"/>
  <c r="A1245" i="5"/>
  <c r="K1244" i="5"/>
  <c r="G1244" i="5"/>
  <c r="B1244" i="5"/>
  <c r="E1244" i="5" s="1"/>
  <c r="A1244" i="5"/>
  <c r="K1243" i="5"/>
  <c r="G1243" i="5"/>
  <c r="B1243" i="5"/>
  <c r="E1243" i="5" s="1"/>
  <c r="A1243" i="5"/>
  <c r="K1242" i="5"/>
  <c r="G1242" i="5"/>
  <c r="B1242" i="5"/>
  <c r="E1242" i="5" s="1"/>
  <c r="A1242" i="5"/>
  <c r="K1241" i="5"/>
  <c r="G1241" i="5"/>
  <c r="B1241" i="5"/>
  <c r="E1241" i="5" s="1"/>
  <c r="A1241" i="5"/>
  <c r="K1240" i="5"/>
  <c r="G1240" i="5"/>
  <c r="B1240" i="5"/>
  <c r="E1240" i="5" s="1"/>
  <c r="A1240" i="5"/>
  <c r="K1239" i="5"/>
  <c r="G1239" i="5"/>
  <c r="B1239" i="5"/>
  <c r="E1239" i="5" s="1"/>
  <c r="A1239" i="5"/>
  <c r="K1238" i="5"/>
  <c r="G1238" i="5"/>
  <c r="B1238" i="5"/>
  <c r="E1238" i="5" s="1"/>
  <c r="A1238" i="5"/>
  <c r="K1237" i="5"/>
  <c r="G1237" i="5"/>
  <c r="B1237" i="5"/>
  <c r="E1237" i="5" s="1"/>
  <c r="A1237" i="5"/>
  <c r="K1236" i="5"/>
  <c r="G1236" i="5"/>
  <c r="B1236" i="5"/>
  <c r="E1236" i="5" s="1"/>
  <c r="A1236" i="5"/>
  <c r="K1235" i="5"/>
  <c r="G1235" i="5"/>
  <c r="B1235" i="5"/>
  <c r="E1235" i="5" s="1"/>
  <c r="A1235" i="5"/>
  <c r="K1234" i="5"/>
  <c r="G1234" i="5"/>
  <c r="B1234" i="5"/>
  <c r="E1234" i="5" s="1"/>
  <c r="A1234" i="5"/>
  <c r="K1233" i="5"/>
  <c r="G1233" i="5"/>
  <c r="B1233" i="5"/>
  <c r="E1233" i="5" s="1"/>
  <c r="A1233" i="5"/>
  <c r="K1232" i="5"/>
  <c r="G1232" i="5"/>
  <c r="B1232" i="5"/>
  <c r="E1232" i="5" s="1"/>
  <c r="A1232" i="5"/>
  <c r="K1231" i="5"/>
  <c r="G1231" i="5"/>
  <c r="B1231" i="5"/>
  <c r="E1231" i="5" s="1"/>
  <c r="A1231" i="5"/>
  <c r="K1230" i="5"/>
  <c r="G1230" i="5"/>
  <c r="B1230" i="5"/>
  <c r="E1230" i="5" s="1"/>
  <c r="A1230" i="5"/>
  <c r="K1229" i="5"/>
  <c r="G1229" i="5"/>
  <c r="B1229" i="5"/>
  <c r="E1229" i="5" s="1"/>
  <c r="A1229" i="5"/>
  <c r="K1228" i="5"/>
  <c r="G1228" i="5"/>
  <c r="B1228" i="5"/>
  <c r="E1228" i="5" s="1"/>
  <c r="A1228" i="5"/>
  <c r="K1227" i="5"/>
  <c r="G1227" i="5"/>
  <c r="B1227" i="5"/>
  <c r="E1227" i="5" s="1"/>
  <c r="A1227" i="5"/>
  <c r="K1226" i="5"/>
  <c r="G1226" i="5"/>
  <c r="B1226" i="5"/>
  <c r="E1226" i="5" s="1"/>
  <c r="A1226" i="5"/>
  <c r="K1225" i="5"/>
  <c r="G1225" i="5"/>
  <c r="B1225" i="5"/>
  <c r="E1225" i="5" s="1"/>
  <c r="A1225" i="5"/>
  <c r="K1224" i="5"/>
  <c r="G1224" i="5"/>
  <c r="B1224" i="5"/>
  <c r="E1224" i="5" s="1"/>
  <c r="A1224" i="5"/>
  <c r="K1223" i="5"/>
  <c r="G1223" i="5"/>
  <c r="B1223" i="5"/>
  <c r="E1223" i="5" s="1"/>
  <c r="A1223" i="5"/>
  <c r="K1222" i="5"/>
  <c r="G1222" i="5"/>
  <c r="B1222" i="5"/>
  <c r="E1222" i="5" s="1"/>
  <c r="A1222" i="5"/>
  <c r="K1221" i="5"/>
  <c r="G1221" i="5"/>
  <c r="B1221" i="5"/>
  <c r="E1221" i="5" s="1"/>
  <c r="A1221" i="5"/>
  <c r="K1220" i="5"/>
  <c r="G1220" i="5"/>
  <c r="B1220" i="5"/>
  <c r="E1220" i="5" s="1"/>
  <c r="A1220" i="5"/>
  <c r="K1219" i="5"/>
  <c r="G1219" i="5"/>
  <c r="B1219" i="5"/>
  <c r="E1219" i="5" s="1"/>
  <c r="A1219" i="5"/>
  <c r="K1218" i="5"/>
  <c r="G1218" i="5"/>
  <c r="B1218" i="5"/>
  <c r="E1218" i="5" s="1"/>
  <c r="A1218" i="5"/>
  <c r="K1217" i="5"/>
  <c r="G1217" i="5"/>
  <c r="B1217" i="5"/>
  <c r="E1217" i="5" s="1"/>
  <c r="A1217" i="5"/>
  <c r="K1216" i="5"/>
  <c r="G1216" i="5"/>
  <c r="B1216" i="5"/>
  <c r="E1216" i="5" s="1"/>
  <c r="A1216" i="5"/>
  <c r="K1215" i="5"/>
  <c r="G1215" i="5"/>
  <c r="B1215" i="5"/>
  <c r="E1215" i="5" s="1"/>
  <c r="A1215" i="5"/>
  <c r="K1214" i="5"/>
  <c r="G1214" i="5"/>
  <c r="B1214" i="5"/>
  <c r="E1214" i="5" s="1"/>
  <c r="A1214" i="5"/>
  <c r="K1213" i="5"/>
  <c r="G1213" i="5"/>
  <c r="B1213" i="5"/>
  <c r="E1213" i="5" s="1"/>
  <c r="A1213" i="5"/>
  <c r="K1212" i="5"/>
  <c r="G1212" i="5"/>
  <c r="B1212" i="5"/>
  <c r="E1212" i="5" s="1"/>
  <c r="A1212" i="5"/>
  <c r="K1211" i="5"/>
  <c r="G1211" i="5"/>
  <c r="B1211" i="5"/>
  <c r="E1211" i="5" s="1"/>
  <c r="A1211" i="5"/>
  <c r="K1210" i="5"/>
  <c r="G1210" i="5"/>
  <c r="B1210" i="5"/>
  <c r="E1210" i="5" s="1"/>
  <c r="A1210" i="5"/>
  <c r="K1209" i="5"/>
  <c r="G1209" i="5"/>
  <c r="B1209" i="5"/>
  <c r="E1209" i="5" s="1"/>
  <c r="A1209" i="5"/>
  <c r="K1208" i="5"/>
  <c r="G1208" i="5"/>
  <c r="B1208" i="5"/>
  <c r="E1208" i="5" s="1"/>
  <c r="A1208" i="5"/>
  <c r="K1207" i="5"/>
  <c r="G1207" i="5"/>
  <c r="B1207" i="5"/>
  <c r="E1207" i="5" s="1"/>
  <c r="A1207" i="5"/>
  <c r="K1206" i="5"/>
  <c r="G1206" i="5"/>
  <c r="B1206" i="5"/>
  <c r="E1206" i="5" s="1"/>
  <c r="A1206" i="5"/>
  <c r="K1205" i="5"/>
  <c r="G1205" i="5"/>
  <c r="B1205" i="5"/>
  <c r="E1205" i="5" s="1"/>
  <c r="A1205" i="5"/>
  <c r="K1204" i="5"/>
  <c r="G1204" i="5"/>
  <c r="B1204" i="5"/>
  <c r="E1204" i="5" s="1"/>
  <c r="A1204" i="5"/>
  <c r="K1203" i="5"/>
  <c r="G1203" i="5"/>
  <c r="B1203" i="5"/>
  <c r="E1203" i="5" s="1"/>
  <c r="A1203" i="5"/>
  <c r="K1202" i="5"/>
  <c r="G1202" i="5"/>
  <c r="B1202" i="5"/>
  <c r="E1202" i="5" s="1"/>
  <c r="A1202" i="5"/>
  <c r="K1201" i="5"/>
  <c r="G1201" i="5"/>
  <c r="B1201" i="5"/>
  <c r="E1201" i="5" s="1"/>
  <c r="A1201" i="5"/>
  <c r="K1200" i="5"/>
  <c r="G1200" i="5"/>
  <c r="B1200" i="5"/>
  <c r="E1200" i="5" s="1"/>
  <c r="A1200" i="5"/>
  <c r="K1199" i="5"/>
  <c r="G1199" i="5"/>
  <c r="B1199" i="5"/>
  <c r="E1199" i="5" s="1"/>
  <c r="A1199" i="5"/>
  <c r="K1198" i="5"/>
  <c r="G1198" i="5"/>
  <c r="B1198" i="5"/>
  <c r="E1198" i="5" s="1"/>
  <c r="A1198" i="5"/>
  <c r="K1197" i="5"/>
  <c r="G1197" i="5"/>
  <c r="B1197" i="5"/>
  <c r="E1197" i="5" s="1"/>
  <c r="A1197" i="5"/>
  <c r="K1196" i="5"/>
  <c r="G1196" i="5"/>
  <c r="B1196" i="5"/>
  <c r="E1196" i="5" s="1"/>
  <c r="A1196" i="5"/>
  <c r="K1195" i="5"/>
  <c r="G1195" i="5"/>
  <c r="B1195" i="5"/>
  <c r="E1195" i="5" s="1"/>
  <c r="A1195" i="5"/>
  <c r="K1194" i="5"/>
  <c r="G1194" i="5"/>
  <c r="B1194" i="5"/>
  <c r="E1194" i="5" s="1"/>
  <c r="A1194" i="5"/>
  <c r="K1193" i="5"/>
  <c r="G1193" i="5"/>
  <c r="B1193" i="5"/>
  <c r="E1193" i="5" s="1"/>
  <c r="A1193" i="5"/>
  <c r="K1192" i="5"/>
  <c r="G1192" i="5"/>
  <c r="B1192" i="5"/>
  <c r="E1192" i="5" s="1"/>
  <c r="A1192" i="5"/>
  <c r="K1191" i="5"/>
  <c r="G1191" i="5"/>
  <c r="B1191" i="5"/>
  <c r="E1191" i="5" s="1"/>
  <c r="A1191" i="5"/>
  <c r="K1190" i="5"/>
  <c r="G1190" i="5"/>
  <c r="B1190" i="5"/>
  <c r="E1190" i="5" s="1"/>
  <c r="A1190" i="5"/>
  <c r="K1189" i="5"/>
  <c r="G1189" i="5"/>
  <c r="B1189" i="5"/>
  <c r="E1189" i="5" s="1"/>
  <c r="A1189" i="5"/>
  <c r="K1188" i="5"/>
  <c r="G1188" i="5"/>
  <c r="B1188" i="5"/>
  <c r="E1188" i="5" s="1"/>
  <c r="A1188" i="5"/>
  <c r="K1187" i="5"/>
  <c r="G1187" i="5"/>
  <c r="B1187" i="5"/>
  <c r="E1187" i="5" s="1"/>
  <c r="A1187" i="5"/>
  <c r="K1186" i="5"/>
  <c r="G1186" i="5"/>
  <c r="B1186" i="5"/>
  <c r="E1186" i="5" s="1"/>
  <c r="A1186" i="5"/>
  <c r="K1185" i="5"/>
  <c r="G1185" i="5"/>
  <c r="B1185" i="5"/>
  <c r="E1185" i="5" s="1"/>
  <c r="A1185" i="5"/>
  <c r="K1184" i="5"/>
  <c r="G1184" i="5"/>
  <c r="B1184" i="5"/>
  <c r="E1184" i="5" s="1"/>
  <c r="A1184" i="5"/>
  <c r="K1183" i="5"/>
  <c r="G1183" i="5"/>
  <c r="B1183" i="5"/>
  <c r="E1183" i="5" s="1"/>
  <c r="A1183" i="5"/>
  <c r="K1182" i="5"/>
  <c r="G1182" i="5"/>
  <c r="B1182" i="5"/>
  <c r="E1182" i="5" s="1"/>
  <c r="A1182" i="5"/>
  <c r="K1181" i="5"/>
  <c r="G1181" i="5"/>
  <c r="B1181" i="5"/>
  <c r="E1181" i="5" s="1"/>
  <c r="A1181" i="5"/>
  <c r="K1180" i="5"/>
  <c r="G1180" i="5"/>
  <c r="B1180" i="5"/>
  <c r="E1180" i="5" s="1"/>
  <c r="A1180" i="5"/>
  <c r="K1179" i="5"/>
  <c r="G1179" i="5"/>
  <c r="B1179" i="5"/>
  <c r="E1179" i="5" s="1"/>
  <c r="A1179" i="5"/>
  <c r="K1178" i="5"/>
  <c r="G1178" i="5"/>
  <c r="B1178" i="5"/>
  <c r="E1178" i="5" s="1"/>
  <c r="A1178" i="5"/>
  <c r="K1177" i="5"/>
  <c r="G1177" i="5"/>
  <c r="B1177" i="5"/>
  <c r="E1177" i="5" s="1"/>
  <c r="A1177" i="5"/>
  <c r="K1176" i="5"/>
  <c r="G1176" i="5"/>
  <c r="B1176" i="5"/>
  <c r="E1176" i="5" s="1"/>
  <c r="A1176" i="5"/>
  <c r="K1175" i="5"/>
  <c r="G1175" i="5"/>
  <c r="B1175" i="5"/>
  <c r="E1175" i="5" s="1"/>
  <c r="A1175" i="5"/>
  <c r="K1174" i="5"/>
  <c r="G1174" i="5"/>
  <c r="B1174" i="5"/>
  <c r="E1174" i="5" s="1"/>
  <c r="A1174" i="5"/>
  <c r="K1173" i="5"/>
  <c r="G1173" i="5"/>
  <c r="B1173" i="5"/>
  <c r="E1173" i="5" s="1"/>
  <c r="A1173" i="5"/>
  <c r="K1172" i="5"/>
  <c r="G1172" i="5"/>
  <c r="B1172" i="5"/>
  <c r="E1172" i="5" s="1"/>
  <c r="A1172" i="5"/>
  <c r="K1171" i="5"/>
  <c r="G1171" i="5"/>
  <c r="B1171" i="5"/>
  <c r="E1171" i="5" s="1"/>
  <c r="A1171" i="5"/>
  <c r="K1170" i="5"/>
  <c r="G1170" i="5"/>
  <c r="B1170" i="5"/>
  <c r="E1170" i="5" s="1"/>
  <c r="A1170" i="5"/>
  <c r="K1169" i="5"/>
  <c r="G1169" i="5"/>
  <c r="B1169" i="5"/>
  <c r="E1169" i="5" s="1"/>
  <c r="A1169" i="5"/>
  <c r="K1168" i="5"/>
  <c r="G1168" i="5"/>
  <c r="B1168" i="5"/>
  <c r="E1168" i="5" s="1"/>
  <c r="A1168" i="5"/>
  <c r="K1167" i="5"/>
  <c r="G1167" i="5"/>
  <c r="B1167" i="5"/>
  <c r="E1167" i="5" s="1"/>
  <c r="A1167" i="5"/>
  <c r="K1166" i="5"/>
  <c r="G1166" i="5"/>
  <c r="B1166" i="5"/>
  <c r="E1166" i="5" s="1"/>
  <c r="A1166" i="5"/>
  <c r="K1165" i="5"/>
  <c r="G1165" i="5"/>
  <c r="B1165" i="5"/>
  <c r="E1165" i="5" s="1"/>
  <c r="A1165" i="5"/>
  <c r="K1164" i="5"/>
  <c r="G1164" i="5"/>
  <c r="B1164" i="5"/>
  <c r="E1164" i="5" s="1"/>
  <c r="A1164" i="5"/>
  <c r="K1163" i="5"/>
  <c r="G1163" i="5"/>
  <c r="B1163" i="5"/>
  <c r="E1163" i="5" s="1"/>
  <c r="A1163" i="5"/>
  <c r="K1162" i="5"/>
  <c r="G1162" i="5"/>
  <c r="B1162" i="5"/>
  <c r="E1162" i="5" s="1"/>
  <c r="A1162" i="5"/>
  <c r="K1161" i="5"/>
  <c r="G1161" i="5"/>
  <c r="B1161" i="5"/>
  <c r="E1161" i="5" s="1"/>
  <c r="A1161" i="5"/>
  <c r="K1160" i="5"/>
  <c r="G1160" i="5"/>
  <c r="B1160" i="5"/>
  <c r="E1160" i="5" s="1"/>
  <c r="A1160" i="5"/>
  <c r="K1159" i="5"/>
  <c r="G1159" i="5"/>
  <c r="B1159" i="5"/>
  <c r="E1159" i="5" s="1"/>
  <c r="A1159" i="5"/>
  <c r="K1158" i="5"/>
  <c r="G1158" i="5"/>
  <c r="B1158" i="5"/>
  <c r="E1158" i="5" s="1"/>
  <c r="A1158" i="5"/>
  <c r="K1157" i="5"/>
  <c r="G1157" i="5"/>
  <c r="B1157" i="5"/>
  <c r="E1157" i="5" s="1"/>
  <c r="A1157" i="5"/>
  <c r="K1156" i="5"/>
  <c r="G1156" i="5"/>
  <c r="B1156" i="5"/>
  <c r="E1156" i="5" s="1"/>
  <c r="A1156" i="5"/>
  <c r="K1155" i="5"/>
  <c r="G1155" i="5"/>
  <c r="B1155" i="5"/>
  <c r="E1155" i="5" s="1"/>
  <c r="A1155" i="5"/>
  <c r="K1154" i="5"/>
  <c r="G1154" i="5"/>
  <c r="B1154" i="5"/>
  <c r="E1154" i="5" s="1"/>
  <c r="A1154" i="5"/>
  <c r="K1153" i="5"/>
  <c r="G1153" i="5"/>
  <c r="B1153" i="5"/>
  <c r="E1153" i="5" s="1"/>
  <c r="A1153" i="5"/>
  <c r="K1152" i="5"/>
  <c r="G1152" i="5"/>
  <c r="B1152" i="5"/>
  <c r="E1152" i="5" s="1"/>
  <c r="A1152" i="5"/>
  <c r="K1151" i="5"/>
  <c r="G1151" i="5"/>
  <c r="B1151" i="5"/>
  <c r="E1151" i="5" s="1"/>
  <c r="A1151" i="5"/>
  <c r="K1150" i="5"/>
  <c r="G1150" i="5"/>
  <c r="B1150" i="5"/>
  <c r="E1150" i="5" s="1"/>
  <c r="A1150" i="5"/>
  <c r="K1149" i="5"/>
  <c r="G1149" i="5"/>
  <c r="B1149" i="5"/>
  <c r="E1149" i="5" s="1"/>
  <c r="A1149" i="5"/>
  <c r="K1148" i="5"/>
  <c r="G1148" i="5"/>
  <c r="B1148" i="5"/>
  <c r="E1148" i="5" s="1"/>
  <c r="A1148" i="5"/>
  <c r="K1147" i="5"/>
  <c r="G1147" i="5"/>
  <c r="B1147" i="5"/>
  <c r="E1147" i="5" s="1"/>
  <c r="A1147" i="5"/>
  <c r="K1146" i="5"/>
  <c r="G1146" i="5"/>
  <c r="B1146" i="5"/>
  <c r="E1146" i="5" s="1"/>
  <c r="A1146" i="5"/>
  <c r="K1145" i="5"/>
  <c r="G1145" i="5"/>
  <c r="B1145" i="5"/>
  <c r="E1145" i="5" s="1"/>
  <c r="A1145" i="5"/>
  <c r="K1144" i="5"/>
  <c r="G1144" i="5"/>
  <c r="B1144" i="5"/>
  <c r="E1144" i="5" s="1"/>
  <c r="A1144" i="5"/>
  <c r="K1143" i="5"/>
  <c r="G1143" i="5"/>
  <c r="B1143" i="5"/>
  <c r="E1143" i="5" s="1"/>
  <c r="A1143" i="5"/>
  <c r="K1142" i="5"/>
  <c r="G1142" i="5"/>
  <c r="B1142" i="5"/>
  <c r="E1142" i="5" s="1"/>
  <c r="A1142" i="5"/>
  <c r="K1141" i="5"/>
  <c r="G1141" i="5"/>
  <c r="B1141" i="5"/>
  <c r="E1141" i="5" s="1"/>
  <c r="A1141" i="5"/>
  <c r="K1140" i="5"/>
  <c r="G1140" i="5"/>
  <c r="B1140" i="5"/>
  <c r="E1140" i="5" s="1"/>
  <c r="A1140" i="5"/>
  <c r="K1139" i="5"/>
  <c r="G1139" i="5"/>
  <c r="B1139" i="5"/>
  <c r="E1139" i="5" s="1"/>
  <c r="A1139" i="5"/>
  <c r="K1138" i="5"/>
  <c r="G1138" i="5"/>
  <c r="B1138" i="5"/>
  <c r="E1138" i="5" s="1"/>
  <c r="A1138" i="5"/>
  <c r="K1137" i="5"/>
  <c r="G1137" i="5"/>
  <c r="B1137" i="5"/>
  <c r="E1137" i="5" s="1"/>
  <c r="A1137" i="5"/>
  <c r="K1136" i="5"/>
  <c r="G1136" i="5"/>
  <c r="B1136" i="5"/>
  <c r="E1136" i="5" s="1"/>
  <c r="A1136" i="5"/>
  <c r="K1135" i="5"/>
  <c r="G1135" i="5"/>
  <c r="B1135" i="5"/>
  <c r="E1135" i="5" s="1"/>
  <c r="A1135" i="5"/>
  <c r="K1134" i="5"/>
  <c r="G1134" i="5"/>
  <c r="B1134" i="5"/>
  <c r="E1134" i="5" s="1"/>
  <c r="A1134" i="5"/>
  <c r="K1133" i="5"/>
  <c r="G1133" i="5"/>
  <c r="B1133" i="5"/>
  <c r="E1133" i="5" s="1"/>
  <c r="A1133" i="5"/>
  <c r="K1132" i="5"/>
  <c r="G1132" i="5"/>
  <c r="B1132" i="5"/>
  <c r="E1132" i="5" s="1"/>
  <c r="A1132" i="5"/>
  <c r="K1131" i="5"/>
  <c r="G1131" i="5"/>
  <c r="B1131" i="5"/>
  <c r="E1131" i="5" s="1"/>
  <c r="A1131" i="5"/>
  <c r="K1130" i="5"/>
  <c r="G1130" i="5"/>
  <c r="B1130" i="5"/>
  <c r="E1130" i="5" s="1"/>
  <c r="A1130" i="5"/>
  <c r="K1129" i="5"/>
  <c r="G1129" i="5"/>
  <c r="B1129" i="5"/>
  <c r="E1129" i="5" s="1"/>
  <c r="A1129" i="5"/>
  <c r="K1128" i="5"/>
  <c r="G1128" i="5"/>
  <c r="B1128" i="5"/>
  <c r="E1128" i="5" s="1"/>
  <c r="A1128" i="5"/>
  <c r="K1127" i="5"/>
  <c r="G1127" i="5"/>
  <c r="B1127" i="5"/>
  <c r="E1127" i="5" s="1"/>
  <c r="A1127" i="5"/>
  <c r="K1126" i="5"/>
  <c r="G1126" i="5"/>
  <c r="B1126" i="5"/>
  <c r="E1126" i="5" s="1"/>
  <c r="A1126" i="5"/>
  <c r="K1125" i="5"/>
  <c r="G1125" i="5"/>
  <c r="B1125" i="5"/>
  <c r="E1125" i="5" s="1"/>
  <c r="A1125" i="5"/>
  <c r="K1124" i="5"/>
  <c r="G1124" i="5"/>
  <c r="B1124" i="5"/>
  <c r="E1124" i="5" s="1"/>
  <c r="A1124" i="5"/>
  <c r="K1123" i="5"/>
  <c r="G1123" i="5"/>
  <c r="B1123" i="5"/>
  <c r="E1123" i="5" s="1"/>
  <c r="A1123" i="5"/>
  <c r="K1122" i="5"/>
  <c r="G1122" i="5"/>
  <c r="B1122" i="5"/>
  <c r="E1122" i="5" s="1"/>
  <c r="A1122" i="5"/>
  <c r="K1121" i="5"/>
  <c r="G1121" i="5"/>
  <c r="B1121" i="5"/>
  <c r="E1121" i="5" s="1"/>
  <c r="A1121" i="5"/>
  <c r="K1120" i="5"/>
  <c r="G1120" i="5"/>
  <c r="B1120" i="5"/>
  <c r="E1120" i="5" s="1"/>
  <c r="A1120" i="5"/>
  <c r="K1119" i="5"/>
  <c r="G1119" i="5"/>
  <c r="B1119" i="5"/>
  <c r="E1119" i="5" s="1"/>
  <c r="A1119" i="5"/>
  <c r="K1118" i="5"/>
  <c r="G1118" i="5"/>
  <c r="B1118" i="5"/>
  <c r="E1118" i="5" s="1"/>
  <c r="A1118" i="5"/>
  <c r="K1117" i="5"/>
  <c r="G1117" i="5"/>
  <c r="B1117" i="5"/>
  <c r="E1117" i="5" s="1"/>
  <c r="A1117" i="5"/>
  <c r="K1116" i="5"/>
  <c r="G1116" i="5"/>
  <c r="B1116" i="5"/>
  <c r="E1116" i="5" s="1"/>
  <c r="A1116" i="5"/>
  <c r="K1115" i="5"/>
  <c r="G1115" i="5"/>
  <c r="B1115" i="5"/>
  <c r="E1115" i="5" s="1"/>
  <c r="A1115" i="5"/>
  <c r="K1114" i="5"/>
  <c r="G1114" i="5"/>
  <c r="B1114" i="5"/>
  <c r="E1114" i="5" s="1"/>
  <c r="A1114" i="5"/>
  <c r="K1113" i="5"/>
  <c r="G1113" i="5"/>
  <c r="B1113" i="5"/>
  <c r="E1113" i="5" s="1"/>
  <c r="A1113" i="5"/>
  <c r="K1112" i="5"/>
  <c r="G1112" i="5"/>
  <c r="B1112" i="5"/>
  <c r="E1112" i="5" s="1"/>
  <c r="A1112" i="5"/>
  <c r="K1111" i="5"/>
  <c r="G1111" i="5"/>
  <c r="B1111" i="5"/>
  <c r="E1111" i="5" s="1"/>
  <c r="A1111" i="5"/>
  <c r="K1110" i="5"/>
  <c r="G1110" i="5"/>
  <c r="B1110" i="5"/>
  <c r="E1110" i="5" s="1"/>
  <c r="A1110" i="5"/>
  <c r="K1109" i="5"/>
  <c r="G1109" i="5"/>
  <c r="B1109" i="5"/>
  <c r="E1109" i="5" s="1"/>
  <c r="A1109" i="5"/>
  <c r="K1108" i="5"/>
  <c r="G1108" i="5"/>
  <c r="B1108" i="5"/>
  <c r="E1108" i="5" s="1"/>
  <c r="A1108" i="5"/>
  <c r="K1107" i="5"/>
  <c r="G1107" i="5"/>
  <c r="B1107" i="5"/>
  <c r="E1107" i="5" s="1"/>
  <c r="A1107" i="5"/>
  <c r="K1106" i="5"/>
  <c r="G1106" i="5"/>
  <c r="B1106" i="5"/>
  <c r="E1106" i="5" s="1"/>
  <c r="A1106" i="5"/>
  <c r="K1105" i="5"/>
  <c r="G1105" i="5"/>
  <c r="B1105" i="5"/>
  <c r="E1105" i="5" s="1"/>
  <c r="A1105" i="5"/>
  <c r="K1104" i="5"/>
  <c r="G1104" i="5"/>
  <c r="B1104" i="5"/>
  <c r="E1104" i="5" s="1"/>
  <c r="A1104" i="5"/>
  <c r="K1103" i="5"/>
  <c r="G1103" i="5"/>
  <c r="B1103" i="5"/>
  <c r="E1103" i="5" s="1"/>
  <c r="A1103" i="5"/>
  <c r="K1102" i="5"/>
  <c r="G1102" i="5"/>
  <c r="B1102" i="5"/>
  <c r="E1102" i="5" s="1"/>
  <c r="A1102" i="5"/>
  <c r="K1101" i="5"/>
  <c r="G1101" i="5"/>
  <c r="B1101" i="5"/>
  <c r="E1101" i="5" s="1"/>
  <c r="A1101" i="5"/>
  <c r="K1100" i="5"/>
  <c r="G1100" i="5"/>
  <c r="B1100" i="5"/>
  <c r="E1100" i="5" s="1"/>
  <c r="A1100" i="5"/>
  <c r="K1099" i="5"/>
  <c r="G1099" i="5"/>
  <c r="B1099" i="5"/>
  <c r="E1099" i="5" s="1"/>
  <c r="A1099" i="5"/>
  <c r="K1098" i="5"/>
  <c r="G1098" i="5"/>
  <c r="B1098" i="5"/>
  <c r="E1098" i="5" s="1"/>
  <c r="A1098" i="5"/>
  <c r="K1097" i="5"/>
  <c r="G1097" i="5"/>
  <c r="B1097" i="5"/>
  <c r="E1097" i="5" s="1"/>
  <c r="A1097" i="5"/>
  <c r="K1096" i="5"/>
  <c r="G1096" i="5"/>
  <c r="B1096" i="5"/>
  <c r="E1096" i="5" s="1"/>
  <c r="A1096" i="5"/>
  <c r="K1095" i="5"/>
  <c r="G1095" i="5"/>
  <c r="B1095" i="5"/>
  <c r="E1095" i="5" s="1"/>
  <c r="A1095" i="5"/>
  <c r="K1094" i="5"/>
  <c r="G1094" i="5"/>
  <c r="B1094" i="5"/>
  <c r="E1094" i="5" s="1"/>
  <c r="A1094" i="5"/>
  <c r="K1093" i="5"/>
  <c r="G1093" i="5"/>
  <c r="B1093" i="5"/>
  <c r="E1093" i="5" s="1"/>
  <c r="A1093" i="5"/>
  <c r="K1092" i="5"/>
  <c r="G1092" i="5"/>
  <c r="B1092" i="5"/>
  <c r="E1092" i="5" s="1"/>
  <c r="A1092" i="5"/>
  <c r="K1091" i="5"/>
  <c r="G1091" i="5"/>
  <c r="B1091" i="5"/>
  <c r="E1091" i="5" s="1"/>
  <c r="A1091" i="5"/>
  <c r="K1090" i="5"/>
  <c r="G1090" i="5"/>
  <c r="B1090" i="5"/>
  <c r="E1090" i="5" s="1"/>
  <c r="A1090" i="5"/>
  <c r="K1089" i="5"/>
  <c r="G1089" i="5"/>
  <c r="B1089" i="5"/>
  <c r="E1089" i="5" s="1"/>
  <c r="A1089" i="5"/>
  <c r="K1088" i="5"/>
  <c r="G1088" i="5"/>
  <c r="B1088" i="5"/>
  <c r="E1088" i="5" s="1"/>
  <c r="A1088" i="5"/>
  <c r="K1087" i="5"/>
  <c r="G1087" i="5"/>
  <c r="B1087" i="5"/>
  <c r="E1087" i="5" s="1"/>
  <c r="A1087" i="5"/>
  <c r="K1086" i="5"/>
  <c r="G1086" i="5"/>
  <c r="B1086" i="5"/>
  <c r="E1086" i="5" s="1"/>
  <c r="A1086" i="5"/>
  <c r="K1085" i="5"/>
  <c r="G1085" i="5"/>
  <c r="B1085" i="5"/>
  <c r="E1085" i="5" s="1"/>
  <c r="A1085" i="5"/>
  <c r="K1084" i="5"/>
  <c r="G1084" i="5"/>
  <c r="B1084" i="5"/>
  <c r="E1084" i="5" s="1"/>
  <c r="A1084" i="5"/>
  <c r="K1083" i="5"/>
  <c r="G1083" i="5"/>
  <c r="B1083" i="5"/>
  <c r="E1083" i="5" s="1"/>
  <c r="A1083" i="5"/>
  <c r="K1082" i="5"/>
  <c r="G1082" i="5"/>
  <c r="B1082" i="5"/>
  <c r="E1082" i="5" s="1"/>
  <c r="A1082" i="5"/>
  <c r="K1081" i="5"/>
  <c r="G1081" i="5"/>
  <c r="B1081" i="5"/>
  <c r="E1081" i="5" s="1"/>
  <c r="A1081" i="5"/>
  <c r="K1080" i="5"/>
  <c r="G1080" i="5"/>
  <c r="B1080" i="5"/>
  <c r="E1080" i="5" s="1"/>
  <c r="A1080" i="5"/>
  <c r="K1079" i="5"/>
  <c r="G1079" i="5"/>
  <c r="B1079" i="5"/>
  <c r="E1079" i="5" s="1"/>
  <c r="A1079" i="5"/>
  <c r="K1078" i="5"/>
  <c r="G1078" i="5"/>
  <c r="B1078" i="5"/>
  <c r="E1078" i="5" s="1"/>
  <c r="A1078" i="5"/>
  <c r="K1077" i="5"/>
  <c r="G1077" i="5"/>
  <c r="B1077" i="5"/>
  <c r="E1077" i="5" s="1"/>
  <c r="A1077" i="5"/>
  <c r="K1076" i="5"/>
  <c r="G1076" i="5"/>
  <c r="B1076" i="5"/>
  <c r="E1076" i="5" s="1"/>
  <c r="A1076" i="5"/>
  <c r="K1075" i="5"/>
  <c r="G1075" i="5"/>
  <c r="B1075" i="5"/>
  <c r="E1075" i="5" s="1"/>
  <c r="A1075" i="5"/>
  <c r="K1074" i="5"/>
  <c r="G1074" i="5"/>
  <c r="B1074" i="5"/>
  <c r="E1074" i="5" s="1"/>
  <c r="A1074" i="5"/>
  <c r="K1073" i="5"/>
  <c r="G1073" i="5"/>
  <c r="B1073" i="5"/>
  <c r="E1073" i="5" s="1"/>
  <c r="A1073" i="5"/>
  <c r="K1072" i="5"/>
  <c r="G1072" i="5"/>
  <c r="B1072" i="5"/>
  <c r="E1072" i="5" s="1"/>
  <c r="A1072" i="5"/>
  <c r="K1071" i="5"/>
  <c r="G1071" i="5"/>
  <c r="B1071" i="5"/>
  <c r="E1071" i="5" s="1"/>
  <c r="A1071" i="5"/>
  <c r="K1070" i="5"/>
  <c r="G1070" i="5"/>
  <c r="B1070" i="5"/>
  <c r="E1070" i="5" s="1"/>
  <c r="A1070" i="5"/>
  <c r="K1069" i="5"/>
  <c r="G1069" i="5"/>
  <c r="B1069" i="5"/>
  <c r="E1069" i="5" s="1"/>
  <c r="A1069" i="5"/>
  <c r="K1068" i="5"/>
  <c r="G1068" i="5"/>
  <c r="B1068" i="5"/>
  <c r="E1068" i="5" s="1"/>
  <c r="A1068" i="5"/>
  <c r="K1067" i="5"/>
  <c r="G1067" i="5"/>
  <c r="B1067" i="5"/>
  <c r="E1067" i="5" s="1"/>
  <c r="A1067" i="5"/>
  <c r="K1066" i="5"/>
  <c r="G1066" i="5"/>
  <c r="B1066" i="5"/>
  <c r="E1066" i="5" s="1"/>
  <c r="A1066" i="5"/>
  <c r="K1065" i="5"/>
  <c r="G1065" i="5"/>
  <c r="B1065" i="5"/>
  <c r="E1065" i="5" s="1"/>
  <c r="A1065" i="5"/>
  <c r="K1064" i="5"/>
  <c r="G1064" i="5"/>
  <c r="B1064" i="5"/>
  <c r="E1064" i="5" s="1"/>
  <c r="A1064" i="5"/>
  <c r="K1063" i="5"/>
  <c r="G1063" i="5"/>
  <c r="B1063" i="5"/>
  <c r="E1063" i="5" s="1"/>
  <c r="A1063" i="5"/>
  <c r="K1062" i="5"/>
  <c r="G1062" i="5"/>
  <c r="B1062" i="5"/>
  <c r="E1062" i="5" s="1"/>
  <c r="A1062" i="5"/>
  <c r="K1061" i="5"/>
  <c r="G1061" i="5"/>
  <c r="B1061" i="5"/>
  <c r="E1061" i="5" s="1"/>
  <c r="A1061" i="5"/>
  <c r="K1060" i="5"/>
  <c r="G1060" i="5"/>
  <c r="B1060" i="5"/>
  <c r="E1060" i="5" s="1"/>
  <c r="A1060" i="5"/>
  <c r="K1059" i="5"/>
  <c r="G1059" i="5"/>
  <c r="B1059" i="5"/>
  <c r="E1059" i="5" s="1"/>
  <c r="A1059" i="5"/>
  <c r="K1058" i="5"/>
  <c r="G1058" i="5"/>
  <c r="B1058" i="5"/>
  <c r="E1058" i="5" s="1"/>
  <c r="A1058" i="5"/>
  <c r="K1057" i="5"/>
  <c r="G1057" i="5"/>
  <c r="B1057" i="5"/>
  <c r="E1057" i="5" s="1"/>
  <c r="A1057" i="5"/>
  <c r="K1056" i="5"/>
  <c r="G1056" i="5"/>
  <c r="B1056" i="5"/>
  <c r="E1056" i="5" s="1"/>
  <c r="A1056" i="5"/>
  <c r="K1055" i="5"/>
  <c r="G1055" i="5"/>
  <c r="B1055" i="5"/>
  <c r="E1055" i="5" s="1"/>
  <c r="A1055" i="5"/>
  <c r="K1054" i="5"/>
  <c r="G1054" i="5"/>
  <c r="B1054" i="5"/>
  <c r="E1054" i="5" s="1"/>
  <c r="A1054" i="5"/>
  <c r="K1053" i="5"/>
  <c r="G1053" i="5"/>
  <c r="B1053" i="5"/>
  <c r="E1053" i="5" s="1"/>
  <c r="A1053" i="5"/>
  <c r="K1052" i="5"/>
  <c r="G1052" i="5"/>
  <c r="B1052" i="5"/>
  <c r="E1052" i="5" s="1"/>
  <c r="A1052" i="5"/>
  <c r="K1051" i="5"/>
  <c r="G1051" i="5"/>
  <c r="B1051" i="5"/>
  <c r="E1051" i="5" s="1"/>
  <c r="A1051" i="5"/>
  <c r="K1050" i="5"/>
  <c r="G1050" i="5"/>
  <c r="B1050" i="5"/>
  <c r="E1050" i="5" s="1"/>
  <c r="A1050" i="5"/>
  <c r="K1049" i="5"/>
  <c r="G1049" i="5"/>
  <c r="B1049" i="5"/>
  <c r="E1049" i="5" s="1"/>
  <c r="A1049" i="5"/>
  <c r="K1048" i="5"/>
  <c r="G1048" i="5"/>
  <c r="B1048" i="5"/>
  <c r="E1048" i="5" s="1"/>
  <c r="A1048" i="5"/>
  <c r="K1047" i="5"/>
  <c r="G1047" i="5"/>
  <c r="B1047" i="5"/>
  <c r="E1047" i="5" s="1"/>
  <c r="A1047" i="5"/>
  <c r="K1046" i="5"/>
  <c r="G1046" i="5"/>
  <c r="B1046" i="5"/>
  <c r="E1046" i="5" s="1"/>
  <c r="A1046" i="5"/>
  <c r="K1045" i="5"/>
  <c r="G1045" i="5"/>
  <c r="B1045" i="5"/>
  <c r="E1045" i="5" s="1"/>
  <c r="A1045" i="5"/>
  <c r="K1044" i="5"/>
  <c r="G1044" i="5"/>
  <c r="B1044" i="5"/>
  <c r="E1044" i="5" s="1"/>
  <c r="A1044" i="5"/>
  <c r="K1043" i="5"/>
  <c r="G1043" i="5"/>
  <c r="B1043" i="5"/>
  <c r="E1043" i="5" s="1"/>
  <c r="A1043" i="5"/>
  <c r="K1042" i="5"/>
  <c r="G1042" i="5"/>
  <c r="B1042" i="5"/>
  <c r="E1042" i="5" s="1"/>
  <c r="A1042" i="5"/>
  <c r="K1041" i="5"/>
  <c r="G1041" i="5"/>
  <c r="B1041" i="5"/>
  <c r="E1041" i="5" s="1"/>
  <c r="A1041" i="5"/>
  <c r="K1040" i="5"/>
  <c r="G1040" i="5"/>
  <c r="B1040" i="5"/>
  <c r="E1040" i="5" s="1"/>
  <c r="A1040" i="5"/>
  <c r="K1039" i="5"/>
  <c r="G1039" i="5"/>
  <c r="B1039" i="5"/>
  <c r="E1039" i="5" s="1"/>
  <c r="A1039" i="5"/>
  <c r="K1038" i="5"/>
  <c r="G1038" i="5"/>
  <c r="B1038" i="5"/>
  <c r="E1038" i="5" s="1"/>
  <c r="A1038" i="5"/>
  <c r="K1037" i="5"/>
  <c r="G1037" i="5"/>
  <c r="B1037" i="5"/>
  <c r="E1037" i="5" s="1"/>
  <c r="A1037" i="5"/>
  <c r="K1036" i="5"/>
  <c r="G1036" i="5"/>
  <c r="B1036" i="5"/>
  <c r="E1036" i="5" s="1"/>
  <c r="A1036" i="5"/>
  <c r="K1035" i="5"/>
  <c r="G1035" i="5"/>
  <c r="B1035" i="5"/>
  <c r="E1035" i="5" s="1"/>
  <c r="A1035" i="5"/>
  <c r="K1034" i="5"/>
  <c r="G1034" i="5"/>
  <c r="B1034" i="5"/>
  <c r="E1034" i="5" s="1"/>
  <c r="A1034" i="5"/>
  <c r="K1033" i="5"/>
  <c r="G1033" i="5"/>
  <c r="B1033" i="5"/>
  <c r="E1033" i="5" s="1"/>
  <c r="A1033" i="5"/>
  <c r="K1032" i="5"/>
  <c r="G1032" i="5"/>
  <c r="B1032" i="5"/>
  <c r="E1032" i="5" s="1"/>
  <c r="A1032" i="5"/>
  <c r="K1031" i="5"/>
  <c r="G1031" i="5"/>
  <c r="B1031" i="5"/>
  <c r="E1031" i="5" s="1"/>
  <c r="A1031" i="5"/>
  <c r="K1030" i="5"/>
  <c r="G1030" i="5"/>
  <c r="B1030" i="5"/>
  <c r="E1030" i="5" s="1"/>
  <c r="A1030" i="5"/>
  <c r="K1029" i="5"/>
  <c r="G1029" i="5"/>
  <c r="B1029" i="5"/>
  <c r="E1029" i="5" s="1"/>
  <c r="A1029" i="5"/>
  <c r="K1028" i="5"/>
  <c r="G1028" i="5"/>
  <c r="B1028" i="5"/>
  <c r="E1028" i="5" s="1"/>
  <c r="A1028" i="5"/>
  <c r="K1027" i="5"/>
  <c r="G1027" i="5"/>
  <c r="B1027" i="5"/>
  <c r="E1027" i="5" s="1"/>
  <c r="A1027" i="5"/>
  <c r="K1026" i="5"/>
  <c r="G1026" i="5"/>
  <c r="B1026" i="5"/>
  <c r="E1026" i="5" s="1"/>
  <c r="A1026" i="5"/>
  <c r="K1025" i="5"/>
  <c r="G1025" i="5"/>
  <c r="B1025" i="5"/>
  <c r="E1025" i="5" s="1"/>
  <c r="A1025" i="5"/>
  <c r="K1024" i="5"/>
  <c r="G1024" i="5"/>
  <c r="B1024" i="5"/>
  <c r="E1024" i="5" s="1"/>
  <c r="A1024" i="5"/>
  <c r="K1023" i="5"/>
  <c r="G1023" i="5"/>
  <c r="B1023" i="5"/>
  <c r="E1023" i="5" s="1"/>
  <c r="A1023" i="5"/>
  <c r="K1022" i="5"/>
  <c r="G1022" i="5"/>
  <c r="B1022" i="5"/>
  <c r="E1022" i="5" s="1"/>
  <c r="A1022" i="5"/>
  <c r="K1021" i="5"/>
  <c r="G1021" i="5"/>
  <c r="B1021" i="5"/>
  <c r="E1021" i="5" s="1"/>
  <c r="A1021" i="5"/>
  <c r="K1020" i="5"/>
  <c r="G1020" i="5"/>
  <c r="B1020" i="5"/>
  <c r="E1020" i="5" s="1"/>
  <c r="A1020" i="5"/>
  <c r="K1019" i="5"/>
  <c r="G1019" i="5"/>
  <c r="B1019" i="5"/>
  <c r="E1019" i="5" s="1"/>
  <c r="A1019" i="5"/>
  <c r="K1018" i="5"/>
  <c r="G1018" i="5"/>
  <c r="B1018" i="5"/>
  <c r="E1018" i="5" s="1"/>
  <c r="A1018" i="5"/>
  <c r="K1017" i="5"/>
  <c r="G1017" i="5"/>
  <c r="B1017" i="5"/>
  <c r="E1017" i="5" s="1"/>
  <c r="A1017" i="5"/>
  <c r="K1016" i="5"/>
  <c r="G1016" i="5"/>
  <c r="B1016" i="5"/>
  <c r="E1016" i="5" s="1"/>
  <c r="A1016" i="5"/>
  <c r="K1015" i="5"/>
  <c r="G1015" i="5"/>
  <c r="B1015" i="5"/>
  <c r="E1015" i="5" s="1"/>
  <c r="A1015" i="5"/>
  <c r="K1014" i="5"/>
  <c r="G1014" i="5"/>
  <c r="B1014" i="5"/>
  <c r="E1014" i="5" s="1"/>
  <c r="A1014" i="5"/>
  <c r="K1013" i="5"/>
  <c r="G1013" i="5"/>
  <c r="B1013" i="5"/>
  <c r="E1013" i="5" s="1"/>
  <c r="A1013" i="5"/>
  <c r="K1012" i="5"/>
  <c r="G1012" i="5"/>
  <c r="B1012" i="5"/>
  <c r="E1012" i="5" s="1"/>
  <c r="A1012" i="5"/>
  <c r="K1011" i="5"/>
  <c r="G1011" i="5"/>
  <c r="B1011" i="5"/>
  <c r="E1011" i="5" s="1"/>
  <c r="A1011" i="5"/>
  <c r="K1010" i="5"/>
  <c r="G1010" i="5"/>
  <c r="B1010" i="5"/>
  <c r="E1010" i="5" s="1"/>
  <c r="A1010" i="5"/>
  <c r="K1009" i="5"/>
  <c r="G1009" i="5"/>
  <c r="B1009" i="5"/>
  <c r="E1009" i="5" s="1"/>
  <c r="A1009" i="5"/>
  <c r="K1008" i="5"/>
  <c r="G1008" i="5"/>
  <c r="B1008" i="5"/>
  <c r="E1008" i="5" s="1"/>
  <c r="A1008" i="5"/>
  <c r="K1007" i="5"/>
  <c r="G1007" i="5"/>
  <c r="B1007" i="5"/>
  <c r="E1007" i="5" s="1"/>
  <c r="A1007" i="5"/>
  <c r="K1006" i="5"/>
  <c r="G1006" i="5"/>
  <c r="B1006" i="5"/>
  <c r="E1006" i="5" s="1"/>
  <c r="A1006" i="5"/>
  <c r="K1005" i="5"/>
  <c r="G1005" i="5"/>
  <c r="B1005" i="5"/>
  <c r="E1005" i="5" s="1"/>
  <c r="A1005" i="5"/>
  <c r="K1004" i="5"/>
  <c r="G1004" i="5"/>
  <c r="B1004" i="5"/>
  <c r="E1004" i="5" s="1"/>
  <c r="A1004" i="5"/>
  <c r="K1003" i="5"/>
  <c r="G1003" i="5"/>
  <c r="B1003" i="5"/>
  <c r="D1003" i="5" s="1"/>
  <c r="A1003" i="5"/>
  <c r="K1002" i="5"/>
  <c r="G1002" i="5"/>
  <c r="B1002" i="5"/>
  <c r="D1002" i="5" s="1"/>
  <c r="A1002" i="5"/>
  <c r="K1001" i="5"/>
  <c r="G1001" i="5"/>
  <c r="B1001" i="5"/>
  <c r="D1001" i="5" s="1"/>
  <c r="A1001" i="5"/>
  <c r="K1000" i="5"/>
  <c r="G1000" i="5"/>
  <c r="B1000" i="5"/>
  <c r="D1000" i="5" s="1"/>
  <c r="A1000" i="5"/>
  <c r="K999" i="5"/>
  <c r="G999" i="5"/>
  <c r="B999" i="5"/>
  <c r="D999" i="5" s="1"/>
  <c r="A999" i="5"/>
  <c r="K998" i="5"/>
  <c r="G998" i="5"/>
  <c r="B998" i="5"/>
  <c r="D998" i="5" s="1"/>
  <c r="A998" i="5"/>
  <c r="K997" i="5"/>
  <c r="G997" i="5"/>
  <c r="B997" i="5"/>
  <c r="D997" i="5" s="1"/>
  <c r="A997" i="5"/>
  <c r="K996" i="5"/>
  <c r="G996" i="5"/>
  <c r="B996" i="5"/>
  <c r="D996" i="5" s="1"/>
  <c r="A996" i="5"/>
  <c r="K995" i="5"/>
  <c r="G995" i="5"/>
  <c r="B995" i="5"/>
  <c r="D995" i="5" s="1"/>
  <c r="A995" i="5"/>
  <c r="K994" i="5"/>
  <c r="G994" i="5"/>
  <c r="B994" i="5"/>
  <c r="D994" i="5" s="1"/>
  <c r="A994" i="5"/>
  <c r="K993" i="5"/>
  <c r="G993" i="5"/>
  <c r="B993" i="5"/>
  <c r="D993" i="5" s="1"/>
  <c r="A993" i="5"/>
  <c r="K992" i="5"/>
  <c r="G992" i="5"/>
  <c r="B992" i="5"/>
  <c r="D992" i="5" s="1"/>
  <c r="A992" i="5"/>
  <c r="K991" i="5"/>
  <c r="G991" i="5"/>
  <c r="B991" i="5"/>
  <c r="D991" i="5" s="1"/>
  <c r="A991" i="5"/>
  <c r="K990" i="5"/>
  <c r="G990" i="5"/>
  <c r="B990" i="5"/>
  <c r="D990" i="5" s="1"/>
  <c r="A990" i="5"/>
  <c r="K989" i="5"/>
  <c r="G989" i="5"/>
  <c r="B989" i="5"/>
  <c r="D989" i="5" s="1"/>
  <c r="A989" i="5"/>
  <c r="K988" i="5"/>
  <c r="G988" i="5"/>
  <c r="B988" i="5"/>
  <c r="D988" i="5" s="1"/>
  <c r="A988" i="5"/>
  <c r="K987" i="5"/>
  <c r="G987" i="5"/>
  <c r="B987" i="5"/>
  <c r="D987" i="5" s="1"/>
  <c r="A987" i="5"/>
  <c r="K986" i="5"/>
  <c r="G986" i="5"/>
  <c r="B986" i="5"/>
  <c r="D986" i="5" s="1"/>
  <c r="A986" i="5"/>
  <c r="K985" i="5"/>
  <c r="G985" i="5"/>
  <c r="B985" i="5"/>
  <c r="D985" i="5" s="1"/>
  <c r="A985" i="5"/>
  <c r="K984" i="5"/>
  <c r="G984" i="5"/>
  <c r="B984" i="5"/>
  <c r="D984" i="5" s="1"/>
  <c r="A984" i="5"/>
  <c r="K983" i="5"/>
  <c r="G983" i="5"/>
  <c r="B983" i="5"/>
  <c r="D983" i="5" s="1"/>
  <c r="A983" i="5"/>
  <c r="K982" i="5"/>
  <c r="G982" i="5"/>
  <c r="B982" i="5"/>
  <c r="D982" i="5" s="1"/>
  <c r="A982" i="5"/>
  <c r="K981" i="5"/>
  <c r="G981" i="5"/>
  <c r="B981" i="5"/>
  <c r="D981" i="5" s="1"/>
  <c r="A981" i="5"/>
  <c r="K980" i="5"/>
  <c r="G980" i="5"/>
  <c r="B980" i="5"/>
  <c r="D980" i="5" s="1"/>
  <c r="A980" i="5"/>
  <c r="K979" i="5"/>
  <c r="G979" i="5"/>
  <c r="B979" i="5"/>
  <c r="D979" i="5" s="1"/>
  <c r="A979" i="5"/>
  <c r="K978" i="5"/>
  <c r="G978" i="5"/>
  <c r="B978" i="5"/>
  <c r="D978" i="5" s="1"/>
  <c r="A978" i="5"/>
  <c r="K977" i="5"/>
  <c r="G977" i="5"/>
  <c r="B977" i="5"/>
  <c r="D977" i="5" s="1"/>
  <c r="A977" i="5"/>
  <c r="K976" i="5"/>
  <c r="G976" i="5"/>
  <c r="B976" i="5"/>
  <c r="D976" i="5" s="1"/>
  <c r="A976" i="5"/>
  <c r="K975" i="5"/>
  <c r="G975" i="5"/>
  <c r="B975" i="5"/>
  <c r="D975" i="5" s="1"/>
  <c r="A975" i="5"/>
  <c r="K974" i="5"/>
  <c r="G974" i="5"/>
  <c r="B974" i="5"/>
  <c r="D974" i="5" s="1"/>
  <c r="A974" i="5"/>
  <c r="K973" i="5"/>
  <c r="G973" i="5"/>
  <c r="B973" i="5"/>
  <c r="D973" i="5" s="1"/>
  <c r="A973" i="5"/>
  <c r="K972" i="5"/>
  <c r="G972" i="5"/>
  <c r="B972" i="5"/>
  <c r="D972" i="5" s="1"/>
  <c r="A972" i="5"/>
  <c r="K971" i="5"/>
  <c r="G971" i="5"/>
  <c r="B971" i="5"/>
  <c r="D971" i="5" s="1"/>
  <c r="A971" i="5"/>
  <c r="K970" i="5"/>
  <c r="G970" i="5"/>
  <c r="B970" i="5"/>
  <c r="D970" i="5" s="1"/>
  <c r="A970" i="5"/>
  <c r="K969" i="5"/>
  <c r="G969" i="5"/>
  <c r="B969" i="5"/>
  <c r="D969" i="5" s="1"/>
  <c r="A969" i="5"/>
  <c r="K968" i="5"/>
  <c r="G968" i="5"/>
  <c r="B968" i="5"/>
  <c r="D968" i="5" s="1"/>
  <c r="A968" i="5"/>
  <c r="K967" i="5"/>
  <c r="G967" i="5"/>
  <c r="B967" i="5"/>
  <c r="D967" i="5" s="1"/>
  <c r="A967" i="5"/>
  <c r="K966" i="5"/>
  <c r="G966" i="5"/>
  <c r="B966" i="5"/>
  <c r="D966" i="5" s="1"/>
  <c r="A966" i="5"/>
  <c r="K965" i="5"/>
  <c r="G965" i="5"/>
  <c r="B965" i="5"/>
  <c r="D965" i="5" s="1"/>
  <c r="A965" i="5"/>
  <c r="K964" i="5"/>
  <c r="G964" i="5"/>
  <c r="B964" i="5"/>
  <c r="D964" i="5" s="1"/>
  <c r="A964" i="5"/>
  <c r="K963" i="5"/>
  <c r="G963" i="5"/>
  <c r="B963" i="5"/>
  <c r="D963" i="5" s="1"/>
  <c r="A963" i="5"/>
  <c r="K962" i="5"/>
  <c r="G962" i="5"/>
  <c r="B962" i="5"/>
  <c r="D962" i="5" s="1"/>
  <c r="A962" i="5"/>
  <c r="K961" i="5"/>
  <c r="G961" i="5"/>
  <c r="B961" i="5"/>
  <c r="D961" i="5" s="1"/>
  <c r="A961" i="5"/>
  <c r="K960" i="5"/>
  <c r="G960" i="5"/>
  <c r="B960" i="5"/>
  <c r="D960" i="5" s="1"/>
  <c r="A960" i="5"/>
  <c r="K959" i="5"/>
  <c r="G959" i="5"/>
  <c r="B959" i="5"/>
  <c r="D959" i="5" s="1"/>
  <c r="A959" i="5"/>
  <c r="K958" i="5"/>
  <c r="G958" i="5"/>
  <c r="B958" i="5"/>
  <c r="D958" i="5" s="1"/>
  <c r="A958" i="5"/>
  <c r="K957" i="5"/>
  <c r="G957" i="5"/>
  <c r="B957" i="5"/>
  <c r="D957" i="5" s="1"/>
  <c r="A957" i="5"/>
  <c r="K956" i="5"/>
  <c r="G956" i="5"/>
  <c r="B956" i="5"/>
  <c r="D956" i="5" s="1"/>
  <c r="A956" i="5"/>
  <c r="K955" i="5"/>
  <c r="G955" i="5"/>
  <c r="B955" i="5"/>
  <c r="D955" i="5" s="1"/>
  <c r="A955" i="5"/>
  <c r="K954" i="5"/>
  <c r="G954" i="5"/>
  <c r="B954" i="5"/>
  <c r="D954" i="5" s="1"/>
  <c r="A954" i="5"/>
  <c r="K953" i="5"/>
  <c r="G953" i="5"/>
  <c r="B953" i="5"/>
  <c r="D953" i="5" s="1"/>
  <c r="A953" i="5"/>
  <c r="K952" i="5"/>
  <c r="G952" i="5"/>
  <c r="B952" i="5"/>
  <c r="D952" i="5" s="1"/>
  <c r="A952" i="5"/>
  <c r="K951" i="5"/>
  <c r="G951" i="5"/>
  <c r="B951" i="5"/>
  <c r="D951" i="5" s="1"/>
  <c r="A951" i="5"/>
  <c r="K950" i="5"/>
  <c r="G950" i="5"/>
  <c r="B950" i="5"/>
  <c r="D950" i="5" s="1"/>
  <c r="A950" i="5"/>
  <c r="K949" i="5"/>
  <c r="G949" i="5"/>
  <c r="B949" i="5"/>
  <c r="D949" i="5" s="1"/>
  <c r="A949" i="5"/>
  <c r="K948" i="5"/>
  <c r="G948" i="5"/>
  <c r="B948" i="5"/>
  <c r="D948" i="5" s="1"/>
  <c r="A948" i="5"/>
  <c r="K947" i="5"/>
  <c r="G947" i="5"/>
  <c r="B947" i="5"/>
  <c r="D947" i="5" s="1"/>
  <c r="A947" i="5"/>
  <c r="K946" i="5"/>
  <c r="G946" i="5"/>
  <c r="B946" i="5"/>
  <c r="D946" i="5" s="1"/>
  <c r="A946" i="5"/>
  <c r="K945" i="5"/>
  <c r="G945" i="5"/>
  <c r="B945" i="5"/>
  <c r="D945" i="5" s="1"/>
  <c r="A945" i="5"/>
  <c r="K944" i="5"/>
  <c r="G944" i="5"/>
  <c r="B944" i="5"/>
  <c r="D944" i="5" s="1"/>
  <c r="A944" i="5"/>
  <c r="K943" i="5"/>
  <c r="G943" i="5"/>
  <c r="B943" i="5"/>
  <c r="D943" i="5" s="1"/>
  <c r="A943" i="5"/>
  <c r="K942" i="5"/>
  <c r="G942" i="5"/>
  <c r="B942" i="5"/>
  <c r="D942" i="5" s="1"/>
  <c r="A942" i="5"/>
  <c r="K941" i="5"/>
  <c r="G941" i="5"/>
  <c r="B941" i="5"/>
  <c r="D941" i="5" s="1"/>
  <c r="A941" i="5"/>
  <c r="K940" i="5"/>
  <c r="G940" i="5"/>
  <c r="B940" i="5"/>
  <c r="D940" i="5" s="1"/>
  <c r="A940" i="5"/>
  <c r="K939" i="5"/>
  <c r="G939" i="5"/>
  <c r="B939" i="5"/>
  <c r="D939" i="5" s="1"/>
  <c r="A939" i="5"/>
  <c r="K938" i="5"/>
  <c r="G938" i="5"/>
  <c r="B938" i="5"/>
  <c r="D938" i="5" s="1"/>
  <c r="A938" i="5"/>
  <c r="K937" i="5"/>
  <c r="G937" i="5"/>
  <c r="B937" i="5"/>
  <c r="D937" i="5" s="1"/>
  <c r="A937" i="5"/>
  <c r="K936" i="5"/>
  <c r="G936" i="5"/>
  <c r="B936" i="5"/>
  <c r="D936" i="5" s="1"/>
  <c r="A936" i="5"/>
  <c r="K935" i="5"/>
  <c r="G935" i="5"/>
  <c r="B935" i="5"/>
  <c r="D935" i="5" s="1"/>
  <c r="A935" i="5"/>
  <c r="K934" i="5"/>
  <c r="G934" i="5"/>
  <c r="B934" i="5"/>
  <c r="D934" i="5" s="1"/>
  <c r="A934" i="5"/>
  <c r="K933" i="5"/>
  <c r="G933" i="5"/>
  <c r="B933" i="5"/>
  <c r="D933" i="5" s="1"/>
  <c r="A933" i="5"/>
  <c r="K932" i="5"/>
  <c r="G932" i="5"/>
  <c r="B932" i="5"/>
  <c r="D932" i="5" s="1"/>
  <c r="A932" i="5"/>
  <c r="K931" i="5"/>
  <c r="G931" i="5"/>
  <c r="B931" i="5"/>
  <c r="D931" i="5" s="1"/>
  <c r="A931" i="5"/>
  <c r="K930" i="5"/>
  <c r="G930" i="5"/>
  <c r="B930" i="5"/>
  <c r="D930" i="5" s="1"/>
  <c r="A930" i="5"/>
  <c r="K929" i="5"/>
  <c r="G929" i="5"/>
  <c r="B929" i="5"/>
  <c r="D929" i="5" s="1"/>
  <c r="A929" i="5"/>
  <c r="K928" i="5"/>
  <c r="G928" i="5"/>
  <c r="B928" i="5"/>
  <c r="D928" i="5" s="1"/>
  <c r="A928" i="5"/>
  <c r="K927" i="5"/>
  <c r="G927" i="5"/>
  <c r="B927" i="5"/>
  <c r="D927" i="5" s="1"/>
  <c r="A927" i="5"/>
  <c r="K926" i="5"/>
  <c r="G926" i="5"/>
  <c r="B926" i="5"/>
  <c r="D926" i="5" s="1"/>
  <c r="A926" i="5"/>
  <c r="K925" i="5"/>
  <c r="G925" i="5"/>
  <c r="B925" i="5"/>
  <c r="D925" i="5" s="1"/>
  <c r="A925" i="5"/>
  <c r="K924" i="5"/>
  <c r="G924" i="5"/>
  <c r="B924" i="5"/>
  <c r="D924" i="5" s="1"/>
  <c r="A924" i="5"/>
  <c r="K923" i="5"/>
  <c r="G923" i="5"/>
  <c r="B923" i="5"/>
  <c r="D923" i="5" s="1"/>
  <c r="A923" i="5"/>
  <c r="K922" i="5"/>
  <c r="G922" i="5"/>
  <c r="B922" i="5"/>
  <c r="D922" i="5" s="1"/>
  <c r="A922" i="5"/>
  <c r="K921" i="5"/>
  <c r="G921" i="5"/>
  <c r="B921" i="5"/>
  <c r="D921" i="5" s="1"/>
  <c r="A921" i="5"/>
  <c r="K920" i="5"/>
  <c r="G920" i="5"/>
  <c r="B920" i="5"/>
  <c r="D920" i="5" s="1"/>
  <c r="A920" i="5"/>
  <c r="K919" i="5"/>
  <c r="G919" i="5"/>
  <c r="B919" i="5"/>
  <c r="D919" i="5" s="1"/>
  <c r="A919" i="5"/>
  <c r="K918" i="5"/>
  <c r="G918" i="5"/>
  <c r="B918" i="5"/>
  <c r="E918" i="5" s="1"/>
  <c r="A918" i="5"/>
  <c r="K917" i="5"/>
  <c r="G917" i="5"/>
  <c r="B917" i="5"/>
  <c r="E917" i="5" s="1"/>
  <c r="A917" i="5"/>
  <c r="K916" i="5"/>
  <c r="G916" i="5"/>
  <c r="B916" i="5"/>
  <c r="E916" i="5" s="1"/>
  <c r="A916" i="5"/>
  <c r="K915" i="5"/>
  <c r="G915" i="5"/>
  <c r="B915" i="5"/>
  <c r="E915" i="5" s="1"/>
  <c r="A915" i="5"/>
  <c r="K914" i="5"/>
  <c r="G914" i="5"/>
  <c r="B914" i="5"/>
  <c r="D914" i="5" s="1"/>
  <c r="A914" i="5"/>
  <c r="K913" i="5"/>
  <c r="G913" i="5"/>
  <c r="B913" i="5"/>
  <c r="D913" i="5" s="1"/>
  <c r="A913" i="5"/>
  <c r="K912" i="5"/>
  <c r="G912" i="5"/>
  <c r="B912" i="5"/>
  <c r="E912" i="5" s="1"/>
  <c r="A912" i="5"/>
  <c r="K911" i="5"/>
  <c r="G911" i="5"/>
  <c r="B911" i="5"/>
  <c r="E911" i="5" s="1"/>
  <c r="A911" i="5"/>
  <c r="K910" i="5"/>
  <c r="G910" i="5"/>
  <c r="B910" i="5"/>
  <c r="E910" i="5" s="1"/>
  <c r="A910" i="5"/>
  <c r="K909" i="5"/>
  <c r="G909" i="5"/>
  <c r="B909" i="5"/>
  <c r="E909" i="5" s="1"/>
  <c r="A909" i="5"/>
  <c r="K908" i="5"/>
  <c r="G908" i="5"/>
  <c r="B908" i="5"/>
  <c r="D908" i="5" s="1"/>
  <c r="A908" i="5"/>
  <c r="K907" i="5"/>
  <c r="G907" i="5"/>
  <c r="B907" i="5"/>
  <c r="D907" i="5" s="1"/>
  <c r="A907" i="5"/>
  <c r="K906" i="5"/>
  <c r="G906" i="5"/>
  <c r="B906" i="5"/>
  <c r="D906" i="5" s="1"/>
  <c r="A906" i="5"/>
  <c r="K905" i="5"/>
  <c r="G905" i="5"/>
  <c r="B905" i="5"/>
  <c r="E905" i="5" s="1"/>
  <c r="A905" i="5"/>
  <c r="K904" i="5"/>
  <c r="G904" i="5"/>
  <c r="B904" i="5"/>
  <c r="E904" i="5" s="1"/>
  <c r="A904" i="5"/>
  <c r="K903" i="5"/>
  <c r="G903" i="5"/>
  <c r="B903" i="5"/>
  <c r="E903" i="5" s="1"/>
  <c r="A903" i="5"/>
  <c r="K902" i="5"/>
  <c r="G902" i="5"/>
  <c r="B902" i="5"/>
  <c r="D902" i="5" s="1"/>
  <c r="A902" i="5"/>
  <c r="K901" i="5"/>
  <c r="G901" i="5"/>
  <c r="B901" i="5"/>
  <c r="D901" i="5" s="1"/>
  <c r="A901" i="5"/>
  <c r="K900" i="5"/>
  <c r="G900" i="5"/>
  <c r="B900" i="5"/>
  <c r="D900" i="5" s="1"/>
  <c r="A900" i="5"/>
  <c r="K899" i="5"/>
  <c r="G899" i="5"/>
  <c r="B899" i="5"/>
  <c r="E899" i="5" s="1"/>
  <c r="A899" i="5"/>
  <c r="K898" i="5"/>
  <c r="G898" i="5"/>
  <c r="B898" i="5"/>
  <c r="E898" i="5" s="1"/>
  <c r="A898" i="5"/>
  <c r="K897" i="5"/>
  <c r="G897" i="5"/>
  <c r="B897" i="5"/>
  <c r="E897" i="5" s="1"/>
  <c r="A897" i="5"/>
  <c r="K896" i="5"/>
  <c r="G896" i="5"/>
  <c r="B896" i="5"/>
  <c r="E896" i="5" s="1"/>
  <c r="A896" i="5"/>
  <c r="K895" i="5"/>
  <c r="G895" i="5"/>
  <c r="B895" i="5"/>
  <c r="D895" i="5" s="1"/>
  <c r="A895" i="5"/>
  <c r="K894" i="5"/>
  <c r="G894" i="5"/>
  <c r="B894" i="5"/>
  <c r="D894" i="5" s="1"/>
  <c r="A894" i="5"/>
  <c r="K893" i="5"/>
  <c r="G893" i="5"/>
  <c r="B893" i="5"/>
  <c r="D893" i="5" s="1"/>
  <c r="A893" i="5"/>
  <c r="K892" i="5"/>
  <c r="G892" i="5"/>
  <c r="B892" i="5"/>
  <c r="D892" i="5" s="1"/>
  <c r="A892" i="5"/>
  <c r="K891" i="5"/>
  <c r="G891" i="5"/>
  <c r="B891" i="5"/>
  <c r="D891" i="5" s="1"/>
  <c r="A891" i="5"/>
  <c r="K890" i="5"/>
  <c r="G890" i="5"/>
  <c r="B890" i="5"/>
  <c r="D890" i="5" s="1"/>
  <c r="A890" i="5"/>
  <c r="K889" i="5"/>
  <c r="G889" i="5"/>
  <c r="B889" i="5"/>
  <c r="E889" i="5" s="1"/>
  <c r="A889" i="5"/>
  <c r="K888" i="5"/>
  <c r="G888" i="5"/>
  <c r="B888" i="5"/>
  <c r="E888" i="5" s="1"/>
  <c r="A888" i="5"/>
  <c r="K887" i="5"/>
  <c r="G887" i="5"/>
  <c r="B887" i="5"/>
  <c r="E887" i="5" s="1"/>
  <c r="A887" i="5"/>
  <c r="K886" i="5"/>
  <c r="G886" i="5"/>
  <c r="B886" i="5"/>
  <c r="D886" i="5" s="1"/>
  <c r="A886" i="5"/>
  <c r="K885" i="5"/>
  <c r="G885" i="5"/>
  <c r="B885" i="5"/>
  <c r="D885" i="5" s="1"/>
  <c r="A885" i="5"/>
  <c r="K884" i="5"/>
  <c r="G884" i="5"/>
  <c r="B884" i="5"/>
  <c r="D884" i="5" s="1"/>
  <c r="A884" i="5"/>
  <c r="K883" i="5"/>
  <c r="G883" i="5"/>
  <c r="B883" i="5"/>
  <c r="D883" i="5" s="1"/>
  <c r="A883" i="5"/>
  <c r="K882" i="5"/>
  <c r="G882" i="5"/>
  <c r="B882" i="5"/>
  <c r="E882" i="5" s="1"/>
  <c r="A882" i="5"/>
  <c r="K881" i="5"/>
  <c r="G881" i="5"/>
  <c r="B881" i="5"/>
  <c r="E881" i="5" s="1"/>
  <c r="A881" i="5"/>
  <c r="K880" i="5"/>
  <c r="G880" i="5"/>
  <c r="B880" i="5"/>
  <c r="E880" i="5" s="1"/>
  <c r="A880" i="5"/>
  <c r="K879" i="5"/>
  <c r="G879" i="5"/>
  <c r="B879" i="5"/>
  <c r="E879" i="5" s="1"/>
  <c r="A879" i="5"/>
  <c r="K878" i="5"/>
  <c r="G878" i="5"/>
  <c r="B878" i="5"/>
  <c r="E878" i="5" s="1"/>
  <c r="A878" i="5"/>
  <c r="K877" i="5"/>
  <c r="G877" i="5"/>
  <c r="B877" i="5"/>
  <c r="D877" i="5" s="1"/>
  <c r="A877" i="5"/>
  <c r="K876" i="5"/>
  <c r="G876" i="5"/>
  <c r="B876" i="5"/>
  <c r="E876" i="5" s="1"/>
  <c r="A876" i="5"/>
  <c r="K875" i="5"/>
  <c r="G875" i="5"/>
  <c r="B875" i="5"/>
  <c r="E875" i="5" s="1"/>
  <c r="A875" i="5"/>
  <c r="K874" i="5"/>
  <c r="G874" i="5"/>
  <c r="B874" i="5"/>
  <c r="E874" i="5" s="1"/>
  <c r="A874" i="5"/>
  <c r="K873" i="5"/>
  <c r="G873" i="5"/>
  <c r="B873" i="5"/>
  <c r="E873" i="5" s="1"/>
  <c r="A873" i="5"/>
  <c r="K872" i="5"/>
  <c r="G872" i="5"/>
  <c r="B872" i="5"/>
  <c r="D872" i="5" s="1"/>
  <c r="A872" i="5"/>
  <c r="K871" i="5"/>
  <c r="G871" i="5"/>
  <c r="B871" i="5"/>
  <c r="D871" i="5" s="1"/>
  <c r="A871" i="5"/>
  <c r="K870" i="5"/>
  <c r="G870" i="5"/>
  <c r="B870" i="5"/>
  <c r="D870" i="5" s="1"/>
  <c r="A870" i="5"/>
  <c r="K869" i="5"/>
  <c r="G869" i="5"/>
  <c r="B869" i="5"/>
  <c r="D869" i="5" s="1"/>
  <c r="A869" i="5"/>
  <c r="K868" i="5"/>
  <c r="G868" i="5"/>
  <c r="B868" i="5"/>
  <c r="D868" i="5" s="1"/>
  <c r="A868" i="5"/>
  <c r="K867" i="5"/>
  <c r="G867" i="5"/>
  <c r="B867" i="5"/>
  <c r="D867" i="5" s="1"/>
  <c r="A867" i="5"/>
  <c r="K866" i="5"/>
  <c r="G866" i="5"/>
  <c r="B866" i="5"/>
  <c r="D866" i="5" s="1"/>
  <c r="A866" i="5"/>
  <c r="K865" i="5"/>
  <c r="G865" i="5"/>
  <c r="B865" i="5"/>
  <c r="D865" i="5" s="1"/>
  <c r="A865" i="5"/>
  <c r="K864" i="5"/>
  <c r="G864" i="5"/>
  <c r="B864" i="5"/>
  <c r="D864" i="5" s="1"/>
  <c r="A864" i="5"/>
  <c r="K863" i="5"/>
  <c r="G863" i="5"/>
  <c r="B863" i="5"/>
  <c r="D863" i="5" s="1"/>
  <c r="A863" i="5"/>
  <c r="K862" i="5"/>
  <c r="G862" i="5"/>
  <c r="B862" i="5"/>
  <c r="D862" i="5" s="1"/>
  <c r="A862" i="5"/>
  <c r="K861" i="5"/>
  <c r="G861" i="5"/>
  <c r="B861" i="5"/>
  <c r="D861" i="5" s="1"/>
  <c r="A861" i="5"/>
  <c r="K860" i="5"/>
  <c r="G860" i="5"/>
  <c r="B860" i="5"/>
  <c r="E860" i="5" s="1"/>
  <c r="A860" i="5"/>
  <c r="K859" i="5"/>
  <c r="G859" i="5"/>
  <c r="B859" i="5"/>
  <c r="E859" i="5" s="1"/>
  <c r="A859" i="5"/>
  <c r="K858" i="5"/>
  <c r="G858" i="5"/>
  <c r="B858" i="5"/>
  <c r="D858" i="5" s="1"/>
  <c r="A858" i="5"/>
  <c r="K857" i="5"/>
  <c r="G857" i="5"/>
  <c r="B857" i="5"/>
  <c r="D857" i="5" s="1"/>
  <c r="A857" i="5"/>
  <c r="K856" i="5"/>
  <c r="G856" i="5"/>
  <c r="B856" i="5"/>
  <c r="D856" i="5" s="1"/>
  <c r="A856" i="5"/>
  <c r="K855" i="5"/>
  <c r="G855" i="5"/>
  <c r="B855" i="5"/>
  <c r="D855" i="5" s="1"/>
  <c r="A855" i="5"/>
  <c r="K854" i="5"/>
  <c r="G854" i="5"/>
  <c r="B854" i="5"/>
  <c r="D854" i="5" s="1"/>
  <c r="A854" i="5"/>
  <c r="K853" i="5"/>
  <c r="G853" i="5"/>
  <c r="B853" i="5"/>
  <c r="D853" i="5" s="1"/>
  <c r="A853" i="5"/>
  <c r="K852" i="5"/>
  <c r="G852" i="5"/>
  <c r="B852" i="5"/>
  <c r="D852" i="5" s="1"/>
  <c r="A852" i="5"/>
  <c r="K851" i="5"/>
  <c r="G851" i="5"/>
  <c r="B851" i="5"/>
  <c r="E851" i="5" s="1"/>
  <c r="A851" i="5"/>
  <c r="K850" i="5"/>
  <c r="G850" i="5"/>
  <c r="B850" i="5"/>
  <c r="E850" i="5" s="1"/>
  <c r="A850" i="5"/>
  <c r="K849" i="5"/>
  <c r="G849" i="5"/>
  <c r="B849" i="5"/>
  <c r="D849" i="5" s="1"/>
  <c r="A849" i="5"/>
  <c r="K848" i="5"/>
  <c r="G848" i="5"/>
  <c r="B848" i="5"/>
  <c r="D848" i="5" s="1"/>
  <c r="A848" i="5"/>
  <c r="K847" i="5"/>
  <c r="G847" i="5"/>
  <c r="B847" i="5"/>
  <c r="D847" i="5" s="1"/>
  <c r="A847" i="5"/>
  <c r="K846" i="5"/>
  <c r="G846" i="5"/>
  <c r="B846" i="5"/>
  <c r="D846" i="5" s="1"/>
  <c r="A846" i="5"/>
  <c r="K845" i="5"/>
  <c r="G845" i="5"/>
  <c r="B845" i="5"/>
  <c r="E845" i="5" s="1"/>
  <c r="A845" i="5"/>
  <c r="K844" i="5"/>
  <c r="G844" i="5"/>
  <c r="B844" i="5"/>
  <c r="E844" i="5" s="1"/>
  <c r="A844" i="5"/>
  <c r="K843" i="5"/>
  <c r="G843" i="5"/>
  <c r="B843" i="5"/>
  <c r="D843" i="5" s="1"/>
  <c r="A843" i="5"/>
  <c r="K842" i="5"/>
  <c r="G842" i="5"/>
  <c r="B842" i="5"/>
  <c r="D842" i="5" s="1"/>
  <c r="A842" i="5"/>
  <c r="K841" i="5"/>
  <c r="G841" i="5"/>
  <c r="B841" i="5"/>
  <c r="D841" i="5" s="1"/>
  <c r="A841" i="5"/>
  <c r="K840" i="5"/>
  <c r="G840" i="5"/>
  <c r="B840" i="5"/>
  <c r="D840" i="5" s="1"/>
  <c r="A840" i="5"/>
  <c r="K839" i="5"/>
  <c r="G839" i="5"/>
  <c r="B839" i="5"/>
  <c r="D839" i="5" s="1"/>
  <c r="A839" i="5"/>
  <c r="K838" i="5"/>
  <c r="G838" i="5"/>
  <c r="B838" i="5"/>
  <c r="D838" i="5" s="1"/>
  <c r="A838" i="5"/>
  <c r="K837" i="5"/>
  <c r="G837" i="5"/>
  <c r="B837" i="5"/>
  <c r="D837" i="5" s="1"/>
  <c r="A837" i="5"/>
  <c r="K836" i="5"/>
  <c r="G836" i="5"/>
  <c r="B836" i="5"/>
  <c r="E836" i="5" s="1"/>
  <c r="A836" i="5"/>
  <c r="K835" i="5"/>
  <c r="G835" i="5"/>
  <c r="B835" i="5"/>
  <c r="E835" i="5" s="1"/>
  <c r="A835" i="5"/>
  <c r="K834" i="5"/>
  <c r="G834" i="5"/>
  <c r="B834" i="5"/>
  <c r="D834" i="5" s="1"/>
  <c r="A834" i="5"/>
  <c r="K833" i="5"/>
  <c r="G833" i="5"/>
  <c r="B833" i="5"/>
  <c r="D833" i="5" s="1"/>
  <c r="A833" i="5"/>
  <c r="K832" i="5"/>
  <c r="G832" i="5"/>
  <c r="B832" i="5"/>
  <c r="D832" i="5" s="1"/>
  <c r="A832" i="5"/>
  <c r="K831" i="5"/>
  <c r="G831" i="5"/>
  <c r="B831" i="5"/>
  <c r="D831" i="5" s="1"/>
  <c r="A831" i="5"/>
  <c r="K830" i="5"/>
  <c r="G830" i="5"/>
  <c r="B830" i="5"/>
  <c r="D830" i="5" s="1"/>
  <c r="A830" i="5"/>
  <c r="K829" i="5"/>
  <c r="G829" i="5"/>
  <c r="B829" i="5"/>
  <c r="D829" i="5" s="1"/>
  <c r="A829" i="5"/>
  <c r="K828" i="5"/>
  <c r="G828" i="5"/>
  <c r="B828" i="5"/>
  <c r="E828" i="5" s="1"/>
  <c r="A828" i="5"/>
  <c r="K827" i="5"/>
  <c r="G827" i="5"/>
  <c r="B827" i="5"/>
  <c r="E827" i="5" s="1"/>
  <c r="A827" i="5"/>
  <c r="K826" i="5"/>
  <c r="G826" i="5"/>
  <c r="B826" i="5"/>
  <c r="D826" i="5" s="1"/>
  <c r="A826" i="5"/>
  <c r="K825" i="5"/>
  <c r="G825" i="5"/>
  <c r="B825" i="5"/>
  <c r="D825" i="5" s="1"/>
  <c r="A825" i="5"/>
  <c r="K824" i="5"/>
  <c r="G824" i="5"/>
  <c r="B824" i="5"/>
  <c r="D824" i="5" s="1"/>
  <c r="A824" i="5"/>
  <c r="K823" i="5"/>
  <c r="G823" i="5"/>
  <c r="B823" i="5"/>
  <c r="D823" i="5" s="1"/>
  <c r="A823" i="5"/>
  <c r="K822" i="5"/>
  <c r="G822" i="5"/>
  <c r="B822" i="5"/>
  <c r="D822" i="5" s="1"/>
  <c r="A822" i="5"/>
  <c r="K821" i="5"/>
  <c r="G821" i="5"/>
  <c r="B821" i="5"/>
  <c r="D821" i="5" s="1"/>
  <c r="A821" i="5"/>
  <c r="K820" i="5"/>
  <c r="G820" i="5"/>
  <c r="B820" i="5"/>
  <c r="D820" i="5" s="1"/>
  <c r="A820" i="5"/>
  <c r="K819" i="5"/>
  <c r="G819" i="5"/>
  <c r="B819" i="5"/>
  <c r="D819" i="5" s="1"/>
  <c r="A819" i="5"/>
  <c r="K818" i="5"/>
  <c r="G818" i="5"/>
  <c r="B818" i="5"/>
  <c r="D818" i="5" s="1"/>
  <c r="A818" i="5"/>
  <c r="K817" i="5"/>
  <c r="G817" i="5"/>
  <c r="B817" i="5"/>
  <c r="D817" i="5" s="1"/>
  <c r="A817" i="5"/>
  <c r="K816" i="5"/>
  <c r="G816" i="5"/>
  <c r="B816" i="5"/>
  <c r="E816" i="5" s="1"/>
  <c r="A816" i="5"/>
  <c r="K815" i="5"/>
  <c r="G815" i="5"/>
  <c r="B815" i="5"/>
  <c r="E815" i="5" s="1"/>
  <c r="A815" i="5"/>
  <c r="K814" i="5"/>
  <c r="G814" i="5"/>
  <c r="B814" i="5"/>
  <c r="D814" i="5" s="1"/>
  <c r="A814" i="5"/>
  <c r="K813" i="5"/>
  <c r="G813" i="5"/>
  <c r="B813" i="5"/>
  <c r="D813" i="5" s="1"/>
  <c r="A813" i="5"/>
  <c r="K812" i="5"/>
  <c r="G812" i="5"/>
  <c r="B812" i="5"/>
  <c r="D812" i="5" s="1"/>
  <c r="A812" i="5"/>
  <c r="K811" i="5"/>
  <c r="G811" i="5"/>
  <c r="B811" i="5"/>
  <c r="D811" i="5" s="1"/>
  <c r="A811" i="5"/>
  <c r="K810" i="5"/>
  <c r="G810" i="5"/>
  <c r="B810" i="5"/>
  <c r="E810" i="5" s="1"/>
  <c r="A810" i="5"/>
  <c r="K809" i="5"/>
  <c r="G809" i="5"/>
  <c r="B809" i="5"/>
  <c r="D809" i="5" s="1"/>
  <c r="A809" i="5"/>
  <c r="K808" i="5"/>
  <c r="G808" i="5"/>
  <c r="B808" i="5"/>
  <c r="D808" i="5" s="1"/>
  <c r="A808" i="5"/>
  <c r="K807" i="5"/>
  <c r="G807" i="5"/>
  <c r="B807" i="5"/>
  <c r="D807" i="5" s="1"/>
  <c r="A807" i="5"/>
  <c r="K806" i="5"/>
  <c r="G806" i="5"/>
  <c r="B806" i="5"/>
  <c r="D806" i="5" s="1"/>
  <c r="A806" i="5"/>
  <c r="K805" i="5"/>
  <c r="G805" i="5"/>
  <c r="B805" i="5"/>
  <c r="E805" i="5" s="1"/>
  <c r="A805" i="5"/>
  <c r="K804" i="5"/>
  <c r="G804" i="5"/>
  <c r="B804" i="5"/>
  <c r="E804" i="5" s="1"/>
  <c r="A804" i="5"/>
  <c r="K803" i="5"/>
  <c r="G803" i="5"/>
  <c r="B803" i="5"/>
  <c r="E803" i="5" s="1"/>
  <c r="A803" i="5"/>
  <c r="K802" i="5"/>
  <c r="G802" i="5"/>
  <c r="B802" i="5"/>
  <c r="D802" i="5" s="1"/>
  <c r="A802" i="5"/>
  <c r="K801" i="5"/>
  <c r="G801" i="5"/>
  <c r="B801" i="5"/>
  <c r="D801" i="5" s="1"/>
  <c r="A801" i="5"/>
  <c r="K800" i="5"/>
  <c r="G800" i="5"/>
  <c r="B800" i="5"/>
  <c r="D800" i="5" s="1"/>
  <c r="A800" i="5"/>
  <c r="K799" i="5"/>
  <c r="G799" i="5"/>
  <c r="B799" i="5"/>
  <c r="D799" i="5" s="1"/>
  <c r="A799" i="5"/>
  <c r="K798" i="5"/>
  <c r="G798" i="5"/>
  <c r="B798" i="5"/>
  <c r="D798" i="5" s="1"/>
  <c r="A798" i="5"/>
  <c r="K797" i="5"/>
  <c r="G797" i="5"/>
  <c r="B797" i="5"/>
  <c r="D797" i="5" s="1"/>
  <c r="A797" i="5"/>
  <c r="K796" i="5"/>
  <c r="G796" i="5"/>
  <c r="B796" i="5"/>
  <c r="D796" i="5" s="1"/>
  <c r="A796" i="5"/>
  <c r="K795" i="5"/>
  <c r="G795" i="5"/>
  <c r="B795" i="5"/>
  <c r="D795" i="5" s="1"/>
  <c r="A795" i="5"/>
  <c r="K794" i="5"/>
  <c r="G794" i="5"/>
  <c r="B794" i="5"/>
  <c r="D794" i="5" s="1"/>
  <c r="A794" i="5"/>
  <c r="K793" i="5"/>
  <c r="G793" i="5"/>
  <c r="B793" i="5"/>
  <c r="E793" i="5" s="1"/>
  <c r="A793" i="5"/>
  <c r="K792" i="5"/>
  <c r="G792" i="5"/>
  <c r="B792" i="5"/>
  <c r="E792" i="5" s="1"/>
  <c r="A792" i="5"/>
  <c r="K791" i="5"/>
  <c r="G791" i="5"/>
  <c r="B791" i="5"/>
  <c r="E791" i="5" s="1"/>
  <c r="A791" i="5"/>
  <c r="K790" i="5"/>
  <c r="G790" i="5"/>
  <c r="B790" i="5"/>
  <c r="D790" i="5" s="1"/>
  <c r="A790" i="5"/>
  <c r="K789" i="5"/>
  <c r="G789" i="5"/>
  <c r="B789" i="5"/>
  <c r="D789" i="5" s="1"/>
  <c r="A789" i="5"/>
  <c r="K788" i="5"/>
  <c r="G788" i="5"/>
  <c r="B788" i="5"/>
  <c r="D788" i="5" s="1"/>
  <c r="A788" i="5"/>
  <c r="K787" i="5"/>
  <c r="G787" i="5"/>
  <c r="B787" i="5"/>
  <c r="D787" i="5" s="1"/>
  <c r="A787" i="5"/>
  <c r="K786" i="5"/>
  <c r="G786" i="5"/>
  <c r="B786" i="5"/>
  <c r="D786" i="5" s="1"/>
  <c r="A786" i="5"/>
  <c r="K785" i="5"/>
  <c r="G785" i="5"/>
  <c r="B785" i="5"/>
  <c r="E785" i="5" s="1"/>
  <c r="A785" i="5"/>
  <c r="K784" i="5"/>
  <c r="G784" i="5"/>
  <c r="B784" i="5"/>
  <c r="E784" i="5" s="1"/>
  <c r="A784" i="5"/>
  <c r="K783" i="5"/>
  <c r="G783" i="5"/>
  <c r="B783" i="5"/>
  <c r="E783" i="5" s="1"/>
  <c r="A783" i="5"/>
  <c r="K782" i="5"/>
  <c r="G782" i="5"/>
  <c r="B782" i="5"/>
  <c r="D782" i="5" s="1"/>
  <c r="A782" i="5"/>
  <c r="K781" i="5"/>
  <c r="G781" i="5"/>
  <c r="B781" i="5"/>
  <c r="D781" i="5" s="1"/>
  <c r="A781" i="5"/>
  <c r="K780" i="5"/>
  <c r="G780" i="5"/>
  <c r="B780" i="5"/>
  <c r="D780" i="5" s="1"/>
  <c r="A780" i="5"/>
  <c r="K779" i="5"/>
  <c r="G779" i="5"/>
  <c r="B779" i="5"/>
  <c r="D779" i="5" s="1"/>
  <c r="A779" i="5"/>
  <c r="K778" i="5"/>
  <c r="G778" i="5"/>
  <c r="B778" i="5"/>
  <c r="D778" i="5" s="1"/>
  <c r="A778" i="5"/>
  <c r="K777" i="5"/>
  <c r="G777" i="5"/>
  <c r="B777" i="5"/>
  <c r="E777" i="5" s="1"/>
  <c r="A777" i="5"/>
  <c r="K776" i="5"/>
  <c r="G776" i="5"/>
  <c r="B776" i="5"/>
  <c r="D776" i="5" s="1"/>
  <c r="A776" i="5"/>
  <c r="K775" i="5"/>
  <c r="G775" i="5"/>
  <c r="B775" i="5"/>
  <c r="D775" i="5" s="1"/>
  <c r="A775" i="5"/>
  <c r="K774" i="5"/>
  <c r="G774" i="5"/>
  <c r="B774" i="5"/>
  <c r="D774" i="5" s="1"/>
  <c r="A774" i="5"/>
  <c r="K773" i="5"/>
  <c r="G773" i="5"/>
  <c r="B773" i="5"/>
  <c r="D773" i="5" s="1"/>
  <c r="A773" i="5"/>
  <c r="K772" i="5"/>
  <c r="G772" i="5"/>
  <c r="B772" i="5"/>
  <c r="D772" i="5" s="1"/>
  <c r="A772" i="5"/>
  <c r="K771" i="5"/>
  <c r="G771" i="5"/>
  <c r="B771" i="5"/>
  <c r="D771" i="5" s="1"/>
  <c r="A771" i="5"/>
  <c r="K770" i="5"/>
  <c r="G770" i="5"/>
  <c r="B770" i="5"/>
  <c r="D770" i="5" s="1"/>
  <c r="A770" i="5"/>
  <c r="K769" i="5"/>
  <c r="G769" i="5"/>
  <c r="B769" i="5"/>
  <c r="D769" i="5" s="1"/>
  <c r="A769" i="5"/>
  <c r="K768" i="5"/>
  <c r="G768" i="5"/>
  <c r="B768" i="5"/>
  <c r="D768" i="5" s="1"/>
  <c r="A768" i="5"/>
  <c r="K767" i="5"/>
  <c r="G767" i="5"/>
  <c r="B767" i="5"/>
  <c r="D767" i="5" s="1"/>
  <c r="A767" i="5"/>
  <c r="K766" i="5"/>
  <c r="G766" i="5"/>
  <c r="B766" i="5"/>
  <c r="D766" i="5" s="1"/>
  <c r="A766" i="5"/>
  <c r="K765" i="5"/>
  <c r="G765" i="5"/>
  <c r="B765" i="5"/>
  <c r="D765" i="5" s="1"/>
  <c r="A765" i="5"/>
  <c r="K764" i="5"/>
  <c r="G764" i="5"/>
  <c r="B764" i="5"/>
  <c r="D764" i="5" s="1"/>
  <c r="A764" i="5"/>
  <c r="K763" i="5"/>
  <c r="G763" i="5"/>
  <c r="B763" i="5"/>
  <c r="D763" i="5" s="1"/>
  <c r="A763" i="5"/>
  <c r="K762" i="5"/>
  <c r="G762" i="5"/>
  <c r="B762" i="5"/>
  <c r="E762" i="5" s="1"/>
  <c r="A762" i="5"/>
  <c r="K761" i="5"/>
  <c r="G761" i="5"/>
  <c r="B761" i="5"/>
  <c r="E761" i="5" s="1"/>
  <c r="A761" i="5"/>
  <c r="K760" i="5"/>
  <c r="G760" i="5"/>
  <c r="B760" i="5"/>
  <c r="D760" i="5" s="1"/>
  <c r="A760" i="5"/>
  <c r="K759" i="5"/>
  <c r="G759" i="5"/>
  <c r="B759" i="5"/>
  <c r="D759" i="5" s="1"/>
  <c r="A759" i="5"/>
  <c r="K758" i="5"/>
  <c r="G758" i="5"/>
  <c r="B758" i="5"/>
  <c r="D758" i="5" s="1"/>
  <c r="A758" i="5"/>
  <c r="K757" i="5"/>
  <c r="G757" i="5"/>
  <c r="B757" i="5"/>
  <c r="E757" i="5" s="1"/>
  <c r="A757" i="5"/>
  <c r="K756" i="5"/>
  <c r="G756" i="5"/>
  <c r="B756" i="5"/>
  <c r="E756" i="5" s="1"/>
  <c r="A756" i="5"/>
  <c r="K755" i="5"/>
  <c r="G755" i="5"/>
  <c r="B755" i="5"/>
  <c r="D755" i="5" s="1"/>
  <c r="A755" i="5"/>
  <c r="K754" i="5"/>
  <c r="G754" i="5"/>
  <c r="B754" i="5"/>
  <c r="E754" i="5" s="1"/>
  <c r="A754" i="5"/>
  <c r="K753" i="5"/>
  <c r="G753" i="5"/>
  <c r="B753" i="5"/>
  <c r="E753" i="5" s="1"/>
  <c r="A753" i="5"/>
  <c r="K752" i="5"/>
  <c r="G752" i="5"/>
  <c r="B752" i="5"/>
  <c r="D752" i="5" s="1"/>
  <c r="A752" i="5"/>
  <c r="K751" i="5"/>
  <c r="G751" i="5"/>
  <c r="B751" i="5"/>
  <c r="E751" i="5" s="1"/>
  <c r="A751" i="5"/>
  <c r="K750" i="5"/>
  <c r="G750" i="5"/>
  <c r="B750" i="5"/>
  <c r="E750" i="5" s="1"/>
  <c r="A750" i="5"/>
  <c r="K749" i="5"/>
  <c r="G749" i="5"/>
  <c r="B749" i="5"/>
  <c r="D749" i="5" s="1"/>
  <c r="A749" i="5"/>
  <c r="K748" i="5"/>
  <c r="G748" i="5"/>
  <c r="B748" i="5"/>
  <c r="D748" i="5" s="1"/>
  <c r="A748" i="5"/>
  <c r="K747" i="5"/>
  <c r="G747" i="5"/>
  <c r="B747" i="5"/>
  <c r="E747" i="5" s="1"/>
  <c r="A747" i="5"/>
  <c r="K746" i="5"/>
  <c r="G746" i="5"/>
  <c r="B746" i="5"/>
  <c r="D746" i="5" s="1"/>
  <c r="A746" i="5"/>
  <c r="K745" i="5"/>
  <c r="G745" i="5"/>
  <c r="B745" i="5"/>
  <c r="D745" i="5" s="1"/>
  <c r="A745" i="5"/>
  <c r="K744" i="5"/>
  <c r="G744" i="5"/>
  <c r="B744" i="5"/>
  <c r="D744" i="5" s="1"/>
  <c r="A744" i="5"/>
  <c r="K743" i="5"/>
  <c r="G743" i="5"/>
  <c r="B743" i="5"/>
  <c r="D743" i="5" s="1"/>
  <c r="A743" i="5"/>
  <c r="K742" i="5"/>
  <c r="G742" i="5"/>
  <c r="B742" i="5"/>
  <c r="D742" i="5" s="1"/>
  <c r="A742" i="5"/>
  <c r="K741" i="5"/>
  <c r="G741" i="5"/>
  <c r="B741" i="5"/>
  <c r="D741" i="5" s="1"/>
  <c r="A741" i="5"/>
  <c r="K740" i="5"/>
  <c r="G740" i="5"/>
  <c r="B740" i="5"/>
  <c r="D740" i="5" s="1"/>
  <c r="A740" i="5"/>
  <c r="K739" i="5"/>
  <c r="G739" i="5"/>
  <c r="B739" i="5"/>
  <c r="D739" i="5" s="1"/>
  <c r="A739" i="5"/>
  <c r="K738" i="5"/>
  <c r="G738" i="5"/>
  <c r="B738" i="5"/>
  <c r="D738" i="5" s="1"/>
  <c r="A738" i="5"/>
  <c r="K737" i="5"/>
  <c r="G737" i="5"/>
  <c r="B737" i="5"/>
  <c r="E737" i="5" s="1"/>
  <c r="A737" i="5"/>
  <c r="K736" i="5"/>
  <c r="G736" i="5"/>
  <c r="B736" i="5"/>
  <c r="E736" i="5" s="1"/>
  <c r="A736" i="5"/>
  <c r="K735" i="5"/>
  <c r="G735" i="5"/>
  <c r="B735" i="5"/>
  <c r="D735" i="5" s="1"/>
  <c r="A735" i="5"/>
  <c r="K734" i="5"/>
  <c r="G734" i="5"/>
  <c r="B734" i="5"/>
  <c r="D734" i="5" s="1"/>
  <c r="A734" i="5"/>
  <c r="K733" i="5"/>
  <c r="G733" i="5"/>
  <c r="B733" i="5"/>
  <c r="E733" i="5" s="1"/>
  <c r="A733" i="5"/>
  <c r="K732" i="5"/>
  <c r="G732" i="5"/>
  <c r="B732" i="5"/>
  <c r="E732" i="5" s="1"/>
  <c r="A732" i="5"/>
  <c r="K731" i="5"/>
  <c r="G731" i="5"/>
  <c r="B731" i="5"/>
  <c r="D731" i="5" s="1"/>
  <c r="A731" i="5"/>
  <c r="K730" i="5"/>
  <c r="G730" i="5"/>
  <c r="B730" i="5"/>
  <c r="D730" i="5" s="1"/>
  <c r="A730" i="5"/>
  <c r="K729" i="5"/>
  <c r="G729" i="5"/>
  <c r="B729" i="5"/>
  <c r="D729" i="5" s="1"/>
  <c r="A729" i="5"/>
  <c r="K728" i="5"/>
  <c r="G728" i="5"/>
  <c r="B728" i="5"/>
  <c r="D728" i="5" s="1"/>
  <c r="A728" i="5"/>
  <c r="K727" i="5"/>
  <c r="G727" i="5"/>
  <c r="B727" i="5"/>
  <c r="E727" i="5" s="1"/>
  <c r="A727" i="5"/>
  <c r="K726" i="5"/>
  <c r="G726" i="5"/>
  <c r="B726" i="5"/>
  <c r="E726" i="5" s="1"/>
  <c r="A726" i="5"/>
  <c r="K725" i="5"/>
  <c r="G725" i="5"/>
  <c r="B725" i="5"/>
  <c r="D725" i="5" s="1"/>
  <c r="A725" i="5"/>
  <c r="K724" i="5"/>
  <c r="G724" i="5"/>
  <c r="B724" i="5"/>
  <c r="D724" i="5" s="1"/>
  <c r="A724" i="5"/>
  <c r="K723" i="5"/>
  <c r="G723" i="5"/>
  <c r="B723" i="5"/>
  <c r="D723" i="5" s="1"/>
  <c r="A723" i="5"/>
  <c r="K722" i="5"/>
  <c r="G722" i="5"/>
  <c r="B722" i="5"/>
  <c r="D722" i="5" s="1"/>
  <c r="A722" i="5"/>
  <c r="K721" i="5"/>
  <c r="G721" i="5"/>
  <c r="B721" i="5"/>
  <c r="D721" i="5" s="1"/>
  <c r="A721" i="5"/>
  <c r="K720" i="5"/>
  <c r="G720" i="5"/>
  <c r="B720" i="5"/>
  <c r="D720" i="5" s="1"/>
  <c r="A720" i="5"/>
  <c r="K719" i="5"/>
  <c r="G719" i="5"/>
  <c r="B719" i="5"/>
  <c r="E719" i="5" s="1"/>
  <c r="A719" i="5"/>
  <c r="K718" i="5"/>
  <c r="G718" i="5"/>
  <c r="B718" i="5"/>
  <c r="E718" i="5" s="1"/>
  <c r="A718" i="5"/>
  <c r="K717" i="5"/>
  <c r="G717" i="5"/>
  <c r="B717" i="5"/>
  <c r="D717" i="5" s="1"/>
  <c r="A717" i="5"/>
  <c r="K716" i="5"/>
  <c r="G716" i="5"/>
  <c r="B716" i="5"/>
  <c r="D716" i="5" s="1"/>
  <c r="A716" i="5"/>
  <c r="K715" i="5"/>
  <c r="G715" i="5"/>
  <c r="B715" i="5"/>
  <c r="D715" i="5" s="1"/>
  <c r="A715" i="5"/>
  <c r="K714" i="5"/>
  <c r="G714" i="5"/>
  <c r="B714" i="5"/>
  <c r="D714" i="5" s="1"/>
  <c r="A714" i="5"/>
  <c r="K713" i="5"/>
  <c r="G713" i="5"/>
  <c r="B713" i="5"/>
  <c r="E713" i="5" s="1"/>
  <c r="A713" i="5"/>
  <c r="K712" i="5"/>
  <c r="G712" i="5"/>
  <c r="B712" i="5"/>
  <c r="D712" i="5" s="1"/>
  <c r="A712" i="5"/>
  <c r="K711" i="5"/>
  <c r="G711" i="5"/>
  <c r="B711" i="5"/>
  <c r="D711" i="5" s="1"/>
  <c r="A711" i="5"/>
  <c r="K710" i="5"/>
  <c r="G710" i="5"/>
  <c r="B710" i="5"/>
  <c r="E710" i="5" s="1"/>
  <c r="A710" i="5"/>
  <c r="K709" i="5"/>
  <c r="G709" i="5"/>
  <c r="B709" i="5"/>
  <c r="E709" i="5" s="1"/>
  <c r="A709" i="5"/>
  <c r="K708" i="5"/>
  <c r="G708" i="5"/>
  <c r="B708" i="5"/>
  <c r="D708" i="5" s="1"/>
  <c r="A708" i="5"/>
  <c r="K707" i="5"/>
  <c r="G707" i="5"/>
  <c r="B707" i="5"/>
  <c r="D707" i="5" s="1"/>
  <c r="A707" i="5"/>
  <c r="K706" i="5"/>
  <c r="G706" i="5"/>
  <c r="B706" i="5"/>
  <c r="D706" i="5" s="1"/>
  <c r="A706" i="5"/>
  <c r="K705" i="5"/>
  <c r="G705" i="5"/>
  <c r="B705" i="5"/>
  <c r="D705" i="5" s="1"/>
  <c r="A705" i="5"/>
  <c r="K704" i="5"/>
  <c r="G704" i="5"/>
  <c r="B704" i="5"/>
  <c r="D704" i="5" s="1"/>
  <c r="A704" i="5"/>
  <c r="K703" i="5"/>
  <c r="G703" i="5"/>
  <c r="B703" i="5"/>
  <c r="D703" i="5" s="1"/>
  <c r="A703" i="5"/>
  <c r="K702" i="5"/>
  <c r="G702" i="5"/>
  <c r="B702" i="5"/>
  <c r="D702" i="5" s="1"/>
  <c r="A702" i="5"/>
  <c r="G701" i="5"/>
  <c r="B701" i="5"/>
  <c r="E701" i="5" s="1"/>
  <c r="A701" i="5"/>
  <c r="K700" i="5"/>
  <c r="G700" i="5"/>
  <c r="B700" i="5"/>
  <c r="E700" i="5" s="1"/>
  <c r="A700" i="5"/>
  <c r="K699" i="5"/>
  <c r="G699" i="5"/>
  <c r="B699" i="5"/>
  <c r="D699" i="5" s="1"/>
  <c r="A699" i="5"/>
  <c r="K698" i="5"/>
  <c r="G698" i="5"/>
  <c r="B698" i="5"/>
  <c r="D698" i="5" s="1"/>
  <c r="A698" i="5"/>
  <c r="K697" i="5"/>
  <c r="G697" i="5"/>
  <c r="B697" i="5"/>
  <c r="D697" i="5" s="1"/>
  <c r="A697" i="5"/>
  <c r="K696" i="5"/>
  <c r="G696" i="5"/>
  <c r="B696" i="5"/>
  <c r="D696" i="5" s="1"/>
  <c r="A696" i="5"/>
  <c r="K695" i="5"/>
  <c r="G695" i="5"/>
  <c r="B695" i="5"/>
  <c r="D695" i="5" s="1"/>
  <c r="A695" i="5"/>
  <c r="K694" i="5"/>
  <c r="G694" i="5"/>
  <c r="B694" i="5"/>
  <c r="D694" i="5" s="1"/>
  <c r="A694" i="5"/>
  <c r="G693" i="5"/>
  <c r="B693" i="5"/>
  <c r="E693" i="5" s="1"/>
  <c r="A693" i="5"/>
  <c r="G692" i="5"/>
  <c r="B692" i="5"/>
  <c r="E692" i="5" s="1"/>
  <c r="A692" i="5"/>
  <c r="G691" i="5"/>
  <c r="B691" i="5"/>
  <c r="D691" i="5" s="1"/>
  <c r="A691" i="5"/>
  <c r="K690" i="5"/>
  <c r="G690" i="5"/>
  <c r="B690" i="5"/>
  <c r="D690" i="5" s="1"/>
  <c r="A690" i="5"/>
  <c r="K689" i="5"/>
  <c r="G689" i="5"/>
  <c r="B689" i="5"/>
  <c r="E689" i="5" s="1"/>
  <c r="A689" i="5"/>
  <c r="K688" i="5"/>
  <c r="G688" i="5"/>
  <c r="B688" i="5"/>
  <c r="E688" i="5" s="1"/>
  <c r="A688" i="5"/>
  <c r="K687" i="5"/>
  <c r="G687" i="5"/>
  <c r="B687" i="5"/>
  <c r="D687" i="5" s="1"/>
  <c r="A687" i="5"/>
  <c r="K686" i="5"/>
  <c r="G686" i="5"/>
  <c r="B686" i="5"/>
  <c r="D686" i="5" s="1"/>
  <c r="A686" i="5"/>
  <c r="K685" i="5"/>
  <c r="G685" i="5"/>
  <c r="B685" i="5"/>
  <c r="D685" i="5" s="1"/>
  <c r="A685" i="5"/>
  <c r="K684" i="5"/>
  <c r="G684" i="5"/>
  <c r="B684" i="5"/>
  <c r="E684" i="5" s="1"/>
  <c r="A684" i="5"/>
  <c r="K683" i="5"/>
  <c r="G683" i="5"/>
  <c r="B683" i="5"/>
  <c r="E683" i="5" s="1"/>
  <c r="A683" i="5"/>
  <c r="K682" i="5"/>
  <c r="G682" i="5"/>
  <c r="B682" i="5"/>
  <c r="D682" i="5" s="1"/>
  <c r="A682" i="5"/>
  <c r="K681" i="5"/>
  <c r="G681" i="5"/>
  <c r="B681" i="5"/>
  <c r="D681" i="5" s="1"/>
  <c r="A681" i="5"/>
  <c r="K680" i="5"/>
  <c r="G680" i="5"/>
  <c r="B680" i="5"/>
  <c r="D680" i="5" s="1"/>
  <c r="A680" i="5"/>
  <c r="K679" i="5"/>
  <c r="G679" i="5"/>
  <c r="B679" i="5"/>
  <c r="D679" i="5" s="1"/>
  <c r="A679" i="5"/>
  <c r="K678" i="5"/>
  <c r="G678" i="5"/>
  <c r="B678" i="5"/>
  <c r="D678" i="5" s="1"/>
  <c r="A678" i="5"/>
  <c r="G677" i="5"/>
  <c r="B677" i="5"/>
  <c r="D677" i="5" s="1"/>
  <c r="A677" i="5"/>
  <c r="G676" i="5"/>
  <c r="B676" i="5"/>
  <c r="E676" i="5" s="1"/>
  <c r="A676" i="5"/>
  <c r="K675" i="5"/>
  <c r="G675" i="5"/>
  <c r="B675" i="5"/>
  <c r="E675" i="5" s="1"/>
  <c r="A675" i="5"/>
  <c r="K674" i="5"/>
  <c r="G674" i="5"/>
  <c r="B674" i="5"/>
  <c r="D674" i="5" s="1"/>
  <c r="A674" i="5"/>
  <c r="K673" i="5"/>
  <c r="G673" i="5"/>
  <c r="B673" i="5"/>
  <c r="D673" i="5" s="1"/>
  <c r="A673" i="5"/>
  <c r="K672" i="5"/>
  <c r="G672" i="5"/>
  <c r="B672" i="5"/>
  <c r="D672" i="5" s="1"/>
  <c r="A672" i="5"/>
  <c r="K671" i="5"/>
  <c r="G671" i="5"/>
  <c r="B671" i="5"/>
  <c r="E671" i="5" s="1"/>
  <c r="A671" i="5"/>
  <c r="K670" i="5"/>
  <c r="G670" i="5"/>
  <c r="B670" i="5"/>
  <c r="E670" i="5" s="1"/>
  <c r="A670" i="5"/>
  <c r="G669" i="5"/>
  <c r="B669" i="5"/>
  <c r="D669" i="5" s="1"/>
  <c r="A669" i="5"/>
  <c r="K668" i="5"/>
  <c r="G668" i="5"/>
  <c r="B668" i="5"/>
  <c r="D668" i="5" s="1"/>
  <c r="A668" i="5"/>
  <c r="K667" i="5"/>
  <c r="G667" i="5"/>
  <c r="B667" i="5"/>
  <c r="D667" i="5" s="1"/>
  <c r="A667" i="5"/>
  <c r="K666" i="5"/>
  <c r="G666" i="5"/>
  <c r="B666" i="5"/>
  <c r="E666" i="5" s="1"/>
  <c r="A666" i="5"/>
  <c r="K665" i="5"/>
  <c r="G665" i="5"/>
  <c r="B665" i="5"/>
  <c r="E665" i="5" s="1"/>
  <c r="A665" i="5"/>
  <c r="K664" i="5"/>
  <c r="G664" i="5"/>
  <c r="B664" i="5"/>
  <c r="E664" i="5" s="1"/>
  <c r="A664" i="5"/>
  <c r="K663" i="5"/>
  <c r="G663" i="5"/>
  <c r="B663" i="5"/>
  <c r="D663" i="5" s="1"/>
  <c r="A663" i="5"/>
  <c r="K662" i="5"/>
  <c r="G662" i="5"/>
  <c r="B662" i="5"/>
  <c r="D662" i="5" s="1"/>
  <c r="A662" i="5"/>
  <c r="K661" i="5"/>
  <c r="G661" i="5"/>
  <c r="B661" i="5"/>
  <c r="E661" i="5" s="1"/>
  <c r="A661" i="5"/>
  <c r="K660" i="5"/>
  <c r="G660" i="5"/>
  <c r="B660" i="5"/>
  <c r="D660" i="5" s="1"/>
  <c r="A660" i="5"/>
  <c r="K659" i="5"/>
  <c r="G659" i="5"/>
  <c r="B659" i="5"/>
  <c r="D659" i="5" s="1"/>
  <c r="A659" i="5"/>
  <c r="K658" i="5"/>
  <c r="G658" i="5"/>
  <c r="B658" i="5"/>
  <c r="D658" i="5" s="1"/>
  <c r="A658" i="5"/>
  <c r="K657" i="5"/>
  <c r="G657" i="5"/>
  <c r="B657" i="5"/>
  <c r="D657" i="5" s="1"/>
  <c r="A657" i="5"/>
  <c r="K656" i="5"/>
  <c r="G656" i="5"/>
  <c r="B656" i="5"/>
  <c r="E656" i="5" s="1"/>
  <c r="A656" i="5"/>
  <c r="K655" i="5"/>
  <c r="G655" i="5"/>
  <c r="B655" i="5"/>
  <c r="E655" i="5" s="1"/>
  <c r="A655" i="5"/>
  <c r="K654" i="5"/>
  <c r="G654" i="5"/>
  <c r="B654" i="5"/>
  <c r="D654" i="5" s="1"/>
  <c r="A654" i="5"/>
  <c r="G653" i="5"/>
  <c r="B653" i="5"/>
  <c r="D653" i="5" s="1"/>
  <c r="A653" i="5"/>
  <c r="K652" i="5"/>
  <c r="G652" i="5"/>
  <c r="B652" i="5"/>
  <c r="D652" i="5" s="1"/>
  <c r="A652" i="5"/>
  <c r="K651" i="5"/>
  <c r="G651" i="5"/>
  <c r="B651" i="5"/>
  <c r="E651" i="5" s="1"/>
  <c r="A651" i="5"/>
  <c r="K650" i="5"/>
  <c r="G650" i="5"/>
  <c r="B650" i="5"/>
  <c r="E650" i="5" s="1"/>
  <c r="A650" i="5"/>
  <c r="K649" i="5"/>
  <c r="G649" i="5"/>
  <c r="B649" i="5"/>
  <c r="E649" i="5" s="1"/>
  <c r="A649" i="5"/>
  <c r="K648" i="5"/>
  <c r="G648" i="5"/>
  <c r="B648" i="5"/>
  <c r="D648" i="5" s="1"/>
  <c r="A648" i="5"/>
  <c r="K647" i="5"/>
  <c r="G647" i="5"/>
  <c r="B647" i="5"/>
  <c r="D647" i="5" s="1"/>
  <c r="A647" i="5"/>
  <c r="K646" i="5"/>
  <c r="G646" i="5"/>
  <c r="B646" i="5"/>
  <c r="D646" i="5" s="1"/>
  <c r="A646" i="5"/>
  <c r="G645" i="5"/>
  <c r="B645" i="5"/>
  <c r="D645" i="5" s="1"/>
  <c r="A645" i="5"/>
  <c r="K644" i="5"/>
  <c r="G644" i="5"/>
  <c r="B644" i="5"/>
  <c r="D644" i="5" s="1"/>
  <c r="A644" i="5"/>
  <c r="K643" i="5"/>
  <c r="G643" i="5"/>
  <c r="B643" i="5"/>
  <c r="E643" i="5" s="1"/>
  <c r="A643" i="5"/>
  <c r="K642" i="5"/>
  <c r="G642" i="5"/>
  <c r="B642" i="5"/>
  <c r="E642" i="5" s="1"/>
  <c r="A642" i="5"/>
  <c r="K641" i="5"/>
  <c r="G641" i="5"/>
  <c r="B641" i="5"/>
  <c r="D641" i="5" s="1"/>
  <c r="A641" i="5"/>
  <c r="K640" i="5"/>
  <c r="G640" i="5"/>
  <c r="B640" i="5"/>
  <c r="D640" i="5" s="1"/>
  <c r="A640" i="5"/>
  <c r="K639" i="5"/>
  <c r="G639" i="5"/>
  <c r="B639" i="5"/>
  <c r="D639" i="5" s="1"/>
  <c r="A639" i="5"/>
  <c r="K638" i="5"/>
  <c r="G638" i="5"/>
  <c r="B638" i="5"/>
  <c r="E638" i="5" s="1"/>
  <c r="A638" i="5"/>
  <c r="K637" i="5"/>
  <c r="G637" i="5"/>
  <c r="B637" i="5"/>
  <c r="E637" i="5" s="1"/>
  <c r="A637" i="5"/>
  <c r="G636" i="5"/>
  <c r="B636" i="5"/>
  <c r="D636" i="5" s="1"/>
  <c r="A636" i="5"/>
  <c r="G635" i="5"/>
  <c r="B635" i="5"/>
  <c r="D635" i="5" s="1"/>
  <c r="A635" i="5"/>
  <c r="K634" i="5"/>
  <c r="G634" i="5"/>
  <c r="B634" i="5"/>
  <c r="D634" i="5" s="1"/>
  <c r="A634" i="5"/>
  <c r="K633" i="5"/>
  <c r="G633" i="5"/>
  <c r="B633" i="5"/>
  <c r="E633" i="5" s="1"/>
  <c r="A633" i="5"/>
  <c r="K632" i="5"/>
  <c r="G632" i="5"/>
  <c r="B632" i="5"/>
  <c r="E632" i="5" s="1"/>
  <c r="A632" i="5"/>
  <c r="K631" i="5"/>
  <c r="G631" i="5"/>
  <c r="B631" i="5"/>
  <c r="D631" i="5" s="1"/>
  <c r="A631" i="5"/>
  <c r="K630" i="5"/>
  <c r="G630" i="5"/>
  <c r="B630" i="5"/>
  <c r="D630" i="5" s="1"/>
  <c r="A630" i="5"/>
  <c r="G629" i="5"/>
  <c r="B629" i="5"/>
  <c r="D629" i="5" s="1"/>
  <c r="A629" i="5"/>
  <c r="G628" i="5"/>
  <c r="B628" i="5"/>
  <c r="D628" i="5" s="1"/>
  <c r="A628" i="5"/>
  <c r="K627" i="5"/>
  <c r="G627" i="5"/>
  <c r="B627" i="5"/>
  <c r="E627" i="5" s="1"/>
  <c r="A627" i="5"/>
  <c r="K626" i="5"/>
  <c r="G626" i="5"/>
  <c r="B626" i="5"/>
  <c r="E626" i="5" s="1"/>
  <c r="A626" i="5"/>
  <c r="K625" i="5"/>
  <c r="G625" i="5"/>
  <c r="B625" i="5"/>
  <c r="D625" i="5" s="1"/>
  <c r="A625" i="5"/>
  <c r="K624" i="5"/>
  <c r="G624" i="5"/>
  <c r="B624" i="5"/>
  <c r="D624" i="5" s="1"/>
  <c r="A624" i="5"/>
  <c r="K623" i="5"/>
  <c r="G623" i="5"/>
  <c r="B623" i="5"/>
  <c r="D623" i="5" s="1"/>
  <c r="A623" i="5"/>
  <c r="K622" i="5"/>
  <c r="G622" i="5"/>
  <c r="B622" i="5"/>
  <c r="E622" i="5" s="1"/>
  <c r="A622" i="5"/>
  <c r="G621" i="5"/>
  <c r="B621" i="5"/>
  <c r="E621" i="5" s="1"/>
  <c r="A621" i="5"/>
  <c r="G620" i="5"/>
  <c r="B620" i="5"/>
  <c r="D620" i="5" s="1"/>
  <c r="A620" i="5"/>
  <c r="K619" i="5"/>
  <c r="G619" i="5"/>
  <c r="B619" i="5"/>
  <c r="D619" i="5" s="1"/>
  <c r="A619" i="5"/>
  <c r="K618" i="5"/>
  <c r="G618" i="5"/>
  <c r="B618" i="5"/>
  <c r="D618" i="5" s="1"/>
  <c r="A618" i="5"/>
  <c r="K617" i="5"/>
  <c r="G617" i="5"/>
  <c r="B617" i="5"/>
  <c r="D617" i="5" s="1"/>
  <c r="A617" i="5"/>
  <c r="K616" i="5"/>
  <c r="G616" i="5"/>
  <c r="B616" i="5"/>
  <c r="D616" i="5" s="1"/>
  <c r="A616" i="5"/>
  <c r="K615" i="5"/>
  <c r="G615" i="5"/>
  <c r="B615" i="5"/>
  <c r="D615" i="5" s="1"/>
  <c r="A615" i="5"/>
  <c r="K614" i="5"/>
  <c r="G614" i="5"/>
  <c r="B614" i="5"/>
  <c r="E614" i="5" s="1"/>
  <c r="A614" i="5"/>
  <c r="G613" i="5"/>
  <c r="B613" i="5"/>
  <c r="E613" i="5" s="1"/>
  <c r="A613" i="5"/>
  <c r="G612" i="5"/>
  <c r="B612" i="5"/>
  <c r="D612" i="5" s="1"/>
  <c r="A612" i="5"/>
  <c r="K611" i="5"/>
  <c r="G611" i="5"/>
  <c r="B611" i="5"/>
  <c r="D611" i="5" s="1"/>
  <c r="A611" i="5"/>
  <c r="K610" i="5"/>
  <c r="G610" i="5"/>
  <c r="B610" i="5"/>
  <c r="D610" i="5" s="1"/>
  <c r="A610" i="5"/>
  <c r="K609" i="5"/>
  <c r="G609" i="5"/>
  <c r="B609" i="5"/>
  <c r="D609" i="5" s="1"/>
  <c r="A609" i="5"/>
  <c r="K608" i="5"/>
  <c r="G608" i="5"/>
  <c r="B608" i="5"/>
  <c r="D608" i="5" s="1"/>
  <c r="A608" i="5"/>
  <c r="K607" i="5"/>
  <c r="G607" i="5"/>
  <c r="B607" i="5"/>
  <c r="D607" i="5" s="1"/>
  <c r="A607" i="5"/>
  <c r="K606" i="5"/>
  <c r="G606" i="5"/>
  <c r="B606" i="5"/>
  <c r="D606" i="5" s="1"/>
  <c r="A606" i="5"/>
  <c r="G605" i="5"/>
  <c r="B605" i="5"/>
  <c r="D605" i="5" s="1"/>
  <c r="A605" i="5"/>
  <c r="G604" i="5"/>
  <c r="B604" i="5"/>
  <c r="E604" i="5" s="1"/>
  <c r="A604" i="5"/>
  <c r="G603" i="5"/>
  <c r="B603" i="5"/>
  <c r="E603" i="5" s="1"/>
  <c r="A603" i="5"/>
  <c r="K602" i="5"/>
  <c r="G602" i="5"/>
  <c r="B602" i="5"/>
  <c r="D602" i="5" s="1"/>
  <c r="A602" i="5"/>
  <c r="K601" i="5"/>
  <c r="G601" i="5"/>
  <c r="B601" i="5"/>
  <c r="D601" i="5" s="1"/>
  <c r="A601" i="5"/>
  <c r="K600" i="5"/>
  <c r="G600" i="5"/>
  <c r="B600" i="5"/>
  <c r="D600" i="5" s="1"/>
  <c r="A600" i="5"/>
  <c r="K599" i="5"/>
  <c r="G599" i="5"/>
  <c r="B599" i="5"/>
  <c r="D599" i="5" s="1"/>
  <c r="A599" i="5"/>
  <c r="K598" i="5"/>
  <c r="G598" i="5"/>
  <c r="B598" i="5"/>
  <c r="D598" i="5" s="1"/>
  <c r="A598" i="5"/>
  <c r="K597" i="5"/>
  <c r="G597" i="5"/>
  <c r="B597" i="5"/>
  <c r="D597" i="5" s="1"/>
  <c r="A597" i="5"/>
  <c r="K596" i="5"/>
  <c r="G596" i="5"/>
  <c r="B596" i="5"/>
  <c r="D596" i="5" s="1"/>
  <c r="A596" i="5"/>
  <c r="G595" i="5"/>
  <c r="B595" i="5"/>
  <c r="E595" i="5" s="1"/>
  <c r="A595" i="5"/>
  <c r="K594" i="5"/>
  <c r="G594" i="5"/>
  <c r="B594" i="5"/>
  <c r="E594" i="5" s="1"/>
  <c r="A594" i="5"/>
  <c r="K593" i="5"/>
  <c r="G593" i="5"/>
  <c r="B593" i="5"/>
  <c r="D593" i="5" s="1"/>
  <c r="A593" i="5"/>
  <c r="K592" i="5"/>
  <c r="G592" i="5"/>
  <c r="B592" i="5"/>
  <c r="D592" i="5" s="1"/>
  <c r="A592" i="5"/>
  <c r="K591" i="5"/>
  <c r="G591" i="5"/>
  <c r="B591" i="5"/>
  <c r="D591" i="5" s="1"/>
  <c r="A591" i="5"/>
  <c r="K590" i="5"/>
  <c r="G590" i="5"/>
  <c r="B590" i="5"/>
  <c r="D590" i="5" s="1"/>
  <c r="A590" i="5"/>
  <c r="G589" i="5"/>
  <c r="B589" i="5"/>
  <c r="E589" i="5" s="1"/>
  <c r="A589" i="5"/>
  <c r="K588" i="5"/>
  <c r="G588" i="5"/>
  <c r="B588" i="5"/>
  <c r="E588" i="5" s="1"/>
  <c r="A588" i="5"/>
  <c r="K587" i="5"/>
  <c r="G587" i="5"/>
  <c r="B587" i="5"/>
  <c r="D587" i="5" s="1"/>
  <c r="A587" i="5"/>
  <c r="K586" i="5"/>
  <c r="G586" i="5"/>
  <c r="B586" i="5"/>
  <c r="D586" i="5" s="1"/>
  <c r="A586" i="5"/>
  <c r="K585" i="5"/>
  <c r="G585" i="5"/>
  <c r="B585" i="5"/>
  <c r="D585" i="5" s="1"/>
  <c r="A585" i="5"/>
  <c r="K584" i="5"/>
  <c r="G584" i="5"/>
  <c r="B584" i="5"/>
  <c r="D584" i="5" s="1"/>
  <c r="A584" i="5"/>
  <c r="K583" i="5"/>
  <c r="G583" i="5"/>
  <c r="B583" i="5"/>
  <c r="D583" i="5" s="1"/>
  <c r="A583" i="5"/>
  <c r="K582" i="5"/>
  <c r="G582" i="5"/>
  <c r="B582" i="5"/>
  <c r="D582" i="5" s="1"/>
  <c r="A582" i="5"/>
  <c r="K581" i="5"/>
  <c r="G581" i="5"/>
  <c r="B581" i="5"/>
  <c r="D581" i="5" s="1"/>
  <c r="A581" i="5"/>
  <c r="K580" i="5"/>
  <c r="G580" i="5"/>
  <c r="B580" i="5"/>
  <c r="D580" i="5" s="1"/>
  <c r="A580" i="5"/>
  <c r="K579" i="5"/>
  <c r="G579" i="5"/>
  <c r="B579" i="5"/>
  <c r="D579" i="5" s="1"/>
  <c r="A579" i="5"/>
  <c r="K578" i="5"/>
  <c r="G578" i="5"/>
  <c r="B578" i="5"/>
  <c r="E578" i="5" s="1"/>
  <c r="A578" i="5"/>
  <c r="K577" i="5"/>
  <c r="G577" i="5"/>
  <c r="B577" i="5"/>
  <c r="E577" i="5" s="1"/>
  <c r="A577" i="5"/>
  <c r="K576" i="5"/>
  <c r="G576" i="5"/>
  <c r="B576" i="5"/>
  <c r="D576" i="5" s="1"/>
  <c r="A576" i="5"/>
  <c r="K575" i="5"/>
  <c r="G575" i="5"/>
  <c r="B575" i="5"/>
  <c r="D575" i="5" s="1"/>
  <c r="A575" i="5"/>
  <c r="K574" i="5"/>
  <c r="G574" i="5"/>
  <c r="B574" i="5"/>
  <c r="D574" i="5" s="1"/>
  <c r="A574" i="5"/>
  <c r="G573" i="5"/>
  <c r="B573" i="5"/>
  <c r="E573" i="5" s="1"/>
  <c r="A573" i="5"/>
  <c r="G572" i="5"/>
  <c r="B572" i="5"/>
  <c r="E572" i="5" s="1"/>
  <c r="A572" i="5"/>
  <c r="K571" i="5"/>
  <c r="G571" i="5"/>
  <c r="B571" i="5"/>
  <c r="D571" i="5" s="1"/>
  <c r="A571" i="5"/>
  <c r="K570" i="5"/>
  <c r="G570" i="5"/>
  <c r="B570" i="5"/>
  <c r="D570" i="5" s="1"/>
  <c r="A570" i="5"/>
  <c r="K569" i="5"/>
  <c r="G569" i="5"/>
  <c r="B569" i="5"/>
  <c r="E569" i="5" s="1"/>
  <c r="A569" i="5"/>
  <c r="K568" i="5"/>
  <c r="G568" i="5"/>
  <c r="B568" i="5"/>
  <c r="E568" i="5" s="1"/>
  <c r="A568" i="5"/>
  <c r="K567" i="5"/>
  <c r="G567" i="5"/>
  <c r="B567" i="5"/>
  <c r="D567" i="5" s="1"/>
  <c r="A567" i="5"/>
  <c r="K566" i="5"/>
  <c r="G566" i="5"/>
  <c r="B566" i="5"/>
  <c r="D566" i="5" s="1"/>
  <c r="A566" i="5"/>
  <c r="K565" i="5"/>
  <c r="G565" i="5"/>
  <c r="B565" i="5"/>
  <c r="D565" i="5" s="1"/>
  <c r="A565" i="5"/>
  <c r="K564" i="5"/>
  <c r="G564" i="5"/>
  <c r="B564" i="5"/>
  <c r="D564" i="5" s="1"/>
  <c r="A564" i="5"/>
  <c r="G563" i="5"/>
  <c r="B563" i="5"/>
  <c r="D563" i="5" s="1"/>
  <c r="A563" i="5"/>
  <c r="K562" i="5"/>
  <c r="G562" i="5"/>
  <c r="B562" i="5"/>
  <c r="D562" i="5" s="1"/>
  <c r="A562" i="5"/>
  <c r="K561" i="5"/>
  <c r="G561" i="5"/>
  <c r="B561" i="5"/>
  <c r="D561" i="5" s="1"/>
  <c r="A561" i="5"/>
  <c r="K560" i="5"/>
  <c r="G560" i="5"/>
  <c r="B560" i="5"/>
  <c r="E560" i="5" s="1"/>
  <c r="A560" i="5"/>
  <c r="K559" i="5"/>
  <c r="G559" i="5"/>
  <c r="B559" i="5"/>
  <c r="E559" i="5" s="1"/>
  <c r="A559" i="5"/>
  <c r="K558" i="5"/>
  <c r="G558" i="5"/>
  <c r="B558" i="5"/>
  <c r="D558" i="5" s="1"/>
  <c r="A558" i="5"/>
  <c r="K557" i="5"/>
  <c r="G557" i="5"/>
  <c r="B557" i="5"/>
  <c r="D557" i="5" s="1"/>
  <c r="A557" i="5"/>
  <c r="K556" i="5"/>
  <c r="G556" i="5"/>
  <c r="B556" i="5"/>
  <c r="D556" i="5" s="1"/>
  <c r="A556" i="5"/>
  <c r="K555" i="5"/>
  <c r="G555" i="5"/>
  <c r="B555" i="5"/>
  <c r="E555" i="5" s="1"/>
  <c r="A555" i="5"/>
  <c r="K554" i="5"/>
  <c r="G554" i="5"/>
  <c r="B554" i="5"/>
  <c r="E554" i="5" s="1"/>
  <c r="A554" i="5"/>
  <c r="K553" i="5"/>
  <c r="G553" i="5"/>
  <c r="B553" i="5"/>
  <c r="D553" i="5" s="1"/>
  <c r="A553" i="5"/>
  <c r="K552" i="5"/>
  <c r="G552" i="5"/>
  <c r="B552" i="5"/>
  <c r="D552" i="5" s="1"/>
  <c r="A552" i="5"/>
  <c r="K551" i="5"/>
  <c r="G551" i="5"/>
  <c r="B551" i="5"/>
  <c r="D551" i="5" s="1"/>
  <c r="A551" i="5"/>
  <c r="K550" i="5"/>
  <c r="G550" i="5"/>
  <c r="B550" i="5"/>
  <c r="D550" i="5" s="1"/>
  <c r="A550" i="5"/>
  <c r="K549" i="5"/>
  <c r="G549" i="5"/>
  <c r="B549" i="5"/>
  <c r="D549" i="5" s="1"/>
  <c r="A549" i="5"/>
  <c r="G548" i="5"/>
  <c r="B548" i="5"/>
  <c r="E548" i="5" s="1"/>
  <c r="A548" i="5"/>
  <c r="G547" i="5"/>
  <c r="B547" i="5"/>
  <c r="D547" i="5" s="1"/>
  <c r="A547" i="5"/>
  <c r="K546" i="5"/>
  <c r="G546" i="5"/>
  <c r="B546" i="5"/>
  <c r="D546" i="5" s="1"/>
  <c r="A546" i="5"/>
  <c r="K545" i="5"/>
  <c r="G545" i="5"/>
  <c r="B545" i="5"/>
  <c r="D545" i="5" s="1"/>
  <c r="A545" i="5"/>
  <c r="K544" i="5"/>
  <c r="G544" i="5"/>
  <c r="B544" i="5"/>
  <c r="E544" i="5" s="1"/>
  <c r="A544" i="5"/>
  <c r="K543" i="5"/>
  <c r="G543" i="5"/>
  <c r="B543" i="5"/>
  <c r="E543" i="5" s="1"/>
  <c r="A543" i="5"/>
  <c r="K542" i="5"/>
  <c r="G542" i="5"/>
  <c r="B542" i="5"/>
  <c r="D542" i="5" s="1"/>
  <c r="A542" i="5"/>
  <c r="K541" i="5"/>
  <c r="G541" i="5"/>
  <c r="B541" i="5"/>
  <c r="D541" i="5" s="1"/>
  <c r="A541" i="5"/>
  <c r="G540" i="5"/>
  <c r="B540" i="5"/>
  <c r="D540" i="5" s="1"/>
  <c r="A540" i="5"/>
  <c r="G539" i="5"/>
  <c r="B539" i="5"/>
  <c r="D539" i="5" s="1"/>
  <c r="A539" i="5"/>
  <c r="K538" i="5"/>
  <c r="G538" i="5"/>
  <c r="B538" i="5"/>
  <c r="D538" i="5" s="1"/>
  <c r="A538" i="5"/>
  <c r="K537" i="5"/>
  <c r="G537" i="5"/>
  <c r="B537" i="5"/>
  <c r="D537" i="5" s="1"/>
  <c r="A537" i="5"/>
  <c r="K536" i="5"/>
  <c r="G536" i="5"/>
  <c r="B536" i="5"/>
  <c r="E536" i="5" s="1"/>
  <c r="A536" i="5"/>
  <c r="K535" i="5"/>
  <c r="G535" i="5"/>
  <c r="B535" i="5"/>
  <c r="E535" i="5" s="1"/>
  <c r="A535" i="5"/>
  <c r="K534" i="5"/>
  <c r="G534" i="5"/>
  <c r="B534" i="5"/>
  <c r="D534" i="5" s="1"/>
  <c r="A534" i="5"/>
  <c r="G533" i="5"/>
  <c r="B533" i="5"/>
  <c r="D533" i="5" s="1"/>
  <c r="A533" i="5"/>
  <c r="G532" i="5"/>
  <c r="B532" i="5"/>
  <c r="D532" i="5" s="1"/>
  <c r="A532" i="5"/>
  <c r="K531" i="5"/>
  <c r="G531" i="5"/>
  <c r="B531" i="5"/>
  <c r="E531" i="5" s="1"/>
  <c r="A531" i="5"/>
  <c r="K530" i="5"/>
  <c r="G530" i="5"/>
  <c r="B530" i="5"/>
  <c r="E530" i="5" s="1"/>
  <c r="A530" i="5"/>
  <c r="K529" i="5"/>
  <c r="G529" i="5"/>
  <c r="B529" i="5"/>
  <c r="D529" i="5" s="1"/>
  <c r="A529" i="5"/>
  <c r="K528" i="5"/>
  <c r="G528" i="5"/>
  <c r="B528" i="5"/>
  <c r="D528" i="5" s="1"/>
  <c r="A528" i="5"/>
  <c r="K527" i="5"/>
  <c r="G527" i="5"/>
  <c r="B527" i="5"/>
  <c r="D527" i="5" s="1"/>
  <c r="A527" i="5"/>
  <c r="K526" i="5"/>
  <c r="G526" i="5"/>
  <c r="B526" i="5"/>
  <c r="D526" i="5" s="1"/>
  <c r="A526" i="5"/>
  <c r="G525" i="5"/>
  <c r="B525" i="5"/>
  <c r="D525" i="5" s="1"/>
  <c r="A525" i="5"/>
  <c r="G524" i="5"/>
  <c r="B524" i="5"/>
  <c r="D524" i="5" s="1"/>
  <c r="A524" i="5"/>
  <c r="G523" i="5"/>
  <c r="B523" i="5"/>
  <c r="D523" i="5" s="1"/>
  <c r="A523" i="5"/>
  <c r="K522" i="5"/>
  <c r="G522" i="5"/>
  <c r="B522" i="5"/>
  <c r="D522" i="5" s="1"/>
  <c r="A522" i="5"/>
  <c r="K521" i="5"/>
  <c r="G521" i="5"/>
  <c r="B521" i="5"/>
  <c r="D521" i="5" s="1"/>
  <c r="A521" i="5"/>
  <c r="K520" i="5"/>
  <c r="G520" i="5"/>
  <c r="B520" i="5"/>
  <c r="D520" i="5" s="1"/>
  <c r="A520" i="5"/>
  <c r="K519" i="5"/>
  <c r="G519" i="5"/>
  <c r="B519" i="5"/>
  <c r="D519" i="5" s="1"/>
  <c r="A519" i="5"/>
  <c r="K518" i="5"/>
  <c r="G518" i="5"/>
  <c r="B518" i="5"/>
  <c r="D518" i="5" s="1"/>
  <c r="A518" i="5"/>
  <c r="K517" i="5"/>
  <c r="G517" i="5"/>
  <c r="B517" i="5"/>
  <c r="D517" i="5" s="1"/>
  <c r="A517" i="5"/>
  <c r="K516" i="5"/>
  <c r="G516" i="5"/>
  <c r="B516" i="5"/>
  <c r="E516" i="5" s="1"/>
  <c r="A516" i="5"/>
  <c r="G515" i="5"/>
  <c r="B515" i="5"/>
  <c r="E515" i="5" s="1"/>
  <c r="A515" i="5"/>
  <c r="K514" i="5"/>
  <c r="G514" i="5"/>
  <c r="B514" i="5"/>
  <c r="D514" i="5" s="1"/>
  <c r="A514" i="5"/>
  <c r="K513" i="5"/>
  <c r="G513" i="5"/>
  <c r="B513" i="5"/>
  <c r="D513" i="5" s="1"/>
  <c r="A513" i="5"/>
  <c r="K512" i="5"/>
  <c r="G512" i="5"/>
  <c r="B512" i="5"/>
  <c r="D512" i="5" s="1"/>
  <c r="A512" i="5"/>
  <c r="K511" i="5"/>
  <c r="G511" i="5"/>
  <c r="B511" i="5"/>
  <c r="D511" i="5" s="1"/>
  <c r="A511" i="5"/>
  <c r="K510" i="5"/>
  <c r="G510" i="5"/>
  <c r="B510" i="5"/>
  <c r="E510" i="5" s="1"/>
  <c r="A510" i="5"/>
  <c r="G509" i="5"/>
  <c r="B509" i="5"/>
  <c r="E509" i="5" s="1"/>
  <c r="A509" i="5"/>
  <c r="K508" i="5"/>
  <c r="G508" i="5"/>
  <c r="B508" i="5"/>
  <c r="D508" i="5" s="1"/>
  <c r="A508" i="5"/>
  <c r="G507" i="5"/>
  <c r="B507" i="5"/>
  <c r="D507" i="5" s="1"/>
  <c r="A507" i="5"/>
  <c r="K506" i="5"/>
  <c r="G506" i="5"/>
  <c r="B506" i="5"/>
  <c r="D506" i="5" s="1"/>
  <c r="A506" i="5"/>
  <c r="K505" i="5"/>
  <c r="G505" i="5"/>
  <c r="B505" i="5"/>
  <c r="D505" i="5" s="1"/>
  <c r="A505" i="5"/>
  <c r="K504" i="5"/>
  <c r="G504" i="5"/>
  <c r="B504" i="5"/>
  <c r="D504" i="5" s="1"/>
  <c r="A504" i="5"/>
  <c r="K503" i="5"/>
  <c r="G503" i="5"/>
  <c r="B503" i="5"/>
  <c r="D503" i="5" s="1"/>
  <c r="A503" i="5"/>
  <c r="K502" i="5"/>
  <c r="G502" i="5"/>
  <c r="B502" i="5"/>
  <c r="E502" i="5" s="1"/>
  <c r="A502" i="5"/>
  <c r="K501" i="5"/>
  <c r="G501" i="5"/>
  <c r="B501" i="5"/>
  <c r="E501" i="5" s="1"/>
  <c r="A501" i="5"/>
  <c r="G500" i="5"/>
  <c r="B500" i="5"/>
  <c r="E500" i="5" s="1"/>
  <c r="A500" i="5"/>
  <c r="G499" i="5"/>
  <c r="B499" i="5"/>
  <c r="D499" i="5" s="1"/>
  <c r="A499" i="5"/>
  <c r="K498" i="5"/>
  <c r="G498" i="5"/>
  <c r="B498" i="5"/>
  <c r="D498" i="5" s="1"/>
  <c r="A498" i="5"/>
  <c r="K497" i="5"/>
  <c r="G497" i="5"/>
  <c r="B497" i="5"/>
  <c r="D497" i="5" s="1"/>
  <c r="A497" i="5"/>
  <c r="K496" i="5"/>
  <c r="G496" i="5"/>
  <c r="B496" i="5"/>
  <c r="D496" i="5" s="1"/>
  <c r="A496" i="5"/>
  <c r="K495" i="5"/>
  <c r="G495" i="5"/>
  <c r="B495" i="5"/>
  <c r="D495" i="5" s="1"/>
  <c r="A495" i="5"/>
  <c r="K494" i="5"/>
  <c r="G494" i="5"/>
  <c r="B494" i="5"/>
  <c r="D494" i="5" s="1"/>
  <c r="A494" i="5"/>
  <c r="K493" i="5"/>
  <c r="G493" i="5"/>
  <c r="B493" i="5"/>
  <c r="D493" i="5" s="1"/>
  <c r="A493" i="5"/>
  <c r="K492" i="5"/>
  <c r="G492" i="5"/>
  <c r="B492" i="5"/>
  <c r="D492" i="5" s="1"/>
  <c r="A492" i="5"/>
  <c r="G491" i="5"/>
  <c r="B491" i="5"/>
  <c r="D491" i="5" s="1"/>
  <c r="A491" i="5"/>
  <c r="K490" i="5"/>
  <c r="G490" i="5"/>
  <c r="B490" i="5"/>
  <c r="D490" i="5" s="1"/>
  <c r="A490" i="5"/>
  <c r="K489" i="5"/>
  <c r="G489" i="5"/>
  <c r="B489" i="5"/>
  <c r="E489" i="5" s="1"/>
  <c r="A489" i="5"/>
  <c r="K488" i="5"/>
  <c r="G488" i="5"/>
  <c r="B488" i="5"/>
  <c r="E488" i="5" s="1"/>
  <c r="A488" i="5"/>
  <c r="K487" i="5"/>
  <c r="G487" i="5"/>
  <c r="B487" i="5"/>
  <c r="D487" i="5" s="1"/>
  <c r="A487" i="5"/>
  <c r="K486" i="5"/>
  <c r="G486" i="5"/>
  <c r="B486" i="5"/>
  <c r="D486" i="5" s="1"/>
  <c r="A486" i="5"/>
  <c r="K485" i="5"/>
  <c r="G485" i="5"/>
  <c r="B485" i="5"/>
  <c r="D485" i="5" s="1"/>
  <c r="A485" i="5"/>
  <c r="K484" i="5"/>
  <c r="G484" i="5"/>
  <c r="B484" i="5"/>
  <c r="E484" i="5" s="1"/>
  <c r="A484" i="5"/>
  <c r="G483" i="5"/>
  <c r="B483" i="5"/>
  <c r="D483" i="5" s="1"/>
  <c r="A483" i="5"/>
  <c r="K482" i="5"/>
  <c r="G482" i="5"/>
  <c r="B482" i="5"/>
  <c r="E482" i="5" s="1"/>
  <c r="A482" i="5"/>
  <c r="K481" i="5"/>
  <c r="G481" i="5"/>
  <c r="B481" i="5"/>
  <c r="D481" i="5" s="1"/>
  <c r="A481" i="5"/>
  <c r="K480" i="5"/>
  <c r="G480" i="5"/>
  <c r="B480" i="5"/>
  <c r="D480" i="5" s="1"/>
  <c r="A480" i="5"/>
  <c r="K479" i="5"/>
  <c r="G479" i="5"/>
  <c r="B479" i="5"/>
  <c r="D479" i="5" s="1"/>
  <c r="A479" i="5"/>
  <c r="K478" i="5"/>
  <c r="G478" i="5"/>
  <c r="B478" i="5"/>
  <c r="D478" i="5" s="1"/>
  <c r="A478" i="5"/>
  <c r="K477" i="5"/>
  <c r="G477" i="5"/>
  <c r="B477" i="5"/>
  <c r="E477" i="5" s="1"/>
  <c r="A477" i="5"/>
  <c r="G476" i="5"/>
  <c r="B476" i="5"/>
  <c r="D476" i="5" s="1"/>
  <c r="A476" i="5"/>
  <c r="G475" i="5"/>
  <c r="B475" i="5"/>
  <c r="D475" i="5" s="1"/>
  <c r="A475" i="5"/>
  <c r="K474" i="5"/>
  <c r="G474" i="5"/>
  <c r="B474" i="5"/>
  <c r="E474" i="5" s="1"/>
  <c r="A474" i="5"/>
  <c r="K473" i="5"/>
  <c r="G473" i="5"/>
  <c r="B473" i="5"/>
  <c r="E473" i="5" s="1"/>
  <c r="A473" i="5"/>
  <c r="K472" i="5"/>
  <c r="G472" i="5"/>
  <c r="B472" i="5"/>
  <c r="D472" i="5" s="1"/>
  <c r="A472" i="5"/>
  <c r="K471" i="5"/>
  <c r="G471" i="5"/>
  <c r="B471" i="5"/>
  <c r="D471" i="5" s="1"/>
  <c r="A471" i="5"/>
  <c r="K470" i="5"/>
  <c r="G470" i="5"/>
  <c r="B470" i="5"/>
  <c r="D470" i="5" s="1"/>
  <c r="A470" i="5"/>
  <c r="K469" i="5"/>
  <c r="G469" i="5"/>
  <c r="B469" i="5"/>
  <c r="D469" i="5" s="1"/>
  <c r="A469" i="5"/>
  <c r="G468" i="5"/>
  <c r="B468" i="5"/>
  <c r="D468" i="5" s="1"/>
  <c r="A468" i="5"/>
  <c r="G467" i="5"/>
  <c r="B467" i="5"/>
  <c r="D467" i="5" s="1"/>
  <c r="A467" i="5"/>
  <c r="K466" i="5"/>
  <c r="G466" i="5"/>
  <c r="B466" i="5"/>
  <c r="E466" i="5" s="1"/>
  <c r="A466" i="5"/>
  <c r="K465" i="5"/>
  <c r="G465" i="5"/>
  <c r="B465" i="5"/>
  <c r="E465" i="5" s="1"/>
  <c r="A465" i="5"/>
  <c r="K464" i="5"/>
  <c r="G464" i="5"/>
  <c r="B464" i="5"/>
  <c r="D464" i="5" s="1"/>
  <c r="A464" i="5"/>
  <c r="K463" i="5"/>
  <c r="G463" i="5"/>
  <c r="B463" i="5"/>
  <c r="D463" i="5" s="1"/>
  <c r="A463" i="5"/>
  <c r="K462" i="5"/>
  <c r="G462" i="5"/>
  <c r="B462" i="5"/>
  <c r="D462" i="5" s="1"/>
  <c r="A462" i="5"/>
  <c r="G461" i="5"/>
  <c r="B461" i="5"/>
  <c r="E461" i="5" s="1"/>
  <c r="A461" i="5"/>
  <c r="G460" i="5"/>
  <c r="B460" i="5"/>
  <c r="E460" i="5" s="1"/>
  <c r="A460" i="5"/>
  <c r="K459" i="5"/>
  <c r="G459" i="5"/>
  <c r="B459" i="5"/>
  <c r="E459" i="5" s="1"/>
  <c r="A459" i="5"/>
  <c r="K458" i="5"/>
  <c r="G458" i="5"/>
  <c r="B458" i="5"/>
  <c r="E458" i="5" s="1"/>
  <c r="A458" i="5"/>
  <c r="K457" i="5"/>
  <c r="G457" i="5"/>
  <c r="B457" i="5"/>
  <c r="D457" i="5" s="1"/>
  <c r="A457" i="5"/>
  <c r="K456" i="5"/>
  <c r="G456" i="5"/>
  <c r="B456" i="5"/>
  <c r="D456" i="5" s="1"/>
  <c r="A456" i="5"/>
  <c r="K455" i="5"/>
  <c r="G455" i="5"/>
  <c r="B455" i="5"/>
  <c r="D455" i="5" s="1"/>
  <c r="A455" i="5"/>
  <c r="K454" i="5"/>
  <c r="G454" i="5"/>
  <c r="B454" i="5"/>
  <c r="D454" i="5" s="1"/>
  <c r="A454" i="5"/>
  <c r="G453" i="5"/>
  <c r="B453" i="5"/>
  <c r="D453" i="5" s="1"/>
  <c r="A453" i="5"/>
  <c r="K452" i="5"/>
  <c r="G452" i="5"/>
  <c r="B452" i="5"/>
  <c r="D452" i="5" s="1"/>
  <c r="A452" i="5"/>
  <c r="K451" i="5"/>
  <c r="G451" i="5"/>
  <c r="B451" i="5"/>
  <c r="D451" i="5" s="1"/>
  <c r="A451" i="5"/>
  <c r="K450" i="5"/>
  <c r="G450" i="5"/>
  <c r="B450" i="5"/>
  <c r="D450" i="5" s="1"/>
  <c r="A450" i="5"/>
  <c r="K449" i="5"/>
  <c r="G449" i="5"/>
  <c r="B449" i="5"/>
  <c r="E449" i="5" s="1"/>
  <c r="A449" i="5"/>
  <c r="K448" i="5"/>
  <c r="G448" i="5"/>
  <c r="B448" i="5"/>
  <c r="E448" i="5" s="1"/>
  <c r="A448" i="5"/>
  <c r="K447" i="5"/>
  <c r="G447" i="5"/>
  <c r="B447" i="5"/>
  <c r="D447" i="5" s="1"/>
  <c r="A447" i="5"/>
  <c r="K446" i="5"/>
  <c r="G446" i="5"/>
  <c r="B446" i="5"/>
  <c r="D446" i="5" s="1"/>
  <c r="A446" i="5"/>
  <c r="K445" i="5"/>
  <c r="G445" i="5"/>
  <c r="B445" i="5"/>
  <c r="E445" i="5" s="1"/>
  <c r="A445" i="5"/>
  <c r="K444" i="5"/>
  <c r="G444" i="5"/>
  <c r="B444" i="5"/>
  <c r="E444" i="5" s="1"/>
  <c r="A444" i="5"/>
  <c r="K443" i="5"/>
  <c r="G443" i="5"/>
  <c r="B443" i="5"/>
  <c r="D443" i="5" s="1"/>
  <c r="A443" i="5"/>
  <c r="K442" i="5"/>
  <c r="G442" i="5"/>
  <c r="B442" i="5"/>
  <c r="D442" i="5" s="1"/>
  <c r="A442" i="5"/>
  <c r="K441" i="5"/>
  <c r="G441" i="5"/>
  <c r="B441" i="5"/>
  <c r="D441" i="5" s="1"/>
  <c r="A441" i="5"/>
  <c r="K440" i="5"/>
  <c r="G440" i="5"/>
  <c r="B440" i="5"/>
  <c r="D440" i="5" s="1"/>
  <c r="A440" i="5"/>
  <c r="K439" i="5"/>
  <c r="G439" i="5"/>
  <c r="B439" i="5"/>
  <c r="D439" i="5" s="1"/>
  <c r="A439" i="5"/>
  <c r="K438" i="5"/>
  <c r="G438" i="5"/>
  <c r="B438" i="5"/>
  <c r="D438" i="5" s="1"/>
  <c r="A438" i="5"/>
  <c r="G437" i="5"/>
  <c r="B437" i="5"/>
  <c r="D437" i="5" s="1"/>
  <c r="A437" i="5"/>
  <c r="K436" i="5"/>
  <c r="G436" i="5"/>
  <c r="B436" i="5"/>
  <c r="D436" i="5" s="1"/>
  <c r="A436" i="5"/>
  <c r="G435" i="5"/>
  <c r="B435" i="5"/>
  <c r="D435" i="5" s="1"/>
  <c r="A435" i="5"/>
  <c r="K434" i="5"/>
  <c r="G434" i="5"/>
  <c r="B434" i="5"/>
  <c r="D434" i="5" s="1"/>
  <c r="A434" i="5"/>
  <c r="K433" i="5"/>
  <c r="G433" i="5"/>
  <c r="B433" i="5"/>
  <c r="D433" i="5" s="1"/>
  <c r="A433" i="5"/>
  <c r="K432" i="5"/>
  <c r="G432" i="5"/>
  <c r="B432" i="5"/>
  <c r="D432" i="5" s="1"/>
  <c r="A432" i="5"/>
  <c r="K431" i="5"/>
  <c r="G431" i="5"/>
  <c r="B431" i="5"/>
  <c r="D431" i="5" s="1"/>
  <c r="A431" i="5"/>
  <c r="K430" i="5"/>
  <c r="G430" i="5"/>
  <c r="B430" i="5"/>
  <c r="D430" i="5" s="1"/>
  <c r="A430" i="5"/>
  <c r="G429" i="5"/>
  <c r="B429" i="5"/>
  <c r="D429" i="5" s="1"/>
  <c r="A429" i="5"/>
  <c r="K428" i="5"/>
  <c r="G428" i="5"/>
  <c r="B428" i="5"/>
  <c r="D428" i="5" s="1"/>
  <c r="A428" i="5"/>
  <c r="G427" i="5"/>
  <c r="B427" i="5"/>
  <c r="D427" i="5" s="1"/>
  <c r="A427" i="5"/>
  <c r="K426" i="5"/>
  <c r="G426" i="5"/>
  <c r="B426" i="5"/>
  <c r="D426" i="5" s="1"/>
  <c r="A426" i="5"/>
  <c r="K425" i="5"/>
  <c r="G425" i="5"/>
  <c r="B425" i="5"/>
  <c r="D425" i="5" s="1"/>
  <c r="A425" i="5"/>
  <c r="K424" i="5"/>
  <c r="G424" i="5"/>
  <c r="B424" i="5"/>
  <c r="D424" i="5" s="1"/>
  <c r="A424" i="5"/>
  <c r="K423" i="5"/>
  <c r="G423" i="5"/>
  <c r="B423" i="5"/>
  <c r="D423" i="5" s="1"/>
  <c r="A423" i="5"/>
  <c r="K422" i="5"/>
  <c r="G422" i="5"/>
  <c r="B422" i="5"/>
  <c r="D422" i="5" s="1"/>
  <c r="A422" i="5"/>
  <c r="K421" i="5"/>
  <c r="G421" i="5"/>
  <c r="B421" i="5"/>
  <c r="D421" i="5" s="1"/>
  <c r="A421" i="5"/>
  <c r="G420" i="5"/>
  <c r="B420" i="5"/>
  <c r="D420" i="5" s="1"/>
  <c r="A420" i="5"/>
  <c r="G419" i="5"/>
  <c r="B419" i="5"/>
  <c r="D419" i="5" s="1"/>
  <c r="A419" i="5"/>
  <c r="K418" i="5"/>
  <c r="G418" i="5"/>
  <c r="B418" i="5"/>
  <c r="E418" i="5" s="1"/>
  <c r="A418" i="5"/>
  <c r="K417" i="5"/>
  <c r="G417" i="5"/>
  <c r="B417" i="5"/>
  <c r="E417" i="5" s="1"/>
  <c r="A417" i="5"/>
  <c r="K416" i="5"/>
  <c r="G416" i="5"/>
  <c r="B416" i="5"/>
  <c r="E416" i="5" s="1"/>
  <c r="A416" i="5"/>
  <c r="K415" i="5"/>
  <c r="G415" i="5"/>
  <c r="B415" i="5"/>
  <c r="D415" i="5" s="1"/>
  <c r="A415" i="5"/>
  <c r="K414" i="5"/>
  <c r="G414" i="5"/>
  <c r="B414" i="5"/>
  <c r="D414" i="5" s="1"/>
  <c r="A414" i="5"/>
  <c r="K413" i="5"/>
  <c r="G413" i="5"/>
  <c r="B413" i="5"/>
  <c r="E413" i="5" s="1"/>
  <c r="A413" i="5"/>
  <c r="G412" i="5"/>
  <c r="B412" i="5"/>
  <c r="E412" i="5" s="1"/>
  <c r="A412" i="5"/>
  <c r="G411" i="5"/>
  <c r="B411" i="5"/>
  <c r="E411" i="5" s="1"/>
  <c r="A411" i="5"/>
  <c r="K410" i="5"/>
  <c r="G410" i="5"/>
  <c r="B410" i="5"/>
  <c r="E410" i="5" s="1"/>
  <c r="A410" i="5"/>
  <c r="K409" i="5"/>
  <c r="G409" i="5"/>
  <c r="B409" i="5"/>
  <c r="D409" i="5" s="1"/>
  <c r="A409" i="5"/>
  <c r="K408" i="5"/>
  <c r="G408" i="5"/>
  <c r="B408" i="5"/>
  <c r="E408" i="5" s="1"/>
  <c r="A408" i="5"/>
  <c r="K407" i="5"/>
  <c r="G407" i="5"/>
  <c r="B407" i="5"/>
  <c r="E407" i="5" s="1"/>
  <c r="A407" i="5"/>
  <c r="K406" i="5"/>
  <c r="G406" i="5"/>
  <c r="B406" i="5"/>
  <c r="E406" i="5" s="1"/>
  <c r="A406" i="5"/>
  <c r="G405" i="5"/>
  <c r="B405" i="5"/>
  <c r="D405" i="5" s="1"/>
  <c r="A405" i="5"/>
  <c r="K404" i="5"/>
  <c r="G404" i="5"/>
  <c r="B404" i="5"/>
  <c r="D404" i="5" s="1"/>
  <c r="A404" i="5"/>
  <c r="K403" i="5"/>
  <c r="G403" i="5"/>
  <c r="B403" i="5"/>
  <c r="D403" i="5" s="1"/>
  <c r="A403" i="5"/>
  <c r="K402" i="5"/>
  <c r="G402" i="5"/>
  <c r="B402" i="5"/>
  <c r="E402" i="5" s="1"/>
  <c r="A402" i="5"/>
  <c r="K401" i="5"/>
  <c r="G401" i="5"/>
  <c r="B401" i="5"/>
  <c r="E401" i="5" s="1"/>
  <c r="A401" i="5"/>
  <c r="K400" i="5"/>
  <c r="G400" i="5"/>
  <c r="B400" i="5"/>
  <c r="E400" i="5" s="1"/>
  <c r="A400" i="5"/>
  <c r="K399" i="5"/>
  <c r="G399" i="5"/>
  <c r="B399" i="5"/>
  <c r="E399" i="5" s="1"/>
  <c r="A399" i="5"/>
  <c r="K398" i="5"/>
  <c r="G398" i="5"/>
  <c r="B398" i="5"/>
  <c r="D398" i="5" s="1"/>
  <c r="A398" i="5"/>
  <c r="G397" i="5"/>
  <c r="B397" i="5"/>
  <c r="D397" i="5" s="1"/>
  <c r="A397" i="5"/>
  <c r="K396" i="5"/>
  <c r="G396" i="5"/>
  <c r="B396" i="5"/>
  <c r="E396" i="5" s="1"/>
  <c r="A396" i="5"/>
  <c r="K395" i="5"/>
  <c r="G395" i="5"/>
  <c r="B395" i="5"/>
  <c r="D395" i="5" s="1"/>
  <c r="A395" i="5"/>
  <c r="K394" i="5"/>
  <c r="G394" i="5"/>
  <c r="B394" i="5"/>
  <c r="E394" i="5" s="1"/>
  <c r="A394" i="5"/>
  <c r="K393" i="5"/>
  <c r="G393" i="5"/>
  <c r="B393" i="5"/>
  <c r="E393" i="5" s="1"/>
  <c r="A393" i="5"/>
  <c r="K392" i="5"/>
  <c r="G392" i="5"/>
  <c r="B392" i="5"/>
  <c r="E392" i="5" s="1"/>
  <c r="A392" i="5"/>
  <c r="K391" i="5"/>
  <c r="G391" i="5"/>
  <c r="B391" i="5"/>
  <c r="E391" i="5" s="1"/>
  <c r="A391" i="5"/>
  <c r="K390" i="5"/>
  <c r="G390" i="5"/>
  <c r="B390" i="5"/>
  <c r="D390" i="5" s="1"/>
  <c r="A390" i="5"/>
  <c r="K389" i="5"/>
  <c r="G389" i="5"/>
  <c r="B389" i="5"/>
  <c r="D389" i="5" s="1"/>
  <c r="A389" i="5"/>
  <c r="K388" i="5"/>
  <c r="G388" i="5"/>
  <c r="B388" i="5"/>
  <c r="D388" i="5" s="1"/>
  <c r="A388" i="5"/>
  <c r="G387" i="5"/>
  <c r="B387" i="5"/>
  <c r="E387" i="5" s="1"/>
  <c r="A387" i="5"/>
  <c r="K386" i="5"/>
  <c r="G386" i="5"/>
  <c r="B386" i="5"/>
  <c r="E386" i="5" s="1"/>
  <c r="A386" i="5"/>
  <c r="K385" i="5"/>
  <c r="G385" i="5"/>
  <c r="B385" i="5"/>
  <c r="E385" i="5" s="1"/>
  <c r="A385" i="5"/>
  <c r="K384" i="5"/>
  <c r="G384" i="5"/>
  <c r="B384" i="5"/>
  <c r="E384" i="5" s="1"/>
  <c r="A384" i="5"/>
  <c r="K383" i="5"/>
  <c r="G383" i="5"/>
  <c r="B383" i="5"/>
  <c r="E383" i="5" s="1"/>
  <c r="A383" i="5"/>
  <c r="K382" i="5"/>
  <c r="G382" i="5"/>
  <c r="B382" i="5"/>
  <c r="E382" i="5" s="1"/>
  <c r="A382" i="5"/>
  <c r="K381" i="5"/>
  <c r="G381" i="5"/>
  <c r="B381" i="5"/>
  <c r="D381" i="5" s="1"/>
  <c r="A381" i="5"/>
  <c r="G380" i="5"/>
  <c r="B380" i="5"/>
  <c r="D380" i="5" s="1"/>
  <c r="A380" i="5"/>
  <c r="G379" i="5"/>
  <c r="B379" i="5"/>
  <c r="E379" i="5" s="1"/>
  <c r="A379" i="5"/>
  <c r="K378" i="5"/>
  <c r="G378" i="5"/>
  <c r="B378" i="5"/>
  <c r="D378" i="5" s="1"/>
  <c r="A378" i="5"/>
  <c r="K377" i="5"/>
  <c r="G377" i="5"/>
  <c r="B377" i="5"/>
  <c r="E377" i="5" s="1"/>
  <c r="A377" i="5"/>
  <c r="K376" i="5"/>
  <c r="G376" i="5"/>
  <c r="B376" i="5"/>
  <c r="D376" i="5" s="1"/>
  <c r="A376" i="5"/>
  <c r="K375" i="5"/>
  <c r="G375" i="5"/>
  <c r="B375" i="5"/>
  <c r="E375" i="5" s="1"/>
  <c r="A375" i="5"/>
  <c r="K374" i="5"/>
  <c r="G374" i="5"/>
  <c r="B374" i="5"/>
  <c r="E374" i="5" s="1"/>
  <c r="A374" i="5"/>
  <c r="G373" i="5"/>
  <c r="B373" i="5"/>
  <c r="E373" i="5" s="1"/>
  <c r="A373" i="5"/>
  <c r="G372" i="5"/>
  <c r="B372" i="5"/>
  <c r="E372" i="5" s="1"/>
  <c r="A372" i="5"/>
  <c r="K371" i="5"/>
  <c r="G371" i="5"/>
  <c r="B371" i="5"/>
  <c r="E371" i="5" s="1"/>
  <c r="A371" i="5"/>
  <c r="K370" i="5"/>
  <c r="G370" i="5"/>
  <c r="B370" i="5"/>
  <c r="E370" i="5" s="1"/>
  <c r="A370" i="5"/>
  <c r="K369" i="5"/>
  <c r="G369" i="5"/>
  <c r="B369" i="5"/>
  <c r="D369" i="5" s="1"/>
  <c r="A369" i="5"/>
  <c r="K368" i="5"/>
  <c r="G368" i="5"/>
  <c r="B368" i="5"/>
  <c r="E368" i="5" s="1"/>
  <c r="A368" i="5"/>
  <c r="K367" i="5"/>
  <c r="G367" i="5"/>
  <c r="B367" i="5"/>
  <c r="E367" i="5" s="1"/>
  <c r="A367" i="5"/>
  <c r="K366" i="5"/>
  <c r="G366" i="5"/>
  <c r="B366" i="5"/>
  <c r="D366" i="5" s="1"/>
  <c r="A366" i="5"/>
  <c r="G365" i="5"/>
  <c r="B365" i="5"/>
  <c r="E365" i="5" s="1"/>
  <c r="A365" i="5"/>
  <c r="G364" i="5"/>
  <c r="B364" i="5"/>
  <c r="D364" i="5" s="1"/>
  <c r="A364" i="5"/>
  <c r="K363" i="5"/>
  <c r="G363" i="5"/>
  <c r="B363" i="5"/>
  <c r="D363" i="5" s="1"/>
  <c r="A363" i="5"/>
  <c r="K362" i="5"/>
  <c r="G362" i="5"/>
  <c r="B362" i="5"/>
  <c r="D362" i="5" s="1"/>
  <c r="A362" i="5"/>
  <c r="K361" i="5"/>
  <c r="G361" i="5"/>
  <c r="B361" i="5"/>
  <c r="D361" i="5" s="1"/>
  <c r="A361" i="5"/>
  <c r="K360" i="5"/>
  <c r="G360" i="5"/>
  <c r="B360" i="5"/>
  <c r="E360" i="5" s="1"/>
  <c r="A360" i="5"/>
  <c r="K359" i="5"/>
  <c r="G359" i="5"/>
  <c r="B359" i="5"/>
  <c r="D359" i="5" s="1"/>
  <c r="A359" i="5"/>
  <c r="K358" i="5"/>
  <c r="G358" i="5"/>
  <c r="B358" i="5"/>
  <c r="D358" i="5" s="1"/>
  <c r="A358" i="5"/>
  <c r="G357" i="5"/>
  <c r="B357" i="5"/>
  <c r="D357" i="5" s="1"/>
  <c r="A357" i="5"/>
  <c r="K356" i="5"/>
  <c r="G356" i="5"/>
  <c r="B356" i="5"/>
  <c r="D356" i="5" s="1"/>
  <c r="A356" i="5"/>
  <c r="G355" i="5"/>
  <c r="B355" i="5"/>
  <c r="E355" i="5" s="1"/>
  <c r="A355" i="5"/>
  <c r="K354" i="5"/>
  <c r="G354" i="5"/>
  <c r="B354" i="5"/>
  <c r="E354" i="5" s="1"/>
  <c r="A354" i="5"/>
  <c r="K353" i="5"/>
  <c r="G353" i="5"/>
  <c r="B353" i="5"/>
  <c r="E353" i="5" s="1"/>
  <c r="A353" i="5"/>
  <c r="K352" i="5"/>
  <c r="G352" i="5"/>
  <c r="B352" i="5"/>
  <c r="E352" i="5" s="1"/>
  <c r="A352" i="5"/>
  <c r="K351" i="5"/>
  <c r="G351" i="5"/>
  <c r="B351" i="5"/>
  <c r="D351" i="5" s="1"/>
  <c r="A351" i="5"/>
  <c r="K350" i="5"/>
  <c r="G350" i="5"/>
  <c r="B350" i="5"/>
  <c r="E350" i="5" s="1"/>
  <c r="A350" i="5"/>
  <c r="G349" i="5"/>
  <c r="B349" i="5"/>
  <c r="E349" i="5" s="1"/>
  <c r="A349" i="5"/>
  <c r="G348" i="5"/>
  <c r="B348" i="5"/>
  <c r="E348" i="5" s="1"/>
  <c r="A348" i="5"/>
  <c r="K347" i="5"/>
  <c r="G347" i="5"/>
  <c r="B347" i="5"/>
  <c r="E347" i="5" s="1"/>
  <c r="A347" i="5"/>
  <c r="K346" i="5"/>
  <c r="G346" i="5"/>
  <c r="B346" i="5"/>
  <c r="D346" i="5" s="1"/>
  <c r="A346" i="5"/>
  <c r="K345" i="5"/>
  <c r="G345" i="5"/>
  <c r="B345" i="5"/>
  <c r="E345" i="5" s="1"/>
  <c r="A345" i="5"/>
  <c r="K344" i="5"/>
  <c r="G344" i="5"/>
  <c r="B344" i="5"/>
  <c r="E344" i="5" s="1"/>
  <c r="A344" i="5"/>
  <c r="K343" i="5"/>
  <c r="G343" i="5"/>
  <c r="B343" i="5"/>
  <c r="D343" i="5" s="1"/>
  <c r="A343" i="5"/>
  <c r="K342" i="5"/>
  <c r="G342" i="5"/>
  <c r="B342" i="5"/>
  <c r="D342" i="5" s="1"/>
  <c r="A342" i="5"/>
  <c r="K341" i="5"/>
  <c r="G341" i="5"/>
  <c r="B341" i="5"/>
  <c r="E341" i="5" s="1"/>
  <c r="A341" i="5"/>
  <c r="K340" i="5"/>
  <c r="G340" i="5"/>
  <c r="B340" i="5"/>
  <c r="E340" i="5" s="1"/>
  <c r="A340" i="5"/>
  <c r="G339" i="5"/>
  <c r="B339" i="5"/>
  <c r="E339" i="5" s="1"/>
  <c r="A339" i="5"/>
  <c r="K338" i="5"/>
  <c r="G338" i="5"/>
  <c r="B338" i="5"/>
  <c r="E338" i="5" s="1"/>
  <c r="A338" i="5"/>
  <c r="K337" i="5"/>
  <c r="G337" i="5"/>
  <c r="B337" i="5"/>
  <c r="E337" i="5" s="1"/>
  <c r="A337" i="5"/>
  <c r="K336" i="5"/>
  <c r="G336" i="5"/>
  <c r="B336" i="5"/>
  <c r="E336" i="5" s="1"/>
  <c r="A336" i="5"/>
  <c r="K335" i="5"/>
  <c r="G335" i="5"/>
  <c r="B335" i="5"/>
  <c r="D335" i="5" s="1"/>
  <c r="A335" i="5"/>
  <c r="K334" i="5"/>
  <c r="G334" i="5"/>
  <c r="B334" i="5"/>
  <c r="D334" i="5" s="1"/>
  <c r="A334" i="5"/>
  <c r="G333" i="5"/>
  <c r="B333" i="5"/>
  <c r="E333" i="5" s="1"/>
  <c r="A333" i="5"/>
  <c r="K332" i="5"/>
  <c r="G332" i="5"/>
  <c r="B332" i="5"/>
  <c r="D332" i="5" s="1"/>
  <c r="A332" i="5"/>
  <c r="K331" i="5"/>
  <c r="G331" i="5"/>
  <c r="B331" i="5"/>
  <c r="E331" i="5" s="1"/>
  <c r="A331" i="5"/>
  <c r="K330" i="5"/>
  <c r="G330" i="5"/>
  <c r="B330" i="5"/>
  <c r="D330" i="5" s="1"/>
  <c r="A330" i="5"/>
  <c r="K329" i="5"/>
  <c r="G329" i="5"/>
  <c r="B329" i="5"/>
  <c r="E329" i="5" s="1"/>
  <c r="A329" i="5"/>
  <c r="K328" i="5"/>
  <c r="G328" i="5"/>
  <c r="B328" i="5"/>
  <c r="E328" i="5" s="1"/>
  <c r="A328" i="5"/>
  <c r="K327" i="5"/>
  <c r="G327" i="5"/>
  <c r="B327" i="5"/>
  <c r="E327" i="5" s="1"/>
  <c r="A327" i="5"/>
  <c r="K326" i="5"/>
  <c r="G326" i="5"/>
  <c r="B326" i="5"/>
  <c r="D326" i="5" s="1"/>
  <c r="A326" i="5"/>
  <c r="G325" i="5"/>
  <c r="B325" i="5"/>
  <c r="D325" i="5" s="1"/>
  <c r="A325" i="5"/>
  <c r="G324" i="5"/>
  <c r="B324" i="5"/>
  <c r="D324" i="5" s="1"/>
  <c r="A324" i="5"/>
  <c r="K323" i="5"/>
  <c r="G323" i="5"/>
  <c r="B323" i="5"/>
  <c r="E323" i="5" s="1"/>
  <c r="A323" i="5"/>
  <c r="K322" i="5"/>
  <c r="G322" i="5"/>
  <c r="B322" i="5"/>
  <c r="E322" i="5" s="1"/>
  <c r="A322" i="5"/>
  <c r="K321" i="5"/>
  <c r="G321" i="5"/>
  <c r="B321" i="5"/>
  <c r="D321" i="5" s="1"/>
  <c r="A321" i="5"/>
  <c r="K320" i="5"/>
  <c r="G320" i="5"/>
  <c r="B320" i="5"/>
  <c r="D320" i="5" s="1"/>
  <c r="A320" i="5"/>
  <c r="K319" i="5"/>
  <c r="G319" i="5"/>
  <c r="B319" i="5"/>
  <c r="E319" i="5" s="1"/>
  <c r="A319" i="5"/>
  <c r="K318" i="5"/>
  <c r="G318" i="5"/>
  <c r="B318" i="5"/>
  <c r="D318" i="5" s="1"/>
  <c r="A318" i="5"/>
  <c r="K317" i="5"/>
  <c r="G317" i="5"/>
  <c r="B317" i="5"/>
  <c r="E317" i="5" s="1"/>
  <c r="A317" i="5"/>
  <c r="G316" i="5"/>
  <c r="B316" i="5"/>
  <c r="E316" i="5" s="1"/>
  <c r="A316" i="5"/>
  <c r="K315" i="5"/>
  <c r="G315" i="5"/>
  <c r="B315" i="5"/>
  <c r="E315" i="5" s="1"/>
  <c r="A315" i="5"/>
  <c r="K314" i="5"/>
  <c r="G314" i="5"/>
  <c r="B314" i="5"/>
  <c r="D314" i="5" s="1"/>
  <c r="A314" i="5"/>
  <c r="K313" i="5"/>
  <c r="G313" i="5"/>
  <c r="B313" i="5"/>
  <c r="D313" i="5" s="1"/>
  <c r="A313" i="5"/>
  <c r="K312" i="5"/>
  <c r="G312" i="5"/>
  <c r="B312" i="5"/>
  <c r="D312" i="5" s="1"/>
  <c r="A312" i="5"/>
  <c r="K311" i="5"/>
  <c r="G311" i="5"/>
  <c r="B311" i="5"/>
  <c r="E311" i="5" s="1"/>
  <c r="A311" i="5"/>
  <c r="K310" i="5"/>
  <c r="G310" i="5"/>
  <c r="B310" i="5"/>
  <c r="D310" i="5" s="1"/>
  <c r="A310" i="5"/>
  <c r="K309" i="5"/>
  <c r="G309" i="5"/>
  <c r="B309" i="5"/>
  <c r="E309" i="5" s="1"/>
  <c r="A309" i="5"/>
  <c r="K308" i="5"/>
  <c r="G308" i="5"/>
  <c r="B308" i="5"/>
  <c r="E308" i="5" s="1"/>
  <c r="A308" i="5"/>
  <c r="K307" i="5"/>
  <c r="G307" i="5"/>
  <c r="B307" i="5"/>
  <c r="E307" i="5" s="1"/>
  <c r="A307" i="5"/>
  <c r="K306" i="5"/>
  <c r="G306" i="5"/>
  <c r="B306" i="5"/>
  <c r="D306" i="5" s="1"/>
  <c r="A306" i="5"/>
  <c r="K305" i="5"/>
  <c r="G305" i="5"/>
  <c r="B305" i="5"/>
  <c r="D305" i="5" s="1"/>
  <c r="A305" i="5"/>
  <c r="K304" i="5"/>
  <c r="G304" i="5"/>
  <c r="B304" i="5"/>
  <c r="D304" i="5" s="1"/>
  <c r="A304" i="5"/>
  <c r="K303" i="5"/>
  <c r="G303" i="5"/>
  <c r="B303" i="5"/>
  <c r="E303" i="5" s="1"/>
  <c r="A303" i="5"/>
  <c r="K302" i="5"/>
  <c r="G302" i="5"/>
  <c r="B302" i="5"/>
  <c r="E302" i="5" s="1"/>
  <c r="A302" i="5"/>
  <c r="K301" i="5"/>
  <c r="G301" i="5"/>
  <c r="B301" i="5"/>
  <c r="E301" i="5" s="1"/>
  <c r="A301" i="5"/>
  <c r="G300" i="5"/>
  <c r="B300" i="5"/>
  <c r="D300" i="5" s="1"/>
  <c r="A300" i="5"/>
  <c r="G299" i="5"/>
  <c r="B299" i="5"/>
  <c r="E299" i="5" s="1"/>
  <c r="A299" i="5"/>
  <c r="K298" i="5"/>
  <c r="G298" i="5"/>
  <c r="B298" i="5"/>
  <c r="E298" i="5" s="1"/>
  <c r="A298" i="5"/>
  <c r="K297" i="5"/>
  <c r="G297" i="5"/>
  <c r="B297" i="5"/>
  <c r="E297" i="5" s="1"/>
  <c r="A297" i="5"/>
  <c r="K296" i="5"/>
  <c r="G296" i="5"/>
  <c r="B296" i="5"/>
  <c r="E296" i="5" s="1"/>
  <c r="A296" i="5"/>
  <c r="K295" i="5"/>
  <c r="G295" i="5"/>
  <c r="B295" i="5"/>
  <c r="E295" i="5" s="1"/>
  <c r="A295" i="5"/>
  <c r="K294" i="5"/>
  <c r="G294" i="5"/>
  <c r="B294" i="5"/>
  <c r="E294" i="5" s="1"/>
  <c r="A294" i="5"/>
  <c r="K293" i="5"/>
  <c r="G293" i="5"/>
  <c r="B293" i="5"/>
  <c r="E293" i="5" s="1"/>
  <c r="A293" i="5"/>
  <c r="G292" i="5"/>
  <c r="B292" i="5"/>
  <c r="E292" i="5" s="1"/>
  <c r="A292" i="5"/>
  <c r="G291" i="5"/>
  <c r="B291" i="5"/>
  <c r="D291" i="5" s="1"/>
  <c r="A291" i="5"/>
  <c r="K290" i="5"/>
  <c r="G290" i="5"/>
  <c r="B290" i="5"/>
  <c r="D290" i="5" s="1"/>
  <c r="A290" i="5"/>
  <c r="K289" i="5"/>
  <c r="G289" i="5"/>
  <c r="B289" i="5"/>
  <c r="D289" i="5" s="1"/>
  <c r="A289" i="5"/>
  <c r="K288" i="5"/>
  <c r="G288" i="5"/>
  <c r="B288" i="5"/>
  <c r="E288" i="5" s="1"/>
  <c r="A288" i="5"/>
  <c r="K287" i="5"/>
  <c r="G287" i="5"/>
  <c r="B287" i="5"/>
  <c r="E287" i="5" s="1"/>
  <c r="A287" i="5"/>
  <c r="K286" i="5"/>
  <c r="G286" i="5"/>
  <c r="B286" i="5"/>
  <c r="E286" i="5" s="1"/>
  <c r="A286" i="5"/>
  <c r="G285" i="5"/>
  <c r="B285" i="5"/>
  <c r="D285" i="5" s="1"/>
  <c r="A285" i="5"/>
  <c r="G284" i="5"/>
  <c r="B284" i="5"/>
  <c r="E284" i="5" s="1"/>
  <c r="A284" i="5"/>
  <c r="K283" i="5"/>
  <c r="G283" i="5"/>
  <c r="B283" i="5"/>
  <c r="E283" i="5" s="1"/>
  <c r="A283" i="5"/>
  <c r="K282" i="5"/>
  <c r="G282" i="5"/>
  <c r="B282" i="5"/>
  <c r="E282" i="5" s="1"/>
  <c r="A282" i="5"/>
  <c r="K281" i="5"/>
  <c r="G281" i="5"/>
  <c r="B281" i="5"/>
  <c r="E281" i="5" s="1"/>
  <c r="A281" i="5"/>
  <c r="K280" i="5"/>
  <c r="G280" i="5"/>
  <c r="B280" i="5"/>
  <c r="D280" i="5" s="1"/>
  <c r="A280" i="5"/>
  <c r="K279" i="5"/>
  <c r="G279" i="5"/>
  <c r="B279" i="5"/>
  <c r="D279" i="5" s="1"/>
  <c r="A279" i="5"/>
  <c r="K278" i="5"/>
  <c r="G278" i="5"/>
  <c r="B278" i="5"/>
  <c r="E278" i="5" s="1"/>
  <c r="A278" i="5"/>
  <c r="K277" i="5"/>
  <c r="G277" i="5"/>
  <c r="B277" i="5"/>
  <c r="E277" i="5" s="1"/>
  <c r="A277" i="5"/>
  <c r="K276" i="5"/>
  <c r="G276" i="5"/>
  <c r="B276" i="5"/>
  <c r="E276" i="5" s="1"/>
  <c r="A276" i="5"/>
  <c r="K275" i="5"/>
  <c r="G275" i="5"/>
  <c r="B275" i="5"/>
  <c r="E275" i="5" s="1"/>
  <c r="A275" i="5"/>
  <c r="K274" i="5"/>
  <c r="G274" i="5"/>
  <c r="B274" i="5"/>
  <c r="E274" i="5" s="1"/>
  <c r="A274" i="5"/>
  <c r="K273" i="5"/>
  <c r="G273" i="5"/>
  <c r="B273" i="5"/>
  <c r="D273" i="5" s="1"/>
  <c r="A273" i="5"/>
  <c r="K272" i="5"/>
  <c r="G272" i="5"/>
  <c r="B272" i="5"/>
  <c r="D272" i="5" s="1"/>
  <c r="A272" i="5"/>
  <c r="K271" i="5"/>
  <c r="G271" i="5"/>
  <c r="B271" i="5"/>
  <c r="E271" i="5" s="1"/>
  <c r="A271" i="5"/>
  <c r="K270" i="5"/>
  <c r="G270" i="5"/>
  <c r="B270" i="5"/>
  <c r="E270" i="5" s="1"/>
  <c r="A270" i="5"/>
  <c r="G269" i="5"/>
  <c r="B269" i="5"/>
  <c r="E269" i="5" s="1"/>
  <c r="A269" i="5"/>
  <c r="G268" i="5"/>
  <c r="B268" i="5"/>
  <c r="D268" i="5" s="1"/>
  <c r="A268" i="5"/>
  <c r="K267" i="5"/>
  <c r="G267" i="5"/>
  <c r="B267" i="5"/>
  <c r="E267" i="5" s="1"/>
  <c r="A267" i="5"/>
  <c r="K266" i="5"/>
  <c r="G266" i="5"/>
  <c r="B266" i="5"/>
  <c r="E266" i="5" s="1"/>
  <c r="A266" i="5"/>
  <c r="K265" i="5"/>
  <c r="G265" i="5"/>
  <c r="B265" i="5"/>
  <c r="E265" i="5" s="1"/>
  <c r="A265" i="5"/>
  <c r="K264" i="5"/>
  <c r="G264" i="5"/>
  <c r="B264" i="5"/>
  <c r="D264" i="5" s="1"/>
  <c r="A264" i="5"/>
  <c r="K263" i="5"/>
  <c r="G263" i="5"/>
  <c r="B263" i="5"/>
  <c r="E263" i="5" s="1"/>
  <c r="A263" i="5"/>
  <c r="K262" i="5"/>
  <c r="G262" i="5"/>
  <c r="B262" i="5"/>
  <c r="E262" i="5" s="1"/>
  <c r="A262" i="5"/>
  <c r="G261" i="5"/>
  <c r="B261" i="5"/>
  <c r="E261" i="5" s="1"/>
  <c r="A261" i="5"/>
  <c r="G260" i="5"/>
  <c r="B260" i="5"/>
  <c r="E260" i="5" s="1"/>
  <c r="A260" i="5"/>
  <c r="K259" i="5"/>
  <c r="G259" i="5"/>
  <c r="B259" i="5"/>
  <c r="E259" i="5" s="1"/>
  <c r="A259" i="5"/>
  <c r="K258" i="5"/>
  <c r="G258" i="5"/>
  <c r="B258" i="5"/>
  <c r="E258" i="5" s="1"/>
  <c r="A258" i="5"/>
  <c r="K257" i="5"/>
  <c r="G257" i="5"/>
  <c r="B257" i="5"/>
  <c r="E257" i="5" s="1"/>
  <c r="A257" i="5"/>
  <c r="K256" i="5"/>
  <c r="G256" i="5"/>
  <c r="B256" i="5"/>
  <c r="D256" i="5" s="1"/>
  <c r="A256" i="5"/>
  <c r="K255" i="5"/>
  <c r="G255" i="5"/>
  <c r="B255" i="5"/>
  <c r="D255" i="5" s="1"/>
  <c r="A255" i="5"/>
  <c r="K254" i="5"/>
  <c r="G254" i="5"/>
  <c r="B254" i="5"/>
  <c r="D254" i="5" s="1"/>
  <c r="A254" i="5"/>
  <c r="G253" i="5"/>
  <c r="B253" i="5"/>
  <c r="D253" i="5" s="1"/>
  <c r="A253" i="5"/>
  <c r="K252" i="5"/>
  <c r="G252" i="5"/>
  <c r="B252" i="5"/>
  <c r="E252" i="5" s="1"/>
  <c r="A252" i="5"/>
  <c r="G251" i="5"/>
  <c r="B251" i="5"/>
  <c r="E251" i="5" s="1"/>
  <c r="A251" i="5"/>
  <c r="K250" i="5"/>
  <c r="G250" i="5"/>
  <c r="B250" i="5"/>
  <c r="E250" i="5" s="1"/>
  <c r="A250" i="5"/>
  <c r="K249" i="5"/>
  <c r="G249" i="5"/>
  <c r="B249" i="5"/>
  <c r="D249" i="5" s="1"/>
  <c r="A249" i="5"/>
  <c r="K248" i="5"/>
  <c r="G248" i="5"/>
  <c r="B248" i="5"/>
  <c r="D248" i="5" s="1"/>
  <c r="A248" i="5"/>
  <c r="K247" i="5"/>
  <c r="G247" i="5"/>
  <c r="B247" i="5"/>
  <c r="E247" i="5" s="1"/>
  <c r="A247" i="5"/>
  <c r="K246" i="5"/>
  <c r="G246" i="5"/>
  <c r="B246" i="5"/>
  <c r="E246" i="5" s="1"/>
  <c r="A246" i="5"/>
  <c r="K245" i="5"/>
  <c r="G245" i="5"/>
  <c r="B245" i="5"/>
  <c r="D245" i="5" s="1"/>
  <c r="A245" i="5"/>
  <c r="G244" i="5"/>
  <c r="B244" i="5"/>
  <c r="E244" i="5" s="1"/>
  <c r="A244" i="5"/>
  <c r="G243" i="5"/>
  <c r="B243" i="5"/>
  <c r="E243" i="5" s="1"/>
  <c r="A243" i="5"/>
  <c r="K242" i="5"/>
  <c r="G242" i="5"/>
  <c r="B242" i="5"/>
  <c r="E242" i="5" s="1"/>
  <c r="A242" i="5"/>
  <c r="K241" i="5"/>
  <c r="G241" i="5"/>
  <c r="B241" i="5"/>
  <c r="E241" i="5" s="1"/>
  <c r="A241" i="5"/>
  <c r="K240" i="5"/>
  <c r="G240" i="5"/>
  <c r="B240" i="5"/>
  <c r="D240" i="5" s="1"/>
  <c r="A240" i="5"/>
  <c r="K239" i="5"/>
  <c r="G239" i="5"/>
  <c r="B239" i="5"/>
  <c r="D239" i="5" s="1"/>
  <c r="A239" i="5"/>
  <c r="K238" i="5"/>
  <c r="G238" i="5"/>
  <c r="B238" i="5"/>
  <c r="D238" i="5" s="1"/>
  <c r="A238" i="5"/>
  <c r="G237" i="5"/>
  <c r="B237" i="5"/>
  <c r="D237" i="5" s="1"/>
  <c r="A237" i="5"/>
  <c r="K236" i="5"/>
  <c r="G236" i="5"/>
  <c r="B236" i="5"/>
  <c r="D236" i="5" s="1"/>
  <c r="A236" i="5"/>
  <c r="K235" i="5"/>
  <c r="G235" i="5"/>
  <c r="B235" i="5"/>
  <c r="D235" i="5" s="1"/>
  <c r="A235" i="5"/>
  <c r="K234" i="5"/>
  <c r="G234" i="5"/>
  <c r="B234" i="5"/>
  <c r="D234" i="5" s="1"/>
  <c r="A234" i="5"/>
  <c r="K233" i="5"/>
  <c r="G233" i="5"/>
  <c r="B233" i="5"/>
  <c r="D233" i="5" s="1"/>
  <c r="A233" i="5"/>
  <c r="K232" i="5"/>
  <c r="G232" i="5"/>
  <c r="B232" i="5"/>
  <c r="D232" i="5" s="1"/>
  <c r="A232" i="5"/>
  <c r="K231" i="5"/>
  <c r="G231" i="5"/>
  <c r="B231" i="5"/>
  <c r="D231" i="5" s="1"/>
  <c r="A231" i="5"/>
  <c r="K230" i="5"/>
  <c r="G230" i="5"/>
  <c r="B230" i="5"/>
  <c r="D230" i="5" s="1"/>
  <c r="A230" i="5"/>
  <c r="K229" i="5"/>
  <c r="G229" i="5"/>
  <c r="B229" i="5"/>
  <c r="D229" i="5" s="1"/>
  <c r="A229" i="5"/>
  <c r="G228" i="5"/>
  <c r="B228" i="5"/>
  <c r="D228" i="5" s="1"/>
  <c r="A228" i="5"/>
  <c r="G227" i="5"/>
  <c r="B227" i="5"/>
  <c r="E227" i="5" s="1"/>
  <c r="A227" i="5"/>
  <c r="K226" i="5"/>
  <c r="G226" i="5"/>
  <c r="B226" i="5"/>
  <c r="E226" i="5" s="1"/>
  <c r="A226" i="5"/>
  <c r="K225" i="5"/>
  <c r="G225" i="5"/>
  <c r="B225" i="5"/>
  <c r="E225" i="5" s="1"/>
  <c r="A225" i="5"/>
  <c r="K224" i="5"/>
  <c r="G224" i="5"/>
  <c r="B224" i="5"/>
  <c r="E224" i="5" s="1"/>
  <c r="A224" i="5"/>
  <c r="K223" i="5"/>
  <c r="G223" i="5"/>
  <c r="B223" i="5"/>
  <c r="E223" i="5" s="1"/>
  <c r="A223" i="5"/>
  <c r="K222" i="5"/>
  <c r="G222" i="5"/>
  <c r="B222" i="5"/>
  <c r="E222" i="5" s="1"/>
  <c r="A222" i="5"/>
  <c r="K221" i="5"/>
  <c r="G221" i="5"/>
  <c r="B221" i="5"/>
  <c r="E221" i="5" s="1"/>
  <c r="A221" i="5"/>
  <c r="K220" i="5"/>
  <c r="G220" i="5"/>
  <c r="B220" i="5"/>
  <c r="E220" i="5" s="1"/>
  <c r="A220" i="5"/>
  <c r="G219" i="5"/>
  <c r="B219" i="5"/>
  <c r="E219" i="5" s="1"/>
  <c r="A219" i="5"/>
  <c r="K218" i="5"/>
  <c r="G218" i="5"/>
  <c r="B218" i="5"/>
  <c r="E218" i="5" s="1"/>
  <c r="A218" i="5"/>
  <c r="K217" i="5"/>
  <c r="G217" i="5"/>
  <c r="B217" i="5"/>
  <c r="E217" i="5" s="1"/>
  <c r="A217" i="5"/>
  <c r="K216" i="5"/>
  <c r="G216" i="5"/>
  <c r="B216" i="5"/>
  <c r="E216" i="5" s="1"/>
  <c r="A216" i="5"/>
  <c r="K215" i="5"/>
  <c r="G215" i="5"/>
  <c r="B215" i="5"/>
  <c r="E215" i="5" s="1"/>
  <c r="A215" i="5"/>
  <c r="K214" i="5"/>
  <c r="G214" i="5"/>
  <c r="B214" i="5"/>
  <c r="E214" i="5" s="1"/>
  <c r="A214" i="5"/>
  <c r="G213" i="5"/>
  <c r="B213" i="5"/>
  <c r="D213" i="5" s="1"/>
  <c r="A213" i="5"/>
  <c r="K212" i="5"/>
  <c r="G212" i="5"/>
  <c r="B212" i="5"/>
  <c r="D212" i="5" s="1"/>
  <c r="A212" i="5"/>
  <c r="G211" i="5"/>
  <c r="B211" i="5"/>
  <c r="D211" i="5" s="1"/>
  <c r="A211" i="5"/>
  <c r="K210" i="5"/>
  <c r="G210" i="5"/>
  <c r="B210" i="5"/>
  <c r="D210" i="5" s="1"/>
  <c r="A210" i="5"/>
  <c r="K209" i="5"/>
  <c r="G209" i="5"/>
  <c r="B209" i="5"/>
  <c r="D209" i="5" s="1"/>
  <c r="A209" i="5"/>
  <c r="K208" i="5"/>
  <c r="G208" i="5"/>
  <c r="B208" i="5"/>
  <c r="D208" i="5" s="1"/>
  <c r="A208" i="5"/>
  <c r="K207" i="5"/>
  <c r="G207" i="5"/>
  <c r="B207" i="5"/>
  <c r="D207" i="5" s="1"/>
  <c r="A207" i="5"/>
  <c r="K206" i="5"/>
  <c r="G206" i="5"/>
  <c r="B206" i="5"/>
  <c r="D206" i="5" s="1"/>
  <c r="A206" i="5"/>
  <c r="K205" i="5"/>
  <c r="G205" i="5"/>
  <c r="B205" i="5"/>
  <c r="E205" i="5" s="1"/>
  <c r="A205" i="5"/>
  <c r="K204" i="5"/>
  <c r="G204" i="5"/>
  <c r="B204" i="5"/>
  <c r="E204" i="5" s="1"/>
  <c r="A204" i="5"/>
  <c r="G203" i="5"/>
  <c r="B203" i="5"/>
  <c r="E203" i="5" s="1"/>
  <c r="A203" i="5"/>
  <c r="K202" i="5"/>
  <c r="G202" i="5"/>
  <c r="B202" i="5"/>
  <c r="E202" i="5" s="1"/>
  <c r="A202" i="5"/>
  <c r="K201" i="5"/>
  <c r="G201" i="5"/>
  <c r="B201" i="5"/>
  <c r="E201" i="5" s="1"/>
  <c r="A201" i="5"/>
  <c r="K200" i="5"/>
  <c r="G200" i="5"/>
  <c r="B200" i="5"/>
  <c r="E200" i="5" s="1"/>
  <c r="A200" i="5"/>
  <c r="K199" i="5"/>
  <c r="G199" i="5"/>
  <c r="B199" i="5"/>
  <c r="D199" i="5" s="1"/>
  <c r="A199" i="5"/>
  <c r="K198" i="5"/>
  <c r="G198" i="5"/>
  <c r="B198" i="5"/>
  <c r="D198" i="5" s="1"/>
  <c r="A198" i="5"/>
  <c r="K197" i="5"/>
  <c r="G197" i="5"/>
  <c r="B197" i="5"/>
  <c r="D197" i="5" s="1"/>
  <c r="A197" i="5"/>
  <c r="K196" i="5"/>
  <c r="G196" i="5"/>
  <c r="B196" i="5"/>
  <c r="D196" i="5" s="1"/>
  <c r="A196" i="5"/>
  <c r="G195" i="5"/>
  <c r="B195" i="5"/>
  <c r="D195" i="5" s="1"/>
  <c r="A195" i="5"/>
  <c r="K194" i="5"/>
  <c r="G194" i="5"/>
  <c r="B194" i="5"/>
  <c r="E194" i="5" s="1"/>
  <c r="A194" i="5"/>
  <c r="K193" i="5"/>
  <c r="G193" i="5"/>
  <c r="B193" i="5"/>
  <c r="E193" i="5" s="1"/>
  <c r="A193" i="5"/>
  <c r="K192" i="5"/>
  <c r="G192" i="5"/>
  <c r="B192" i="5"/>
  <c r="E192" i="5" s="1"/>
  <c r="A192" i="5"/>
  <c r="K191" i="5"/>
  <c r="G191" i="5"/>
  <c r="B191" i="5"/>
  <c r="E191" i="5" s="1"/>
  <c r="A191" i="5"/>
  <c r="K190" i="5"/>
  <c r="G190" i="5"/>
  <c r="B190" i="5"/>
  <c r="E190" i="5" s="1"/>
  <c r="A190" i="5"/>
  <c r="K189" i="5"/>
  <c r="G189" i="5"/>
  <c r="B189" i="5"/>
  <c r="E189" i="5" s="1"/>
  <c r="A189" i="5"/>
  <c r="K188" i="5"/>
  <c r="G188" i="5"/>
  <c r="B188" i="5"/>
  <c r="D188" i="5" s="1"/>
  <c r="A188" i="5"/>
  <c r="K187" i="5"/>
  <c r="G187" i="5"/>
  <c r="B187" i="5"/>
  <c r="D187" i="5" s="1"/>
  <c r="A187" i="5"/>
  <c r="K186" i="5"/>
  <c r="G186" i="5"/>
  <c r="B186" i="5"/>
  <c r="E186" i="5" s="1"/>
  <c r="A186" i="5"/>
  <c r="K185" i="5"/>
  <c r="G185" i="5"/>
  <c r="B185" i="5"/>
  <c r="D185" i="5" s="1"/>
  <c r="A185" i="5"/>
  <c r="K184" i="5"/>
  <c r="G184" i="5"/>
  <c r="B184" i="5"/>
  <c r="E184" i="5" s="1"/>
  <c r="A184" i="5"/>
  <c r="K183" i="5"/>
  <c r="G183" i="5"/>
  <c r="B183" i="5"/>
  <c r="E183" i="5" s="1"/>
  <c r="A183" i="5"/>
  <c r="K182" i="5"/>
  <c r="G182" i="5"/>
  <c r="B182" i="5"/>
  <c r="E182" i="5" s="1"/>
  <c r="A182" i="5"/>
  <c r="K181" i="5"/>
  <c r="G181" i="5"/>
  <c r="B181" i="5"/>
  <c r="E181" i="5" s="1"/>
  <c r="A181" i="5"/>
  <c r="G180" i="5"/>
  <c r="B180" i="5"/>
  <c r="E180" i="5" s="1"/>
  <c r="A180" i="5"/>
  <c r="G179" i="5"/>
  <c r="B179" i="5"/>
  <c r="E179" i="5" s="1"/>
  <c r="A179" i="5"/>
  <c r="K178" i="5"/>
  <c r="G178" i="5"/>
  <c r="B178" i="5"/>
  <c r="D178" i="5" s="1"/>
  <c r="A178" i="5"/>
  <c r="K177" i="5"/>
  <c r="G177" i="5"/>
  <c r="B177" i="5"/>
  <c r="D177" i="5" s="1"/>
  <c r="A177" i="5"/>
  <c r="K176" i="5"/>
  <c r="G176" i="5"/>
  <c r="B176" i="5"/>
  <c r="D176" i="5" s="1"/>
  <c r="A176" i="5"/>
  <c r="K175" i="5"/>
  <c r="G175" i="5"/>
  <c r="B175" i="5"/>
  <c r="D175" i="5" s="1"/>
  <c r="A175" i="5"/>
  <c r="K174" i="5"/>
  <c r="G174" i="5"/>
  <c r="B174" i="5"/>
  <c r="E174" i="5" s="1"/>
  <c r="A174" i="5"/>
  <c r="K173" i="5"/>
  <c r="G173" i="5"/>
  <c r="B173" i="5"/>
  <c r="D173" i="5" s="1"/>
  <c r="A173" i="5"/>
  <c r="K172" i="5"/>
  <c r="G172" i="5"/>
  <c r="B172" i="5"/>
  <c r="D172" i="5" s="1"/>
  <c r="A172" i="5"/>
  <c r="K171" i="5"/>
  <c r="G171" i="5"/>
  <c r="B171" i="5"/>
  <c r="D171" i="5" s="1"/>
  <c r="A171" i="5"/>
  <c r="K170" i="5"/>
  <c r="G170" i="5"/>
  <c r="B170" i="5"/>
  <c r="D170" i="5" s="1"/>
  <c r="A170" i="5"/>
  <c r="K169" i="5"/>
  <c r="G169" i="5"/>
  <c r="B169" i="5"/>
  <c r="E169" i="5" s="1"/>
  <c r="A169" i="5"/>
  <c r="K168" i="5"/>
  <c r="G168" i="5"/>
  <c r="B168" i="5"/>
  <c r="E168" i="5" s="1"/>
  <c r="A168" i="5"/>
  <c r="K167" i="5"/>
  <c r="G167" i="5"/>
  <c r="B167" i="5"/>
  <c r="E167" i="5" s="1"/>
  <c r="A167" i="5"/>
  <c r="K166" i="5"/>
  <c r="G166" i="5"/>
  <c r="B166" i="5"/>
  <c r="E166" i="5" s="1"/>
  <c r="A166" i="5"/>
  <c r="G165" i="5"/>
  <c r="B165" i="5"/>
  <c r="D165" i="5" s="1"/>
  <c r="A165" i="5"/>
  <c r="G164" i="5"/>
  <c r="B164" i="5"/>
  <c r="E164" i="5" s="1"/>
  <c r="A164" i="5"/>
  <c r="K163" i="5"/>
  <c r="G163" i="5"/>
  <c r="B163" i="5"/>
  <c r="E163" i="5" s="1"/>
  <c r="A163" i="5"/>
  <c r="K162" i="5"/>
  <c r="G162" i="5"/>
  <c r="B162" i="5"/>
  <c r="E162" i="5" s="1"/>
  <c r="A162" i="5"/>
  <c r="K161" i="5"/>
  <c r="G161" i="5"/>
  <c r="B161" i="5"/>
  <c r="E161" i="5" s="1"/>
  <c r="A161" i="5"/>
  <c r="K160" i="5"/>
  <c r="G160" i="5"/>
  <c r="B160" i="5"/>
  <c r="D160" i="5" s="1"/>
  <c r="A160" i="5"/>
  <c r="K159" i="5"/>
  <c r="G159" i="5"/>
  <c r="B159" i="5"/>
  <c r="D159" i="5" s="1"/>
  <c r="A159" i="5"/>
  <c r="K158" i="5"/>
  <c r="G158" i="5"/>
  <c r="B158" i="5"/>
  <c r="D158" i="5" s="1"/>
  <c r="A158" i="5"/>
  <c r="G157" i="5"/>
  <c r="B157" i="5"/>
  <c r="D157" i="5" s="1"/>
  <c r="A157" i="5"/>
  <c r="K156" i="5"/>
  <c r="G156" i="5"/>
  <c r="B156" i="5"/>
  <c r="E156" i="5" s="1"/>
  <c r="A156" i="5"/>
  <c r="K155" i="5"/>
  <c r="G155" i="5"/>
  <c r="B155" i="5"/>
  <c r="E155" i="5" s="1"/>
  <c r="A155" i="5"/>
  <c r="K154" i="5"/>
  <c r="G154" i="5"/>
  <c r="B154" i="5"/>
  <c r="E154" i="5" s="1"/>
  <c r="A154" i="5"/>
  <c r="K153" i="5"/>
  <c r="G153" i="5"/>
  <c r="B153" i="5"/>
  <c r="E153" i="5" s="1"/>
  <c r="A153" i="5"/>
  <c r="K152" i="5"/>
  <c r="G152" i="5"/>
  <c r="B152" i="5"/>
  <c r="D152" i="5" s="1"/>
  <c r="A152" i="5"/>
  <c r="K151" i="5"/>
  <c r="G151" i="5"/>
  <c r="B151" i="5"/>
  <c r="D151" i="5" s="1"/>
  <c r="A151" i="5"/>
  <c r="K150" i="5"/>
  <c r="G150" i="5"/>
  <c r="B150" i="5"/>
  <c r="D150" i="5" s="1"/>
  <c r="A150" i="5"/>
  <c r="K149" i="5"/>
  <c r="G149" i="5"/>
  <c r="B149" i="5"/>
  <c r="D149" i="5" s="1"/>
  <c r="A149" i="5"/>
  <c r="K148" i="5"/>
  <c r="G148" i="5"/>
  <c r="B148" i="5"/>
  <c r="D148" i="5" s="1"/>
  <c r="A148" i="5"/>
  <c r="G147" i="5"/>
  <c r="B147" i="5"/>
  <c r="E147" i="5" s="1"/>
  <c r="A147" i="5"/>
  <c r="K146" i="5"/>
  <c r="G146" i="5"/>
  <c r="B146" i="5"/>
  <c r="E146" i="5" s="1"/>
  <c r="A146" i="5"/>
  <c r="K145" i="5"/>
  <c r="G145" i="5"/>
  <c r="B145" i="5"/>
  <c r="E145" i="5" s="1"/>
  <c r="A145" i="5"/>
  <c r="K144" i="5"/>
  <c r="G144" i="5"/>
  <c r="B144" i="5"/>
  <c r="D144" i="5" s="1"/>
  <c r="A144" i="5"/>
  <c r="K143" i="5"/>
  <c r="G143" i="5"/>
  <c r="B143" i="5"/>
  <c r="D143" i="5" s="1"/>
  <c r="A143" i="5"/>
  <c r="K142" i="5"/>
  <c r="G142" i="5"/>
  <c r="B142" i="5"/>
  <c r="D142" i="5" s="1"/>
  <c r="A142" i="5"/>
  <c r="G141" i="5"/>
  <c r="B141" i="5"/>
  <c r="D141" i="5" s="1"/>
  <c r="A141" i="5"/>
  <c r="K140" i="5"/>
  <c r="G140" i="5"/>
  <c r="B140" i="5"/>
  <c r="D140" i="5" s="1"/>
  <c r="A140" i="5"/>
  <c r="K139" i="5"/>
  <c r="G139" i="5"/>
  <c r="B139" i="5"/>
  <c r="D139" i="5" s="1"/>
  <c r="A139" i="5"/>
  <c r="K138" i="5"/>
  <c r="G138" i="5"/>
  <c r="B138" i="5"/>
  <c r="D138" i="5" s="1"/>
  <c r="A138" i="5"/>
  <c r="K137" i="5"/>
  <c r="G137" i="5"/>
  <c r="B137" i="5"/>
  <c r="D137" i="5" s="1"/>
  <c r="A137" i="5"/>
  <c r="K136" i="5"/>
  <c r="G136" i="5"/>
  <c r="B136" i="5"/>
  <c r="D136" i="5" s="1"/>
  <c r="A136" i="5"/>
  <c r="K135" i="5"/>
  <c r="G135" i="5"/>
  <c r="B135" i="5"/>
  <c r="D135" i="5" s="1"/>
  <c r="A135" i="5"/>
  <c r="K134" i="5"/>
  <c r="G134" i="5"/>
  <c r="B134" i="5"/>
  <c r="D134" i="5" s="1"/>
  <c r="A134" i="5"/>
  <c r="K133" i="5"/>
  <c r="G133" i="5"/>
  <c r="B133" i="5"/>
  <c r="E133" i="5" s="1"/>
  <c r="A133" i="5"/>
  <c r="K132" i="5"/>
  <c r="G132" i="5"/>
  <c r="B132" i="5"/>
  <c r="E132" i="5" s="1"/>
  <c r="A132" i="5"/>
  <c r="K131" i="5"/>
  <c r="G131" i="5"/>
  <c r="B131" i="5"/>
  <c r="E131" i="5" s="1"/>
  <c r="A131" i="5"/>
  <c r="K130" i="5"/>
  <c r="G130" i="5"/>
  <c r="B130" i="5"/>
  <c r="D130" i="5" s="1"/>
  <c r="A130" i="5"/>
  <c r="K129" i="5"/>
  <c r="G129" i="5"/>
  <c r="B129" i="5"/>
  <c r="E129" i="5" s="1"/>
  <c r="A129" i="5"/>
  <c r="K128" i="5"/>
  <c r="G128" i="5"/>
  <c r="B128" i="5"/>
  <c r="E128" i="5" s="1"/>
  <c r="A128" i="5"/>
  <c r="K127" i="5"/>
  <c r="G127" i="5"/>
  <c r="B127" i="5"/>
  <c r="D127" i="5" s="1"/>
  <c r="A127" i="5"/>
  <c r="K126" i="5"/>
  <c r="G126" i="5"/>
  <c r="B126" i="5"/>
  <c r="D126" i="5" s="1"/>
  <c r="A126" i="5"/>
  <c r="K125" i="5"/>
  <c r="G125" i="5"/>
  <c r="B125" i="5"/>
  <c r="D125" i="5" s="1"/>
  <c r="A125" i="5"/>
  <c r="G124" i="5"/>
  <c r="B124" i="5"/>
  <c r="D124" i="5" s="1"/>
  <c r="A124" i="5"/>
  <c r="G123" i="5"/>
  <c r="B123" i="5"/>
  <c r="D123" i="5" s="1"/>
  <c r="A123" i="5"/>
  <c r="K122" i="5"/>
  <c r="G122" i="5"/>
  <c r="B122" i="5"/>
  <c r="D122" i="5" s="1"/>
  <c r="A122" i="5"/>
  <c r="K121" i="5"/>
  <c r="G121" i="5"/>
  <c r="B121" i="5"/>
  <c r="E121" i="5" s="1"/>
  <c r="A121" i="5"/>
  <c r="K120" i="5"/>
  <c r="G120" i="5"/>
  <c r="B120" i="5"/>
  <c r="E120" i="5" s="1"/>
  <c r="A120" i="5"/>
  <c r="K119" i="5"/>
  <c r="G119" i="5"/>
  <c r="B119" i="5"/>
  <c r="D119" i="5" s="1"/>
  <c r="A119" i="5"/>
  <c r="K118" i="5"/>
  <c r="G118" i="5"/>
  <c r="B118" i="5"/>
  <c r="E118" i="5" s="1"/>
  <c r="A118" i="5"/>
  <c r="G117" i="5"/>
  <c r="B117" i="5"/>
  <c r="E117" i="5" s="1"/>
  <c r="A117" i="5"/>
  <c r="G116" i="5"/>
  <c r="B116" i="5"/>
  <c r="E116" i="5" s="1"/>
  <c r="A116" i="5"/>
  <c r="K115" i="5"/>
  <c r="G115" i="5"/>
  <c r="B115" i="5"/>
  <c r="E115" i="5" s="1"/>
  <c r="A115" i="5"/>
  <c r="K114" i="5"/>
  <c r="G114" i="5"/>
  <c r="B114" i="5"/>
  <c r="E114" i="5" s="1"/>
  <c r="A114" i="5"/>
  <c r="K113" i="5"/>
  <c r="G113" i="5"/>
  <c r="B113" i="5"/>
  <c r="D113" i="5" s="1"/>
  <c r="A113" i="5"/>
  <c r="K112" i="5"/>
  <c r="G112" i="5"/>
  <c r="B112" i="5"/>
  <c r="D112" i="5" s="1"/>
  <c r="A112" i="5"/>
  <c r="K111" i="5"/>
  <c r="G111" i="5"/>
  <c r="B111" i="5"/>
  <c r="D111" i="5" s="1"/>
  <c r="A111" i="5"/>
  <c r="K110" i="5"/>
  <c r="G110" i="5"/>
  <c r="B110" i="5"/>
  <c r="D110" i="5" s="1"/>
  <c r="A110" i="5"/>
  <c r="G109" i="5"/>
  <c r="B109" i="5"/>
  <c r="D109" i="5" s="1"/>
  <c r="A109" i="5"/>
  <c r="G108" i="5"/>
  <c r="B108" i="5"/>
  <c r="D108" i="5" s="1"/>
  <c r="A108" i="5"/>
  <c r="G107" i="5"/>
  <c r="B107" i="5"/>
  <c r="E107" i="5" s="1"/>
  <c r="A107" i="5"/>
  <c r="K106" i="5"/>
  <c r="G106" i="5"/>
  <c r="B106" i="5"/>
  <c r="E106" i="5" s="1"/>
  <c r="A106" i="5"/>
  <c r="K105" i="5"/>
  <c r="G105" i="5"/>
  <c r="B105" i="5"/>
  <c r="E105" i="5" s="1"/>
  <c r="A105" i="5"/>
  <c r="K104" i="5"/>
  <c r="G104" i="5"/>
  <c r="B104" i="5"/>
  <c r="D104" i="5" s="1"/>
  <c r="A104" i="5"/>
  <c r="K103" i="5"/>
  <c r="G103" i="5"/>
  <c r="B103" i="5"/>
  <c r="E103" i="5" s="1"/>
  <c r="A103" i="5"/>
  <c r="K102" i="5"/>
  <c r="G102" i="5"/>
  <c r="B102" i="5"/>
  <c r="D102" i="5" s="1"/>
  <c r="A102" i="5"/>
  <c r="K101" i="5"/>
  <c r="G101" i="5"/>
  <c r="B101" i="5"/>
  <c r="E101" i="5" s="1"/>
  <c r="A101" i="5"/>
  <c r="G100" i="5"/>
  <c r="B100" i="5"/>
  <c r="D100" i="5" s="1"/>
  <c r="A100" i="5"/>
  <c r="G99" i="5"/>
  <c r="B99" i="5"/>
  <c r="D99" i="5" s="1"/>
  <c r="A99" i="5"/>
  <c r="K98" i="5"/>
  <c r="G98" i="5"/>
  <c r="B98" i="5"/>
  <c r="E98" i="5" s="1"/>
  <c r="A98" i="5"/>
  <c r="K97" i="5"/>
  <c r="G97" i="5"/>
  <c r="B97" i="5"/>
  <c r="D97" i="5" s="1"/>
  <c r="A97" i="5"/>
  <c r="K96" i="5"/>
  <c r="G96" i="5"/>
  <c r="B96" i="5"/>
  <c r="D96" i="5" s="1"/>
  <c r="A96" i="5"/>
  <c r="K95" i="5"/>
  <c r="G95" i="5"/>
  <c r="B95" i="5"/>
  <c r="D95" i="5" s="1"/>
  <c r="A95" i="5"/>
  <c r="K94" i="5"/>
  <c r="G94" i="5"/>
  <c r="B94" i="5"/>
  <c r="D94" i="5" s="1"/>
  <c r="A94" i="5"/>
  <c r="K93" i="5"/>
  <c r="G93" i="5"/>
  <c r="B93" i="5"/>
  <c r="D93" i="5" s="1"/>
  <c r="A93" i="5"/>
  <c r="G92" i="5"/>
  <c r="B92" i="5"/>
  <c r="D92" i="5" s="1"/>
  <c r="A92" i="5"/>
  <c r="G91" i="5"/>
  <c r="B91" i="5"/>
  <c r="D91" i="5" s="1"/>
  <c r="A91" i="5"/>
  <c r="K90" i="5"/>
  <c r="G90" i="5"/>
  <c r="B90" i="5"/>
  <c r="D90" i="5" s="1"/>
  <c r="A90" i="5"/>
  <c r="K89" i="5"/>
  <c r="G89" i="5"/>
  <c r="B89" i="5"/>
  <c r="E89" i="5" s="1"/>
  <c r="A89" i="5"/>
  <c r="K88" i="5"/>
  <c r="G88" i="5"/>
  <c r="B88" i="5"/>
  <c r="E88" i="5" s="1"/>
  <c r="A88" i="5"/>
  <c r="K87" i="5"/>
  <c r="G87" i="5"/>
  <c r="B87" i="5"/>
  <c r="D87" i="5" s="1"/>
  <c r="A87" i="5"/>
  <c r="K86" i="5"/>
  <c r="G86" i="5"/>
  <c r="B86" i="5"/>
  <c r="D86" i="5" s="1"/>
  <c r="A86" i="5"/>
  <c r="G85" i="5"/>
  <c r="B85" i="5"/>
  <c r="D85" i="5" s="1"/>
  <c r="A85" i="5"/>
  <c r="G84" i="5"/>
  <c r="B84" i="5"/>
  <c r="D84" i="5" s="1"/>
  <c r="A84" i="5"/>
  <c r="K83" i="5"/>
  <c r="G83" i="5"/>
  <c r="B83" i="5"/>
  <c r="D83" i="5" s="1"/>
  <c r="A83" i="5"/>
  <c r="K82" i="5"/>
  <c r="G82" i="5"/>
  <c r="B82" i="5"/>
  <c r="D82" i="5" s="1"/>
  <c r="A82" i="5"/>
  <c r="K81" i="5"/>
  <c r="G81" i="5"/>
  <c r="B81" i="5"/>
  <c r="D81" i="5" s="1"/>
  <c r="A81" i="5"/>
  <c r="K80" i="5"/>
  <c r="G80" i="5"/>
  <c r="B80" i="5"/>
  <c r="E80" i="5" s="1"/>
  <c r="A80" i="5"/>
  <c r="K79" i="5"/>
  <c r="G79" i="5"/>
  <c r="B79" i="5"/>
  <c r="E79" i="5" s="1"/>
  <c r="A79" i="5"/>
  <c r="K78" i="5"/>
  <c r="G78" i="5"/>
  <c r="B78" i="5"/>
  <c r="E78" i="5" s="1"/>
  <c r="A78" i="5"/>
  <c r="G77" i="5"/>
  <c r="B77" i="5"/>
  <c r="E77" i="5" s="1"/>
  <c r="A77" i="5"/>
  <c r="G76" i="5"/>
  <c r="B76" i="5"/>
  <c r="E76" i="5" s="1"/>
  <c r="A76" i="5"/>
  <c r="G75" i="5"/>
  <c r="B75" i="5"/>
  <c r="E75" i="5" s="1"/>
  <c r="A75" i="5"/>
  <c r="K74" i="5"/>
  <c r="G74" i="5"/>
  <c r="B74" i="5"/>
  <c r="E74" i="5" s="1"/>
  <c r="A74" i="5"/>
  <c r="K73" i="5"/>
  <c r="G73" i="5"/>
  <c r="B73" i="5"/>
  <c r="D73" i="5" s="1"/>
  <c r="A73" i="5"/>
  <c r="K72" i="5"/>
  <c r="G72" i="5"/>
  <c r="B72" i="5"/>
  <c r="D72" i="5" s="1"/>
  <c r="A72" i="5"/>
  <c r="K71" i="5"/>
  <c r="G71" i="5"/>
  <c r="B71" i="5"/>
  <c r="D71" i="5" s="1"/>
  <c r="A71" i="5"/>
  <c r="K70" i="5"/>
  <c r="G70" i="5"/>
  <c r="B70" i="5"/>
  <c r="D70" i="5" s="1"/>
  <c r="A70" i="5"/>
  <c r="G69" i="5"/>
  <c r="B69" i="5"/>
  <c r="D69" i="5" s="1"/>
  <c r="A69" i="5"/>
  <c r="G68" i="5"/>
  <c r="B68" i="5"/>
  <c r="D68" i="5" s="1"/>
  <c r="A68" i="5"/>
  <c r="K67" i="5"/>
  <c r="G67" i="5"/>
  <c r="B67" i="5"/>
  <c r="E67" i="5" s="1"/>
  <c r="A67" i="5"/>
  <c r="K66" i="5"/>
  <c r="G66" i="5"/>
  <c r="B66" i="5"/>
  <c r="E66" i="5" s="1"/>
  <c r="A66" i="5"/>
  <c r="K65" i="5"/>
  <c r="G65" i="5"/>
  <c r="B65" i="5"/>
  <c r="E65" i="5" s="1"/>
  <c r="A65" i="5"/>
  <c r="K64" i="5"/>
  <c r="G64" i="5"/>
  <c r="B64" i="5"/>
  <c r="E64" i="5" s="1"/>
  <c r="A64" i="5"/>
  <c r="K63" i="5"/>
  <c r="G63" i="5"/>
  <c r="B63" i="5"/>
  <c r="D63" i="5" s="1"/>
  <c r="A63" i="5"/>
  <c r="K62" i="5"/>
  <c r="G62" i="5"/>
  <c r="B62" i="5"/>
  <c r="D62" i="5" s="1"/>
  <c r="A62" i="5"/>
  <c r="K61" i="5"/>
  <c r="G61" i="5"/>
  <c r="B61" i="5"/>
  <c r="D61" i="5" s="1"/>
  <c r="A61" i="5"/>
  <c r="G60" i="5"/>
  <c r="B60" i="5"/>
  <c r="D60" i="5" s="1"/>
  <c r="A60" i="5"/>
  <c r="G59" i="5"/>
  <c r="B59" i="5"/>
  <c r="D59" i="5" s="1"/>
  <c r="A59" i="5"/>
  <c r="K58" i="5"/>
  <c r="G58" i="5"/>
  <c r="B58" i="5"/>
  <c r="D58" i="5" s="1"/>
  <c r="A58" i="5"/>
  <c r="K57" i="5"/>
  <c r="G57" i="5"/>
  <c r="B57" i="5"/>
  <c r="E57" i="5" s="1"/>
  <c r="A57" i="5"/>
  <c r="K56" i="5"/>
  <c r="G56" i="5"/>
  <c r="B56" i="5"/>
  <c r="E56" i="5" s="1"/>
  <c r="A56" i="5"/>
  <c r="K55" i="5"/>
  <c r="G55" i="5"/>
  <c r="B55" i="5"/>
  <c r="E55" i="5" s="1"/>
  <c r="A55" i="5"/>
  <c r="G54" i="5"/>
  <c r="B54" i="5"/>
  <c r="E54" i="5" s="1"/>
  <c r="A54" i="5"/>
  <c r="G53" i="5"/>
  <c r="B53" i="5"/>
  <c r="D53" i="5" s="1"/>
  <c r="A53" i="5"/>
  <c r="K52" i="5"/>
  <c r="G52" i="5"/>
  <c r="B52" i="5"/>
  <c r="D52" i="5" s="1"/>
  <c r="A52" i="5"/>
  <c r="G51" i="5"/>
  <c r="B51" i="5"/>
  <c r="D51" i="5" s="1"/>
  <c r="A51" i="5"/>
  <c r="K50" i="5"/>
  <c r="G50" i="5"/>
  <c r="B50" i="5"/>
  <c r="D50" i="5" s="1"/>
  <c r="A50" i="5"/>
  <c r="K49" i="5"/>
  <c r="G49" i="5"/>
  <c r="B49" i="5"/>
  <c r="D49" i="5" s="1"/>
  <c r="A49" i="5"/>
  <c r="K48" i="5"/>
  <c r="G48" i="5"/>
  <c r="B48" i="5"/>
  <c r="D48" i="5" s="1"/>
  <c r="A48" i="5"/>
  <c r="K47" i="5"/>
  <c r="G47" i="5"/>
  <c r="B47" i="5"/>
  <c r="E47" i="5" s="1"/>
  <c r="A47" i="5"/>
  <c r="K46" i="5"/>
  <c r="G46" i="5"/>
  <c r="B46" i="5"/>
  <c r="E46" i="5" s="1"/>
  <c r="A46" i="5"/>
  <c r="G45" i="5"/>
  <c r="B45" i="5"/>
  <c r="E45" i="5" s="1"/>
  <c r="A45" i="5"/>
  <c r="G44" i="5"/>
  <c r="B44" i="5"/>
  <c r="E44" i="5" s="1"/>
  <c r="A44" i="5"/>
  <c r="K43" i="5"/>
  <c r="G43" i="5"/>
  <c r="B43" i="5"/>
  <c r="D43" i="5" s="1"/>
  <c r="A43" i="5"/>
  <c r="K42" i="5"/>
  <c r="G42" i="5"/>
  <c r="B42" i="5"/>
  <c r="D42" i="5" s="1"/>
  <c r="A42" i="5"/>
  <c r="K41" i="5"/>
  <c r="G41" i="5"/>
  <c r="B41" i="5"/>
  <c r="D41" i="5" s="1"/>
  <c r="A41" i="5"/>
  <c r="K40" i="5"/>
  <c r="G40" i="5"/>
  <c r="B40" i="5"/>
  <c r="D40" i="5" s="1"/>
  <c r="A40" i="5"/>
  <c r="K39" i="5"/>
  <c r="G39" i="5"/>
  <c r="B39" i="5"/>
  <c r="D39" i="5" s="1"/>
  <c r="A39" i="5"/>
  <c r="K38" i="5"/>
  <c r="G38" i="5"/>
  <c r="B38" i="5"/>
  <c r="D38" i="5" s="1"/>
  <c r="A38" i="5"/>
  <c r="G37" i="5"/>
  <c r="B37" i="5"/>
  <c r="E37" i="5" s="1"/>
  <c r="A37" i="5"/>
  <c r="G36" i="5"/>
  <c r="B36" i="5"/>
  <c r="D36" i="5" s="1"/>
  <c r="A36" i="5"/>
  <c r="K35" i="5"/>
  <c r="G35" i="5"/>
  <c r="B35" i="5"/>
  <c r="D35" i="5" s="1"/>
  <c r="A35" i="5"/>
  <c r="K34" i="5"/>
  <c r="G34" i="5"/>
  <c r="B34" i="5"/>
  <c r="D34" i="5" s="1"/>
  <c r="A34" i="5"/>
  <c r="K33" i="5"/>
  <c r="G33" i="5"/>
  <c r="B33" i="5"/>
  <c r="D33" i="5" s="1"/>
  <c r="A33" i="5"/>
  <c r="K32" i="5"/>
  <c r="G32" i="5"/>
  <c r="B32" i="5"/>
  <c r="D32" i="5" s="1"/>
  <c r="A32" i="5"/>
  <c r="K31" i="5"/>
  <c r="G31" i="5"/>
  <c r="B31" i="5"/>
  <c r="D31" i="5" s="1"/>
  <c r="A31" i="5"/>
  <c r="K30" i="5"/>
  <c r="G30" i="5"/>
  <c r="B30" i="5"/>
  <c r="D30" i="5" s="1"/>
  <c r="A30" i="5"/>
  <c r="G29" i="5"/>
  <c r="B29" i="5"/>
  <c r="D29" i="5" s="1"/>
  <c r="A29" i="5"/>
  <c r="K28" i="5"/>
  <c r="G28" i="5"/>
  <c r="B28" i="5"/>
  <c r="D28" i="5" s="1"/>
  <c r="A28" i="5"/>
  <c r="K27" i="5"/>
  <c r="G27" i="5"/>
  <c r="B27" i="5"/>
  <c r="D27" i="5" s="1"/>
  <c r="A27" i="5"/>
  <c r="K26" i="5"/>
  <c r="G26" i="5"/>
  <c r="B26" i="5"/>
  <c r="E26" i="5" s="1"/>
  <c r="A26" i="5"/>
  <c r="K25" i="5"/>
  <c r="G25" i="5"/>
  <c r="B25" i="5"/>
  <c r="E25" i="5" s="1"/>
  <c r="A25" i="5"/>
  <c r="K24" i="5"/>
  <c r="G24" i="5"/>
  <c r="B24" i="5"/>
  <c r="E24" i="5" s="1"/>
  <c r="A24" i="5"/>
  <c r="K23" i="5"/>
  <c r="G23" i="5"/>
  <c r="B23" i="5"/>
  <c r="E23" i="5" s="1"/>
  <c r="A23" i="5"/>
  <c r="K22" i="5"/>
  <c r="G22" i="5"/>
  <c r="B22" i="5"/>
  <c r="D22" i="5" s="1"/>
  <c r="A22" i="5"/>
  <c r="K21" i="5"/>
  <c r="G21" i="5"/>
  <c r="B21" i="5"/>
  <c r="D21" i="5" s="1"/>
  <c r="A21" i="5"/>
  <c r="G20" i="5"/>
  <c r="B20" i="5"/>
  <c r="E20" i="5" s="1"/>
  <c r="A20" i="5"/>
  <c r="G19" i="5"/>
  <c r="B19" i="5"/>
  <c r="E19" i="5" s="1"/>
  <c r="A19" i="5"/>
  <c r="K18" i="5"/>
  <c r="G18" i="5"/>
  <c r="B18" i="5"/>
  <c r="E18" i="5" s="1"/>
  <c r="A18" i="5"/>
  <c r="K17" i="5"/>
  <c r="G17" i="5"/>
  <c r="B17" i="5"/>
  <c r="E17" i="5" s="1"/>
  <c r="A17" i="5"/>
  <c r="K16" i="5"/>
  <c r="G16" i="5"/>
  <c r="B16" i="5"/>
  <c r="E16" i="5" s="1"/>
  <c r="A16" i="5"/>
  <c r="K15" i="5"/>
  <c r="G15" i="5"/>
  <c r="B15" i="5"/>
  <c r="E15" i="5" s="1"/>
  <c r="A15" i="5"/>
  <c r="K14" i="5"/>
  <c r="G14" i="5"/>
  <c r="B14" i="5"/>
  <c r="D14" i="5" s="1"/>
  <c r="A14" i="5"/>
  <c r="G13" i="5"/>
  <c r="B13" i="5"/>
  <c r="E13" i="5" s="1"/>
  <c r="A13" i="5"/>
  <c r="K12" i="5"/>
  <c r="G12" i="5"/>
  <c r="B12" i="5"/>
  <c r="D12" i="5" s="1"/>
  <c r="A12" i="5"/>
  <c r="G11" i="5"/>
  <c r="B11" i="5"/>
  <c r="D11" i="5" s="1"/>
  <c r="A11" i="5"/>
  <c r="Q13" i="5" l="1"/>
  <c r="P11" i="5"/>
  <c r="D5" i="5" s="1"/>
  <c r="D4" i="5"/>
  <c r="D3" i="5"/>
  <c r="D6" i="5"/>
  <c r="B6" i="5"/>
  <c r="F6" i="5" s="1"/>
  <c r="B5" i="5"/>
  <c r="B4" i="5"/>
  <c r="F5" i="5" l="1"/>
  <c r="G2" i="5"/>
  <c r="F4" i="5"/>
  <c r="B3" i="5"/>
  <c r="E2" i="5" s="1"/>
  <c r="F3" i="5" l="1"/>
  <c r="C2" i="5"/>
</calcChain>
</file>

<file path=xl/sharedStrings.xml><?xml version="1.0" encoding="utf-8"?>
<sst xmlns="http://schemas.openxmlformats.org/spreadsheetml/2006/main" count="23717" uniqueCount="4291">
  <si>
    <t>Channel Number</t>
  </si>
  <si>
    <t>Channel Name</t>
  </si>
  <si>
    <t>Provider</t>
  </si>
  <si>
    <t>Availability</t>
  </si>
  <si>
    <t>Rovi 1.1 Source ID</t>
  </si>
  <si>
    <t>Rovi 2.0 Source ID</t>
  </si>
  <si>
    <t>Partner Station Id</t>
  </si>
  <si>
    <t>playbackUrlChannelId</t>
  </si>
  <si>
    <t>channelChangeId</t>
  </si>
  <si>
    <t>Call Sign</t>
  </si>
  <si>
    <t>Packaged Service Description</t>
  </si>
  <si>
    <t>XUMO playURL (Pre-Frumos 1.20)</t>
  </si>
  <si>
    <t>XUMO playURL (Frumos 1.20)</t>
  </si>
  <si>
    <t>Packaged Service Id</t>
  </si>
  <si>
    <t>TiVo+ Genre</t>
  </si>
  <si>
    <t>IPTV Platform (mATV)</t>
  </si>
  <si>
    <t>IPTV Unmanaged Streaming Devices</t>
  </si>
  <si>
    <t>CNN Headlines</t>
  </si>
  <si>
    <t>Pluto TV</t>
  </si>
  <si>
    <t>Live</t>
  </si>
  <si>
    <t>cnn-headlines</t>
  </si>
  <si>
    <t>5421f71da6af422839419cb3</t>
  </si>
  <si>
    <t>CNNHEADLINES</t>
  </si>
  <si>
    <t>427517053</t>
  </si>
  <si>
    <t>News &amp; Opinion</t>
  </si>
  <si>
    <t>✔</t>
  </si>
  <si>
    <t>NBC News Now</t>
  </si>
  <si>
    <t>nbc-news-now</t>
  </si>
  <si>
    <t>5df97894467dfa00091c873c</t>
  </si>
  <si>
    <t>NBCNNW</t>
  </si>
  <si>
    <t>429861982</t>
  </si>
  <si>
    <t>CBS News 24/7</t>
  </si>
  <si>
    <t>cbs-news</t>
  </si>
  <si>
    <t>5a6b92f6e22a617379789618</t>
  </si>
  <si>
    <t>CBSNEWS-TIVO</t>
  </si>
  <si>
    <t>427517050</t>
  </si>
  <si>
    <t>Sky News</t>
  </si>
  <si>
    <t>sky-news</t>
  </si>
  <si>
    <t>55b285cd2665de274553d66f</t>
  </si>
  <si>
    <t>SKYNEW</t>
  </si>
  <si>
    <t>427517061</t>
  </si>
  <si>
    <t>Blaze Live</t>
  </si>
  <si>
    <t>blaze-live</t>
  </si>
  <si>
    <t>5e46fba0c43b0d00096e5ac1</t>
  </si>
  <si>
    <t>BLAZESD</t>
  </si>
  <si>
    <t>235665557</t>
  </si>
  <si>
    <t>Pluto TV Crime Movies</t>
  </si>
  <si>
    <t>pluto-tv-crime-movies</t>
  </si>
  <si>
    <t>5f4d8594eb979c0007706de7</t>
  </si>
  <si>
    <t>CRMOVPLUTO</t>
  </si>
  <si>
    <t>499315358</t>
  </si>
  <si>
    <t>Movies</t>
  </si>
  <si>
    <t>Pluto TV Westerns</t>
  </si>
  <si>
    <t>pluto-tv-westerns-ptv1</t>
  </si>
  <si>
    <t>5b4e94282d4ec87bdcbb87cd</t>
  </si>
  <si>
    <t>PLUWEST</t>
  </si>
  <si>
    <t>427517072</t>
  </si>
  <si>
    <t>Pluto TV Action</t>
  </si>
  <si>
    <t>pluto-tv-action</t>
  </si>
  <si>
    <t>561d7d484dc7c8770484914a</t>
  </si>
  <si>
    <t>PLUTOACT</t>
  </si>
  <si>
    <t>427517024</t>
  </si>
  <si>
    <t>Black Cinema</t>
  </si>
  <si>
    <t>black-cinema</t>
  </si>
  <si>
    <t>58af4c093a41ca9d4ecabe96</t>
  </si>
  <si>
    <t>BLAKCINE</t>
  </si>
  <si>
    <t>427517054</t>
  </si>
  <si>
    <t>Pluto TV Horror</t>
  </si>
  <si>
    <t>pluto-tv-horror</t>
  </si>
  <si>
    <t>569546031a619b8f07ce6e25</t>
  </si>
  <si>
    <t>PLUTVHOR</t>
  </si>
  <si>
    <t>427517034</t>
  </si>
  <si>
    <t>Pluto TV Terror</t>
  </si>
  <si>
    <t>pluto-tv-terror</t>
  </si>
  <si>
    <t>5c6dc88fcd232425a6e0f06e</t>
  </si>
  <si>
    <t>PLUTVTER</t>
  </si>
  <si>
    <t>427517019</t>
  </si>
  <si>
    <t>Pluto TV Sci-Fi</t>
  </si>
  <si>
    <t>pluto-tv-sci-fi</t>
  </si>
  <si>
    <t>5b4fc274694c027be6ed3eea</t>
  </si>
  <si>
    <t>PLUTVSCI</t>
  </si>
  <si>
    <t>427517067</t>
  </si>
  <si>
    <t>Pluto TV Comedy</t>
  </si>
  <si>
    <t>pluto-tv-comedy</t>
  </si>
  <si>
    <t>5a4d3a00ad95e4718ae8d8db</t>
  </si>
  <si>
    <t>PLUTVCOM</t>
  </si>
  <si>
    <t>427517068</t>
  </si>
  <si>
    <t>Pluto TV Drama</t>
  </si>
  <si>
    <t>pluto-tv-drama</t>
  </si>
  <si>
    <t>5b4e92e4694c027be6ecece1</t>
  </si>
  <si>
    <t>PLUTVDRA</t>
  </si>
  <si>
    <t>427517040</t>
  </si>
  <si>
    <t>Pluto TV Fantastic</t>
  </si>
  <si>
    <t>pluto-tv-fantastic</t>
  </si>
  <si>
    <t>5b64a245a202b3337f09e51d</t>
  </si>
  <si>
    <t>PLUTVFAN</t>
  </si>
  <si>
    <t>427517073</t>
  </si>
  <si>
    <t>Pluto TV Romance</t>
  </si>
  <si>
    <t>pluto-tv-romance</t>
  </si>
  <si>
    <t>5a66795ef91fef2c7031c599</t>
  </si>
  <si>
    <t>PLURVROM</t>
  </si>
  <si>
    <t>427571159</t>
  </si>
  <si>
    <t>Pluto TV Spotlight</t>
  </si>
  <si>
    <t>pluto-tv-spotlight</t>
  </si>
  <si>
    <t>5ba3fb9c4b078e0f37ad34e8</t>
  </si>
  <si>
    <t>PLUTVSP</t>
  </si>
  <si>
    <t>427517026</t>
  </si>
  <si>
    <t>Paramount Movie Channel</t>
  </si>
  <si>
    <t>paramount-movie-channel</t>
  </si>
  <si>
    <t>5cb0cae7a461406ffe3f5213</t>
  </si>
  <si>
    <t>PARAMOVC</t>
  </si>
  <si>
    <t>427517006</t>
  </si>
  <si>
    <t>70's Cinema</t>
  </si>
  <si>
    <t>70s-cinema</t>
  </si>
  <si>
    <t>5f4d878d3d19b30007d2e782</t>
  </si>
  <si>
    <t>70CINEMA</t>
  </si>
  <si>
    <t>442803426</t>
  </si>
  <si>
    <t>80's Rewind</t>
  </si>
  <si>
    <t>80s-rewind</t>
  </si>
  <si>
    <t>5ca525b650be2571e3943c63</t>
  </si>
  <si>
    <t>80REWIND</t>
  </si>
  <si>
    <t>442803415</t>
  </si>
  <si>
    <t>90's Throwback</t>
  </si>
  <si>
    <t>90s-throwback</t>
  </si>
  <si>
    <t>5f4d86f519358a00072b978e</t>
  </si>
  <si>
    <t>90THROW</t>
  </si>
  <si>
    <t>442803411</t>
  </si>
  <si>
    <t>COPS</t>
  </si>
  <si>
    <t>cops</t>
  </si>
  <si>
    <t>5e1f7e089f23700009d66303</t>
  </si>
  <si>
    <t>427517066</t>
  </si>
  <si>
    <t>True Crime</t>
  </si>
  <si>
    <t>Forensic Files</t>
  </si>
  <si>
    <t>forensic-files</t>
  </si>
  <si>
    <t>5bb1af6a268cae539bcedb0a</t>
  </si>
  <si>
    <t>FORFILE</t>
  </si>
  <si>
    <t>427517014</t>
  </si>
  <si>
    <t>Cold Case Files by A&amp;E</t>
  </si>
  <si>
    <t>cold-case-files-presented-by-aande</t>
  </si>
  <si>
    <t>5c37d6712de254456f7ec340</t>
  </si>
  <si>
    <t>COLCASE</t>
  </si>
  <si>
    <t>427517043</t>
  </si>
  <si>
    <t>48 Hours</t>
  </si>
  <si>
    <t>48-hours</t>
  </si>
  <si>
    <t>6176f39e709f160007ec61c3</t>
  </si>
  <si>
    <t>HOURSPLUTO</t>
  </si>
  <si>
    <t>499315356</t>
  </si>
  <si>
    <t>The New Detectives</t>
  </si>
  <si>
    <t>the-new-detectives</t>
  </si>
  <si>
    <t>5aea40b35126c2157123aa64</t>
  </si>
  <si>
    <t>NEWDECTV</t>
  </si>
  <si>
    <t>427517042</t>
  </si>
  <si>
    <t>Pluto TV True Crime</t>
  </si>
  <si>
    <t>pluto-tv-true-crime</t>
  </si>
  <si>
    <t>5812be1c249444e05d09cc50</t>
  </si>
  <si>
    <t>PLUTOCRIM</t>
  </si>
  <si>
    <t>442803422</t>
  </si>
  <si>
    <t>CSI</t>
  </si>
  <si>
    <t>csi</t>
  </si>
  <si>
    <t>5efbd29e4aa26700076c0d06</t>
  </si>
  <si>
    <t>CSI-NA</t>
  </si>
  <si>
    <t>427517047</t>
  </si>
  <si>
    <t>Crime Drama</t>
  </si>
  <si>
    <t>CSI: Miami</t>
  </si>
  <si>
    <t>csi-miami-ptv2</t>
  </si>
  <si>
    <t>62f54c11b3af68000702c304</t>
  </si>
  <si>
    <t>CSIMIAMIPL</t>
  </si>
  <si>
    <t>499315289</t>
  </si>
  <si>
    <t>CSI: NY</t>
  </si>
  <si>
    <t>csi-ny</t>
  </si>
  <si>
    <t>62f54c6439183b000769fb8f</t>
  </si>
  <si>
    <t>CSINYPLUTO</t>
  </si>
  <si>
    <t>499315303</t>
  </si>
  <si>
    <t>Pluto TV Crime Drama</t>
  </si>
  <si>
    <t>pluto-tv-crime-drama</t>
  </si>
  <si>
    <t>5f31fd1b4c510e00071c3103</t>
  </si>
  <si>
    <t>PLUTOCRDR</t>
  </si>
  <si>
    <t>442803400</t>
  </si>
  <si>
    <t>Midsomer Murders</t>
  </si>
  <si>
    <t>midsomer-murders</t>
  </si>
  <si>
    <t>5cbf6a868a1bce4a3d52a5e9</t>
  </si>
  <si>
    <t>MIDSMURD</t>
  </si>
  <si>
    <t>427517046</t>
  </si>
  <si>
    <t>Star Trek</t>
  </si>
  <si>
    <t>star-trek-1</t>
  </si>
  <si>
    <t>5efbd39f8c4ce900075d7698</t>
  </si>
  <si>
    <t>STARTRK</t>
  </si>
  <si>
    <t>427517076</t>
  </si>
  <si>
    <t>Hit TV Shows</t>
  </si>
  <si>
    <t>Paramount+ Picks</t>
  </si>
  <si>
    <t>paramount-ptv1</t>
  </si>
  <si>
    <t>5ff8c708653d080007361b14</t>
  </si>
  <si>
    <t>PARAMPICSPL</t>
  </si>
  <si>
    <t>499315351</t>
  </si>
  <si>
    <t>Stories by AMC</t>
  </si>
  <si>
    <t>stories-by-amc</t>
  </si>
  <si>
    <t>5e8254118601b80007b4b7ae</t>
  </si>
  <si>
    <t>AMCPLUTO</t>
  </si>
  <si>
    <t>499197895</t>
  </si>
  <si>
    <t>TV Land Drama</t>
  </si>
  <si>
    <t>tv-land-drama</t>
  </si>
  <si>
    <t>5d40bebc5e3d2750a2239d7e</t>
  </si>
  <si>
    <t>TVLANDDRPL</t>
  </si>
  <si>
    <t>499315294</t>
  </si>
  <si>
    <t>Supernatural Drama</t>
  </si>
  <si>
    <t>supernatural-drama</t>
  </si>
  <si>
    <t>5f24662bebe0f0000767de32</t>
  </si>
  <si>
    <t>SUPERNDRPL</t>
  </si>
  <si>
    <t>499315291</t>
  </si>
  <si>
    <t>The Walking Dead Universe</t>
  </si>
  <si>
    <t>the-walking-dead-universe</t>
  </si>
  <si>
    <t>62fa8176b9884200074ef5ae</t>
  </si>
  <si>
    <t>WALKDDPLT</t>
  </si>
  <si>
    <t>508375947</t>
  </si>
  <si>
    <t>Pluto TV Paranormal</t>
  </si>
  <si>
    <t>pluto-tv-paranormal</t>
  </si>
  <si>
    <t>5adf96e3e738977e2c31cb04</t>
  </si>
  <si>
    <t>PARANORMPL</t>
  </si>
  <si>
    <t>499315400</t>
  </si>
  <si>
    <t>5f4d83e0a382c00007bc02e7</t>
  </si>
  <si>
    <t>90210PLUTO</t>
  </si>
  <si>
    <t>90210</t>
  </si>
  <si>
    <t>499315349</t>
  </si>
  <si>
    <t>Degrassi</t>
  </si>
  <si>
    <t>degrassi</t>
  </si>
  <si>
    <t>5c6eeb85c05dfc257e5a50c4</t>
  </si>
  <si>
    <t>DEGRPLUTO</t>
  </si>
  <si>
    <t>499315399</t>
  </si>
  <si>
    <t>The Beverly Hillbillies</t>
  </si>
  <si>
    <t>beverly-hillbillies-ptv1</t>
  </si>
  <si>
    <t>5f7796e470510900070d4e3d</t>
  </si>
  <si>
    <t>BEVHILLPLUTO</t>
  </si>
  <si>
    <t>499315365</t>
  </si>
  <si>
    <t>Family Ties</t>
  </si>
  <si>
    <t>family-ties</t>
  </si>
  <si>
    <t>5f77939a630f530007dde654</t>
  </si>
  <si>
    <t>FAMTIESPLUTO</t>
  </si>
  <si>
    <t>499315290</t>
  </si>
  <si>
    <t>Doctor Who Classic</t>
  </si>
  <si>
    <t>doctor-who-classic</t>
  </si>
  <si>
    <t>5ce4475cd43850831ca91ce7</t>
  </si>
  <si>
    <t>DOCWHOCL</t>
  </si>
  <si>
    <t>427517075</t>
  </si>
  <si>
    <t>Best of Dr. Phil</t>
  </si>
  <si>
    <t>best-of-dr-phil</t>
  </si>
  <si>
    <t>60f760bbdf090700075d7bfe</t>
  </si>
  <si>
    <t>PHILPLUTO</t>
  </si>
  <si>
    <t>499315286</t>
  </si>
  <si>
    <t>The Judge Judy Channel</t>
  </si>
  <si>
    <t>the-judge-judy-channel</t>
  </si>
  <si>
    <t>6283d51144ad8f0007fa382d</t>
  </si>
  <si>
    <t>JJUDYPLUTO</t>
  </si>
  <si>
    <t>499315357</t>
  </si>
  <si>
    <t>Hot Bench</t>
  </si>
  <si>
    <t>hot-bench</t>
  </si>
  <si>
    <t>6036e6e7ac69c400072afca2</t>
  </si>
  <si>
    <t>HOTBENCHPL</t>
  </si>
  <si>
    <t>499315296</t>
  </si>
  <si>
    <t>TODAY All Day</t>
  </si>
  <si>
    <t>today-1</t>
  </si>
  <si>
    <t>5d695f7db53adf96b78e7ce3</t>
  </si>
  <si>
    <t>TODAY</t>
  </si>
  <si>
    <t>427517020</t>
  </si>
  <si>
    <t>The Price is Right</t>
  </si>
  <si>
    <t>the-price-is-right</t>
  </si>
  <si>
    <t>643f035d5a0cd50008361534</t>
  </si>
  <si>
    <t>PROCERIGHTPL</t>
  </si>
  <si>
    <t>499315380</t>
  </si>
  <si>
    <t>Game Shows</t>
  </si>
  <si>
    <t>The Price Is Right: The Barker Era</t>
  </si>
  <si>
    <t>the-price-is-right-the-barker-era</t>
  </si>
  <si>
    <t>5f7791b8372da90007fd45e6</t>
  </si>
  <si>
    <t>PRICEPLUTO</t>
  </si>
  <si>
    <t>499197894</t>
  </si>
  <si>
    <t>Let's Make a Deal</t>
  </si>
  <si>
    <t>lets-make-a-deal</t>
  </si>
  <si>
    <t>6267352efcf21c0007c76642</t>
  </si>
  <si>
    <t>MAKEDEALPL</t>
  </si>
  <si>
    <t>499315359</t>
  </si>
  <si>
    <t>BUZZR</t>
  </si>
  <si>
    <t>buzzr</t>
  </si>
  <si>
    <t>5812bfbe4ced4f7b601b12e6</t>
  </si>
  <si>
    <t>BUZZR-NA</t>
  </si>
  <si>
    <t>442803409</t>
  </si>
  <si>
    <t>Deal or No Deal</t>
  </si>
  <si>
    <t>deal-or-no-deal</t>
  </si>
  <si>
    <t>5e9debf8c881310007d7bde1</t>
  </si>
  <si>
    <t>DEALNODEAL</t>
  </si>
  <si>
    <t>442803414</t>
  </si>
  <si>
    <t>ET</t>
  </si>
  <si>
    <t>et</t>
  </si>
  <si>
    <t>5dc0c78281eddb0009a02d5e</t>
  </si>
  <si>
    <t>442803420</t>
  </si>
  <si>
    <t>Entertainment</t>
  </si>
  <si>
    <t>Comedy Central Pluto TV</t>
  </si>
  <si>
    <t>comedy-central-pluto-tv</t>
  </si>
  <si>
    <t>5ca671f215a62078d2ec0abf</t>
  </si>
  <si>
    <t>COMCENTPLUTO</t>
  </si>
  <si>
    <t>499315352</t>
  </si>
  <si>
    <t>Comedy</t>
  </si>
  <si>
    <t>Tosh.0</t>
  </si>
  <si>
    <t>tosh-1</t>
  </si>
  <si>
    <t>5dae084727c8af0009fe40a4</t>
  </si>
  <si>
    <t>TOSH</t>
  </si>
  <si>
    <t>442803403</t>
  </si>
  <si>
    <t>TV Land Sitcoms</t>
  </si>
  <si>
    <t>tv-land-sitcoms</t>
  </si>
  <si>
    <t>5c2d64ffbdf11b71587184b8</t>
  </si>
  <si>
    <t>TVLNSIT</t>
  </si>
  <si>
    <t>427517051</t>
  </si>
  <si>
    <t>Wild 'N Out</t>
  </si>
  <si>
    <t>wild-n-out</t>
  </si>
  <si>
    <t>5d48678d34ceb37d3c458a55</t>
  </si>
  <si>
    <t>WILDNOUT</t>
  </si>
  <si>
    <t>427517013</t>
  </si>
  <si>
    <t>Pluto TV Cars</t>
  </si>
  <si>
    <t>cars</t>
  </si>
  <si>
    <t>5812b3a4249444e05d09cc46</t>
  </si>
  <si>
    <t>PLUTOCAR</t>
  </si>
  <si>
    <t>427517011</t>
  </si>
  <si>
    <t>Automotive</t>
  </si>
  <si>
    <t>Survivor</t>
  </si>
  <si>
    <t>survivor-ptv1</t>
  </si>
  <si>
    <t>5f21e7b24744c60007c1f6fc</t>
  </si>
  <si>
    <t>SURVIVORPL</t>
  </si>
  <si>
    <t>499315373</t>
  </si>
  <si>
    <t>Competition Reality</t>
  </si>
  <si>
    <t>The Amazing Race</t>
  </si>
  <si>
    <t>the-amazing-race</t>
  </si>
  <si>
    <t>5f21e8a6e2f12b000755afdb</t>
  </si>
  <si>
    <t>AMAZRACEPL</t>
  </si>
  <si>
    <t>499315362</t>
  </si>
  <si>
    <t>The Challenge</t>
  </si>
  <si>
    <t>the-challenge</t>
  </si>
  <si>
    <t>5d48685da7e9f476aa8a1888</t>
  </si>
  <si>
    <t>CHALLENGEPL</t>
  </si>
  <si>
    <t>499315375</t>
  </si>
  <si>
    <t>MTV Pluto TV</t>
  </si>
  <si>
    <t>mtv-pluto-tv</t>
  </si>
  <si>
    <t>5ca672f515a62078d2ec0ad2</t>
  </si>
  <si>
    <t>MTVPLUTO</t>
  </si>
  <si>
    <t>427517037</t>
  </si>
  <si>
    <t>Reality</t>
  </si>
  <si>
    <t>Jersey Shore</t>
  </si>
  <si>
    <t>jersey-shore</t>
  </si>
  <si>
    <t>609bfa51fbecc1000733152e</t>
  </si>
  <si>
    <t>JERSSHOREPL</t>
  </si>
  <si>
    <t>499315287</t>
  </si>
  <si>
    <t>Teen Mom</t>
  </si>
  <si>
    <t>teen-mom</t>
  </si>
  <si>
    <t>6127e12ed140e900077e7b6f</t>
  </si>
  <si>
    <t>TEENMOMPLUTO</t>
  </si>
  <si>
    <t>499315361</t>
  </si>
  <si>
    <t>BET Pluto TV</t>
  </si>
  <si>
    <t>bet-pluto-tv</t>
  </si>
  <si>
    <t>5ca670f6593a5d78f0e85aed</t>
  </si>
  <si>
    <t>BETPLUTV</t>
  </si>
  <si>
    <t>427517049</t>
  </si>
  <si>
    <t>Love &amp; Hip Hop</t>
  </si>
  <si>
    <t>love-and-hip-hop</t>
  </si>
  <si>
    <t>5d51ddf0369acdb278dfb05e</t>
  </si>
  <si>
    <t>LOVEHPH</t>
  </si>
  <si>
    <t>427517033</t>
  </si>
  <si>
    <t>Black Ink Crew</t>
  </si>
  <si>
    <t>black-ink-crew</t>
  </si>
  <si>
    <t>5d51e2bceca5b4b2c0e06c50</t>
  </si>
  <si>
    <t>BLAKCREW</t>
  </si>
  <si>
    <t>427517010</t>
  </si>
  <si>
    <t>All Reality by WE TV</t>
  </si>
  <si>
    <t>all-reality-we-tv</t>
  </si>
  <si>
    <t>5e82530945600e0007ca076c</t>
  </si>
  <si>
    <t>REALITYWEPL</t>
  </si>
  <si>
    <t>499197896</t>
  </si>
  <si>
    <t>Dallas Cowboys Cheerleaders</t>
  </si>
  <si>
    <t>dallas-cowboys-cheerleaders</t>
  </si>
  <si>
    <t>5d40855b3fb0855028c99b6f</t>
  </si>
  <si>
    <t>DALLCOWBPL</t>
  </si>
  <si>
    <t>499315353</t>
  </si>
  <si>
    <t>Smithsonian Channel Selects</t>
  </si>
  <si>
    <t>smithsonian-channel-selects</t>
  </si>
  <si>
    <t>5f21ea08007a49000762d349</t>
  </si>
  <si>
    <t>SMITHPLUTO</t>
  </si>
  <si>
    <t>499315285</t>
  </si>
  <si>
    <t>History + Science</t>
  </si>
  <si>
    <t>60 Minutes</t>
  </si>
  <si>
    <t>60-minutes</t>
  </si>
  <si>
    <t>66b646f9cd0d3100086af83c</t>
  </si>
  <si>
    <t>SMINPLT</t>
  </si>
  <si>
    <t>508375938</t>
  </si>
  <si>
    <t>Antiques Roadshow UK</t>
  </si>
  <si>
    <t>antiques-roadshow-uk</t>
  </si>
  <si>
    <t>5ce44810b421747ae467b7cd</t>
  </si>
  <si>
    <t>ANROADUK</t>
  </si>
  <si>
    <t>442803398</t>
  </si>
  <si>
    <t>This Old House</t>
  </si>
  <si>
    <t>this-old-house</t>
  </si>
  <si>
    <t>5d51e791b7dba3b2ae990ab2</t>
  </si>
  <si>
    <t>TOLDHOUS</t>
  </si>
  <si>
    <t>442803423</t>
  </si>
  <si>
    <t>Lifestyle</t>
  </si>
  <si>
    <t>America's Test Kitchen</t>
  </si>
  <si>
    <t>americas-test-kitchen</t>
  </si>
  <si>
    <t>5e84f54a82f05300080e6746</t>
  </si>
  <si>
    <t>AMTSTKTN</t>
  </si>
  <si>
    <t>427517065</t>
  </si>
  <si>
    <t>NFL Channel</t>
  </si>
  <si>
    <t>nfl-channel</t>
  </si>
  <si>
    <t>5ced7d5df64be98e07ed47b6</t>
  </si>
  <si>
    <t>NFL-NA</t>
  </si>
  <si>
    <t>427517023</t>
  </si>
  <si>
    <t>Sports</t>
  </si>
  <si>
    <t>MLB</t>
  </si>
  <si>
    <t>mlb</t>
  </si>
  <si>
    <t>5e66968a70f34c0007d050be</t>
  </si>
  <si>
    <t>442803427</t>
  </si>
  <si>
    <t>PBR RidePass</t>
  </si>
  <si>
    <t>pbr-ridepass</t>
  </si>
  <si>
    <t>60d39387706fe50007fda8e8</t>
  </si>
  <si>
    <t>PBRPLUTO</t>
  </si>
  <si>
    <t>499315350</t>
  </si>
  <si>
    <t>FOX Sports</t>
  </si>
  <si>
    <t>fox-sports</t>
  </si>
  <si>
    <t>5a74b8e1e22a61737979c6bf</t>
  </si>
  <si>
    <t>FOXSPORT</t>
  </si>
  <si>
    <t>427517028</t>
  </si>
  <si>
    <t>CBS Sports HQ</t>
  </si>
  <si>
    <t>cbs-sports-hq</t>
  </si>
  <si>
    <t>5e9f2c05172a0f0007db4786</t>
  </si>
  <si>
    <t>CBSPSHQ</t>
  </si>
  <si>
    <t>427517036</t>
  </si>
  <si>
    <t>World Poker Tour</t>
  </si>
  <si>
    <t>world-poker-tour</t>
  </si>
  <si>
    <t>5616f9c0ada51f8004c4b091</t>
  </si>
  <si>
    <t>WORLDPOT</t>
  </si>
  <si>
    <t>427517038</t>
  </si>
  <si>
    <t>Bellator MMA</t>
  </si>
  <si>
    <t>bellator-mma</t>
  </si>
  <si>
    <t>5ebc8688f3697d00072f7cf8</t>
  </si>
  <si>
    <t>BELLATPLUTO</t>
  </si>
  <si>
    <t>499315284</t>
  </si>
  <si>
    <t>TNA Wrestling</t>
  </si>
  <si>
    <t>tna-wrestling</t>
  </si>
  <si>
    <t>59b722526996084038c01e1b</t>
  </si>
  <si>
    <t>TNAWRESPLUTO</t>
  </si>
  <si>
    <t>499315401</t>
  </si>
  <si>
    <t>Golazo Network</t>
  </si>
  <si>
    <t>golazo-network</t>
  </si>
  <si>
    <t>63a0e33a45264d000850ed7e</t>
  </si>
  <si>
    <t>GOLAZPLT</t>
  </si>
  <si>
    <t>508375951</t>
  </si>
  <si>
    <t>Lucha Libre AAA</t>
  </si>
  <si>
    <t>lucha-libre-aaa</t>
  </si>
  <si>
    <t>5c01df1759ee03633e7b272c</t>
  </si>
  <si>
    <t>LUCLIBA</t>
  </si>
  <si>
    <t>427517074</t>
  </si>
  <si>
    <t>Anime All Day</t>
  </si>
  <si>
    <t>pluto-tv-anime-1-ptv1</t>
  </si>
  <si>
    <t>5812b7d3249444e05d09cc49</t>
  </si>
  <si>
    <t>ANALLDAY</t>
  </si>
  <si>
    <t>442803417</t>
  </si>
  <si>
    <t>Anime &amp; Gaming</t>
  </si>
  <si>
    <t>One Piece</t>
  </si>
  <si>
    <t>one-piece</t>
  </si>
  <si>
    <t>5f7790b3ed0c88000720b241</t>
  </si>
  <si>
    <t>ONEPIECE</t>
  </si>
  <si>
    <t>442803405</t>
  </si>
  <si>
    <t>Naruto</t>
  </si>
  <si>
    <t>naruto</t>
  </si>
  <si>
    <t>5da0c85bd2c9c10009370984</t>
  </si>
  <si>
    <t>NARUTO</t>
  </si>
  <si>
    <t>442803396</t>
  </si>
  <si>
    <t>Yu-Gi-Oh</t>
  </si>
  <si>
    <t>yu-gi-oh-ptv1</t>
  </si>
  <si>
    <t>5f4ec10ed9636f00089b8c89</t>
  </si>
  <si>
    <t>YUGIOH</t>
  </si>
  <si>
    <t>442803424</t>
  </si>
  <si>
    <t>Nickelodeon Pluto TV</t>
  </si>
  <si>
    <t>nick-pluto-tv</t>
  </si>
  <si>
    <t>5ca673e0d0bd6c2689c94ce3</t>
  </si>
  <si>
    <t>NICKPLUTO</t>
  </si>
  <si>
    <t>499315292</t>
  </si>
  <si>
    <t>Kids</t>
  </si>
  <si>
    <t>Nick Jr. Pluto TV</t>
  </si>
  <si>
    <t>nick-jr-pluto-tv-ptv1</t>
  </si>
  <si>
    <t>5ca6748a37b88b269472dad9</t>
  </si>
  <si>
    <t>NICJRPL</t>
  </si>
  <si>
    <t>427517059</t>
  </si>
  <si>
    <t>Peppa Pig</t>
  </si>
  <si>
    <t>peppapig</t>
  </si>
  <si>
    <t>5d14fb6c84dd37df3b4290c5</t>
  </si>
  <si>
    <t>PEPPAPIG</t>
  </si>
  <si>
    <t>427517025</t>
  </si>
  <si>
    <t>Little Angel's Playroom</t>
  </si>
  <si>
    <t>little-angels-playroom</t>
  </si>
  <si>
    <t>5eb301b7395671000780d100</t>
  </si>
  <si>
    <t>LITBABUM</t>
  </si>
  <si>
    <t>427517015</t>
  </si>
  <si>
    <t>Nickelodeon en Español</t>
  </si>
  <si>
    <t>nick-en-espanol</t>
  </si>
  <si>
    <t>5d8d08395f39465da6fb3ec4</t>
  </si>
  <si>
    <t>NICENESP</t>
  </si>
  <si>
    <t>427517030</t>
  </si>
  <si>
    <t>En Español</t>
  </si>
  <si>
    <t>Cine Premiere</t>
  </si>
  <si>
    <t>cine-premiere</t>
  </si>
  <si>
    <t>5cf968040ab7d8f181e6a68b</t>
  </si>
  <si>
    <t>CINEPRPLUTO</t>
  </si>
  <si>
    <t>499315364</t>
  </si>
  <si>
    <t>Cine en español</t>
  </si>
  <si>
    <t>cine-en-espanol</t>
  </si>
  <si>
    <t>5cf96b1c4f1ca3f0629f4bf0</t>
  </si>
  <si>
    <t>CINESPN</t>
  </si>
  <si>
    <t>427517039</t>
  </si>
  <si>
    <t>Cine adrenalina</t>
  </si>
  <si>
    <t>cine-adrenalina</t>
  </si>
  <si>
    <t>5d8d164d92e97a5e107638d2</t>
  </si>
  <si>
    <t>CINEADRPLUTO</t>
  </si>
  <si>
    <t>499315305</t>
  </si>
  <si>
    <t>Cine Terror</t>
  </si>
  <si>
    <t>cine-terror</t>
  </si>
  <si>
    <t>5d8d180092e97a5e107638d3</t>
  </si>
  <si>
    <t>CINETR</t>
  </si>
  <si>
    <t>427517032</t>
  </si>
  <si>
    <t>CSI en Español</t>
  </si>
  <si>
    <t>csi-en-espanol</t>
  </si>
  <si>
    <t>604928d54a4f730007ff76bc</t>
  </si>
  <si>
    <t>CSIESPPLUTO</t>
  </si>
  <si>
    <t>499315288</t>
  </si>
  <si>
    <t>CSI: Miami en español</t>
  </si>
  <si>
    <t>csi-miami-en-espanol</t>
  </si>
  <si>
    <t>632b5950b515b000079e6b81</t>
  </si>
  <si>
    <t>CSIMIAMIESPL</t>
  </si>
  <si>
    <t>499315377</t>
  </si>
  <si>
    <t>CSI: NY en español</t>
  </si>
  <si>
    <t>csi-ny-en-espanol</t>
  </si>
  <si>
    <t>632b606e12a67b0007c9e371</t>
  </si>
  <si>
    <t>CSINYESPPL</t>
  </si>
  <si>
    <t>499315363</t>
  </si>
  <si>
    <t>The Walking Dead en Español</t>
  </si>
  <si>
    <t>the-walking-dead-en-espanol</t>
  </si>
  <si>
    <t>5e82bb378601b80007b4bd78</t>
  </si>
  <si>
    <t>WALKDEAD</t>
  </si>
  <si>
    <t>427517009</t>
  </si>
  <si>
    <t>Comedy Central en Español</t>
  </si>
  <si>
    <t>comedy-central-en-espanol</t>
  </si>
  <si>
    <t>5cf96dad1652631e36d43320</t>
  </si>
  <si>
    <t>COMCENES</t>
  </si>
  <si>
    <t>427517064</t>
  </si>
  <si>
    <t>Crímenes imperfectos</t>
  </si>
  <si>
    <t>crimenes-imperfectos</t>
  </si>
  <si>
    <t>5e94cd036cc69d0007e8a1ba</t>
  </si>
  <si>
    <t>CMIMPER</t>
  </si>
  <si>
    <t>427517063</t>
  </si>
  <si>
    <t>Investiga</t>
  </si>
  <si>
    <t>investiga-ptv1</t>
  </si>
  <si>
    <t>5cf96b8f4f1ca3f0629f4bf1</t>
  </si>
  <si>
    <t>INVESTA</t>
  </si>
  <si>
    <t>427517058</t>
  </si>
  <si>
    <t>Live Music</t>
  </si>
  <si>
    <t>live-music</t>
  </si>
  <si>
    <t>5873fc21cad696fb37aa9054</t>
  </si>
  <si>
    <t>LVMUS</t>
  </si>
  <si>
    <t>442803395</t>
  </si>
  <si>
    <t>Music</t>
  </si>
  <si>
    <t>Vevo '70s</t>
  </si>
  <si>
    <t>vevo-70s</t>
  </si>
  <si>
    <t>5f32f26bcd8aea00071240e5</t>
  </si>
  <si>
    <t>VEVO70</t>
  </si>
  <si>
    <t>442803399</t>
  </si>
  <si>
    <t>Vevo '80s</t>
  </si>
  <si>
    <t>vevo-80s</t>
  </si>
  <si>
    <t>5fd7b8bf927e090007685853</t>
  </si>
  <si>
    <t>VEVO80</t>
  </si>
  <si>
    <t>442803401</t>
  </si>
  <si>
    <t>Vevo '90s</t>
  </si>
  <si>
    <t>vevo-90s</t>
  </si>
  <si>
    <t>5fd7bb1f86d94a000796e2c2</t>
  </si>
  <si>
    <t>VEVO90</t>
  </si>
  <si>
    <t>442803413</t>
  </si>
  <si>
    <t>Vevo 2K</t>
  </si>
  <si>
    <t>vevo-2k</t>
  </si>
  <si>
    <t>5fd7bca3e0a4ee0007a38e8c</t>
  </si>
  <si>
    <t>VEVO2K</t>
  </si>
  <si>
    <t>442803418</t>
  </si>
  <si>
    <t>CMT Equal Play</t>
  </si>
  <si>
    <t>cmt-equal-play</t>
  </si>
  <si>
    <t>5f68f53eb1e5800007390bf8</t>
  </si>
  <si>
    <t>CMTEQPL</t>
  </si>
  <si>
    <t>442803412</t>
  </si>
  <si>
    <t>Vevo Country</t>
  </si>
  <si>
    <t>vevo-country</t>
  </si>
  <si>
    <t>5da0d75e84830900098a1ea0</t>
  </si>
  <si>
    <t>VEVOCOUN</t>
  </si>
  <si>
    <t>442803406</t>
  </si>
  <si>
    <t>Yo! MTV</t>
  </si>
  <si>
    <t>yo-mtv</t>
  </si>
  <si>
    <t>5d14fc31252d35decbc4080b</t>
  </si>
  <si>
    <t>YOMTV</t>
  </si>
  <si>
    <t>442803404</t>
  </si>
  <si>
    <t>Vevo R&amp;B</t>
  </si>
  <si>
    <t>vevo-randb</t>
  </si>
  <si>
    <t>5da0d83f66c9700009b96d0e</t>
  </si>
  <si>
    <t>VEVORB</t>
  </si>
  <si>
    <t>442803402</t>
  </si>
  <si>
    <t>Vevo Pop</t>
  </si>
  <si>
    <t>vevo-pop</t>
  </si>
  <si>
    <t>5d93b635b43dd1a399b39eee</t>
  </si>
  <si>
    <t>VEVOPOP</t>
  </si>
  <si>
    <t>427517031</t>
  </si>
  <si>
    <t>MTV Spankin' New</t>
  </si>
  <si>
    <t>mtv-spankin-new</t>
  </si>
  <si>
    <t>5d14fdb8ca91eedee1633117</t>
  </si>
  <si>
    <t>MTVSPNW</t>
  </si>
  <si>
    <t>442803425</t>
  </si>
  <si>
    <t>MTV Biggest Pop</t>
  </si>
  <si>
    <t>mtv-biggest-pop</t>
  </si>
  <si>
    <t>5d14fd1a252d35decbc4080c</t>
  </si>
  <si>
    <t>MTVBIGPOP</t>
  </si>
  <si>
    <t>442803410</t>
  </si>
  <si>
    <t>MTV Flow Latino</t>
  </si>
  <si>
    <t>mtv-flow-latino-ptv1</t>
  </si>
  <si>
    <t>5d3609cd6a6c78d7672f2a81</t>
  </si>
  <si>
    <t>MTVFLOWLAT</t>
  </si>
  <si>
    <t>442803419</t>
  </si>
  <si>
    <t>CBS News Baltimore</t>
  </si>
  <si>
    <t>cbs-news-baltimore</t>
  </si>
  <si>
    <t>60f75919718aed0007250d7a</t>
  </si>
  <si>
    <t>CBSBALPLT</t>
  </si>
  <si>
    <t>508375945</t>
  </si>
  <si>
    <t>CBS News Bay Area</t>
  </si>
  <si>
    <t>cbs-news-bay-area</t>
  </si>
  <si>
    <t>5eb1afb21486df0007abc57c</t>
  </si>
  <si>
    <t>CBSBAPLT</t>
  </si>
  <si>
    <t>508375949</t>
  </si>
  <si>
    <t>CBS News Boston</t>
  </si>
  <si>
    <t>cbs-news-boston</t>
  </si>
  <si>
    <t>5eb1af2ad345340008fccd1e</t>
  </si>
  <si>
    <t>CBSBOPLT</t>
  </si>
  <si>
    <t>508375941</t>
  </si>
  <si>
    <t>CBS News Chicago</t>
  </si>
  <si>
    <t>cbs-news-chicago</t>
  </si>
  <si>
    <t>5eb1aeb2fd4b8a00076c2047</t>
  </si>
  <si>
    <t>CBSCHPLT</t>
  </si>
  <si>
    <t>508375946</t>
  </si>
  <si>
    <t>CBS News Colorado</t>
  </si>
  <si>
    <t>cbs-news-colorado</t>
  </si>
  <si>
    <t>5eb1b12146cba40007aa7e5d</t>
  </si>
  <si>
    <t>CBSCOPLT</t>
  </si>
  <si>
    <t>508375939</t>
  </si>
  <si>
    <t>CBS News Detroit</t>
  </si>
  <si>
    <t>cbs-news-detroit-ptv1</t>
  </si>
  <si>
    <t>634f2610d5023700078f7dee</t>
  </si>
  <si>
    <t>CBSDTPLT</t>
  </si>
  <si>
    <t>508375940</t>
  </si>
  <si>
    <t>CBS News Los Angeles</t>
  </si>
  <si>
    <t>cbs-news-los-angeles-2</t>
  </si>
  <si>
    <t>5dc9b875e280c80009a8a44a</t>
  </si>
  <si>
    <t>CBSNWLA</t>
  </si>
  <si>
    <t>427517060</t>
  </si>
  <si>
    <t>CBS News Miami</t>
  </si>
  <si>
    <t>cbs-news-miami</t>
  </si>
  <si>
    <t>60fb299b79498900070b29e0</t>
  </si>
  <si>
    <t>CBSMIPLT</t>
  </si>
  <si>
    <t>508375950</t>
  </si>
  <si>
    <t>CBS News Minnesota</t>
  </si>
  <si>
    <t>cbs-news-minnesota</t>
  </si>
  <si>
    <t>5eb1b0bf2240d8000732a09c</t>
  </si>
  <si>
    <t>CBSMNPLT</t>
  </si>
  <si>
    <t>508375943</t>
  </si>
  <si>
    <t>CBS News New York</t>
  </si>
  <si>
    <t>cbs-news-new-york-2</t>
  </si>
  <si>
    <t>5dc9b8223687ff000936ed79</t>
  </si>
  <si>
    <t>CBSNWNY</t>
  </si>
  <si>
    <t>427517035</t>
  </si>
  <si>
    <t>CBS News Philadelphia</t>
  </si>
  <si>
    <t>cbs-news-philadelphia-ptv1</t>
  </si>
  <si>
    <t>5eb1b05ea168cc000767ba67</t>
  </si>
  <si>
    <t>CBSPHPLT</t>
  </si>
  <si>
    <t>508375948</t>
  </si>
  <si>
    <t>CBS News Pittsburgh</t>
  </si>
  <si>
    <t>cbs-news-pittsburgh</t>
  </si>
  <si>
    <t>5eb1b17aa5277e00083f6521</t>
  </si>
  <si>
    <t>CBSPTPLT</t>
  </si>
  <si>
    <t>508375942</t>
  </si>
  <si>
    <t>CBS News Sacramento</t>
  </si>
  <si>
    <t>cbs-news-sacramento</t>
  </si>
  <si>
    <t>60cb6df2b2ad610008cd5bea</t>
  </si>
  <si>
    <t>CBSSCPLT</t>
  </si>
  <si>
    <t>508375944</t>
  </si>
  <si>
    <t>XUMO</t>
  </si>
  <si>
    <t>AccuWeather NOW</t>
  </si>
  <si>
    <t>Direct</t>
  </si>
  <si>
    <t>ACCUWEN</t>
  </si>
  <si>
    <t>Direct-AccuWeather NOW</t>
  </si>
  <si>
    <t>https:TIVOPLUS_BLANK//cdn-uw2-prod.tsv2.amagi.tv/linear/amg00684-accuweather-accuweatherxumo-tivo/playlist.m3u8?p=tivo&amp;contenttype=linear&amp;channelname=AccuweatherNow&amp;partnername=Accuweather&amp;mvpd=TIVOPLUS_MVPD&amp;uxloc=in-app&amp;appver=TIVOPLUS_APP_VERSION&amp;appname=TiVoPlus&amp;apptype=entertainment&amp;devid=TIVOPLUS_DEV_ID&amp;devlat=TIVOPLUS_DEV_LAT&amp;devtype=TIVOPLUS_DEV_TYPE&amp;adunittype=TIVOPLUS_ADUNIT_TYPE&amp;videotype=mid-roll&amp;sz=TIVOPLUS_AD_SIZE</t>
  </si>
  <si>
    <t>99085</t>
  </si>
  <si>
    <t>Bloomberg TV</t>
  </si>
  <si>
    <t>BLTVXUMO</t>
  </si>
  <si>
    <t>Direct-Bloomberg TV</t>
  </si>
  <si>
    <t>https:TIVOPLUS_BLANK//dai.google.com/linear/hls/event/AshzBu9XTQScek7dcLQlCA/master.m3u8?devid=TIVOPLUS_DEV_ID&amp;devlat=TIVOPLUS_DEV_LAT&amp;gdprconsent=&amp;platform=TIVOPLUS_PLATFORM</t>
  </si>
  <si>
    <t>https:TIVOPLUS_BLANK//dai.google.com/linear/hls/event/AshzBu9XTQScek7dcLQlCA/master.m3u8?devid=TIVOPLUS_DEV_ID&amp;devlat=TIVOPLUS_DEV_LAT</t>
  </si>
  <si>
    <t>99028</t>
  </si>
  <si>
    <t>Newsmax2</t>
  </si>
  <si>
    <t>NEWSMX2HD</t>
  </si>
  <si>
    <t>XUMO-Newsmax2</t>
  </si>
  <si>
    <t>https:TIVOPLUS_BLANK//db32be3yl2hko.cloudfront.net/11302/88885040/hls/index.m3u8?ads.xumo_channelId=88885040&amp;ads.caid=NewsmaxTV&amp;ads.csid=tivo_newsmax_ssai&amp;ads.coppa=0&amp;ads.provider_id=141&amp;ads.content_producer_id=141&amp;ads.content_producer=Newsmax&amp;ads.content_network=Newsmax&amp;ads.xumo_streamId=88885040&amp;ads.content_length=&amp;ads.content_language=en&amp;ads.content_category=IAB12&amp;ads.content_genre=News&amp;ads.content_rating=tv-14&amp;ads.content_channel=Newsmax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</si>
  <si>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88885040/hls/index.m3u8?ads.xumo_channelId=88885040&amp;ads.caid=NewsmaxTV&amp;ads.csid=tivo_newsmax_ssai&amp;ads.coppa=0&amp;ads.provider_id=141&amp;ads.content_producer_id=141&amp;ads.content_producer=Newsmax&amp;ads.content_network=Newsmax&amp;ads.xumo_streamId=88885040&amp;ads.content_length=&amp;ads.content_language=en&amp;ads.content_category=IAB12&amp;ads.content_genre=News&amp;ads.content_rating=tv-14&amp;ads.content_channel=Newsmax2&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2526devbrand%253D%2526devmodel%253DTIVOPLUS_DEVMODEL%2526devmakedate%253D</t>
  </si>
  <si>
    <t>99029</t>
  </si>
  <si>
    <t>Scripps News</t>
  </si>
  <si>
    <t>SCRPNWS-TIVO</t>
  </si>
  <si>
    <t>XUMO-Scripps News</t>
  </si>
  <si>
    <t>https:TIVOPLUS_BLANK//db32be3yl2hko.cloudfront.net/11302/88885041/hls/playlist.m3u8?ads.xumo_channelId=88885041&amp;ads.caid=ScrippsNews&amp;ads.csid=tivo_newsy_ssai&amp;ads.coppa=0&amp;ads.provider_id=41&amp;ads.content_producer_id=41&amp;ads.content_producer=Newsy&amp;ads.content_network=Newsy&amp;ads.xumo_streamId=88885041&amp;ads.content_length=&amp;ads.content_language=en&amp;ads.content_category=IAB12&amp;ads.content_genre=News&amp;ads.content_rating=tv-14&amp;ads.content_channel=ScrippsNew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</si>
  <si>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88885041/hls/playlist.m3u8?ads.xumo_channelId=88885041&amp;ads.caid=ScrippsNews&amp;ads.csid=tivo_newsy_ssai&amp;ads.coppa=0&amp;ads.provider_id=41&amp;ads.content_producer_id=41&amp;ads.content_producer=Newsy&amp;ads.content_network=Newsy&amp;ads.xumo_streamId=88885041&amp;ads.content_length=&amp;ads.content_language=en&amp;ads.content_category=IAB12&amp;ads.content_genre=News&amp;ads.content_rating=tv-14&amp;ads.content_channel=ScrippsNew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</si>
  <si>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99039</t>
  </si>
  <si>
    <t>Cheddar News</t>
  </si>
  <si>
    <t>CHEDN-TIVO</t>
  </si>
  <si>
    <t>XUMO-Cheddar News</t>
  </si>
  <si>
    <t>https:TIVOPLUS_BLANK//db32be3yl2hko.cloudfront.net/11302/88885010/hls/index.m3u8?ads.xumo_channelId=88885010&amp;ads.caid=CheddarNews&amp;ads.csid=tivo_cheddar_ssai&amp;ads.coppa=0&amp;ads.provider_id=161&amp;ads.content_producer_id=161&amp;ads.content_producer=Cheddar&amp;ads.content_network=Cheddar&amp;ads.xumo_streamId=88885010&amp;ads.content_length=&amp;ads.content_language=en&amp;ads.content_category=IAB12&amp;ads.content_genre=News&amp;ads.content_rating=tv-pg&amp;ads.content_channel=CheddarNew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</si>
  <si>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88885010/hls/index.m3u8?ads.xumo_channelId=88885010&amp;ads.caid=CheddarNews&amp;ads.csid=tivo_cheddar_ssai&amp;ads.coppa=0&amp;ads.provider_id=161&amp;ads.content_producer_id=161&amp;ads.content_producer=Cheddar&amp;ads.content_network=Cheddar&amp;ads.xumo_streamId=88885010&amp;ads.content_length=&amp;ads.content_language=en&amp;ads.content_category=IAB12&amp;ads.content_genre=News&amp;ads.content_rating=tv-pg&amp;ads.content_channel=CheddarNew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</si>
  <si>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99043</t>
  </si>
  <si>
    <t>USA Today News</t>
  </si>
  <si>
    <t>USATNEWS</t>
  </si>
  <si>
    <t>XUMO-USA Today News</t>
  </si>
  <si>
    <t>https:TIVOPLUS_BLANK//db32be3yl2hko.cloudfront.net/11302/88885053/hls/playlist.m3u8?ads.xumo_channelId=88885053&amp;ads.caid=USAToday&amp;ads.csid=tivo_usatodaynews_ssai&amp;ads.coppa=0&amp;ads.provider_id=215&amp;ads.content_producer_id=215&amp;ads.content_producer=USATodayNews&amp;ads.content_network=USATodayNews&amp;ads.xumo_streamId=88885053&amp;ads.content_length=&amp;ads.content_language=en&amp;ads.content_category=IAB12&amp;ads.content_genre=News&amp;ads.content_rating=tv-pg&amp;ads.content_channel=USATodayNew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</si>
  <si>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88885053/hls/playlist.m3u8?ads.xumo_channelId=88885053&amp;ads.caid=USAToday&amp;ads.csid=tivo_usatodaynews_ssai&amp;ads.coppa=0&amp;ads.provider_id=215&amp;ads.content_producer_id=215&amp;ads.content_producer=USATodayNews&amp;ads.content_network=USATodayNews&amp;ads.xumo_streamId=88885053&amp;ads.content_length=&amp;ads.content_language=en&amp;ads.content_category=IAB12&amp;ads.content_genre=News&amp;ads.content_rating=tv-pg&amp;ads.content_channel=USATodayNew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</si>
  <si>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99054</t>
  </si>
  <si>
    <t>Bloomberg Originals</t>
  </si>
  <si>
    <t>BLORXUM</t>
  </si>
  <si>
    <t>Direct-Bloomberg Originals</t>
  </si>
  <si>
    <t>https:TIVOPLUS_BLANK//dai.google.com/linear/hls/event/TgqE2Aw_SiKmXKQgJoVpJQ/master.m3u8?devid=TIVOPLUS_DEV_ID&amp;devlat=TIVOPLUS_DEV_LAT&amp;gdprconsent=&amp;platform=TIVOPLUS_PLATFORM</t>
  </si>
  <si>
    <t>https:TIVOPLUS_BLANK//dai.google.com/linear/hls/event/TgqE2Aw_SiKmXKQgJoVpJQ/master.m3u8?devid=TIVOPLUS_DEV_ID&amp;devlat=TIVOPLUS_DEV_LAT</t>
  </si>
  <si>
    <t>99030</t>
  </si>
  <si>
    <t>Hallmark Movies &amp; More</t>
  </si>
  <si>
    <t>HALLM&amp;M</t>
  </si>
  <si>
    <t>XUMO-Hallmark Movies &amp; More</t>
  </si>
  <si>
    <t>https:TIVOPLUS_BLANK//db32be3yl2hko.cloudfront.net/11302/88885026/hls/master.m3u8?ads.xumo_channelId=88885026&amp;ads.caid=HallmarkMoviesAndMore&amp;ads.csid=tivo_crownmediahallmarkmovies_ssai&amp;ads.coppa=0&amp;ads.provider_id=2777&amp;ads.content_producer_id=2777&amp;ads.content_producer=CrownMediaHallmarkMoviesNew&amp;ads.content_network=CrownMediaHallmarkMoviesNew&amp;ads.xumo_streamId=88885026&amp;ads.content_length=&amp;ads.content_language=en&amp;ads.content_category=IAB1-5&amp;ads.content_genre=Movies&amp;ads.content_rating=tv-pg&amp;ads.content_channel=HallmarkMoviesAndMor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</si>
  <si>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88885026/hls/master.m3u8?ads.xumo_channelId=88885026&amp;ads.caid=HallmarkMoviesAndMore&amp;ads.csid=tivo_crownmediahallmarkmovies_ssai&amp;ads.coppa=0&amp;ads.provider_id=2777&amp;ads.content_producer_id=2777&amp;ads.content_producer=CrownMediaHallmarkMoviesNew&amp;ads.content_network=CrownMediaHallmarkMoviesNew&amp;ads.xumo_streamId=88885026&amp;ads.content_length=&amp;ads.content_language=en&amp;ads.content_category=IAB1-5&amp;ads.content_genre=Movies&amp;ads.content_rating=tv-pg&amp;ads.content_channel=HallmarkMoviesAndMo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</si>
  <si>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99074</t>
  </si>
  <si>
    <t>CineLife</t>
  </si>
  <si>
    <t>Direct-CineLife</t>
  </si>
  <si>
    <t>https:TIVOPLUS_BLANK//cdn-ue1-prod.tsv2.amagi.tv/linear/AMG00308-magnolia-cinelife-tivo/playlist.m3u8?p=tivo&amp;contenttype=linear&amp;channelname=Cinelife&amp;partnername=Magnolia&amp;mvpd=TIVOPLUS_MVPD&amp;uxloc=in-app&amp;appver=TIVOPLUS_APP_VERSION&amp;appname=TiVoPlus&amp;apptype=entertainment&amp;devid=TIVOPLUS_DEV_ID&amp;devlat=TIVOPLUS_DEV_LAT&amp;devtype=TIVOPLUS_DEV_TYPE&amp;adunittype=TIVOPLUS_ADUNIT_TYPE&amp;videotype=mid-roll&amp;sz=TIVOPLUS_AD_SIZE</t>
  </si>
  <si>
    <t>99081</t>
  </si>
  <si>
    <t>XUMO Free Movies</t>
  </si>
  <si>
    <t>FMOVXUMO</t>
  </si>
  <si>
    <t>XUMO-XUMO Free Movies</t>
  </si>
  <si>
    <t>https:TIVOPLUS_BLANK//db32be3yl2hko.cloudfront.net/11302/88885074/hls/master.m3u8?ads.xumo_channelId=88885074&amp;ads.caid=XumoFreeMovies&amp;ads.csid=tivo_xumofreemovies_ssai&amp;ads.coppa=0&amp;ads.provider_id=5&amp;ads.content_producer_id=5&amp;ads.content_producer=Xumo&amp;ads.content_network=Xumo&amp;ads.xumo_streamId=88885074&amp;ads.content_length=&amp;ads.content_language=en&amp;ads.content_category=IAB15&amp;ads.content_genre=Movies&amp;ads.content_rating=tvma&amp;ads.content_channel=XumoFreeMovi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</si>
  <si>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88885074/hls/master.m3u8?ads.xumo_channelId=88885074&amp;ads.caid=XumoFreeMovies&amp;ads.csid=tivo_xumofreemovies_ssai&amp;ads.coppa=0&amp;ads.provider_id=5&amp;ads.content_producer_id=5&amp;ads.content_producer=Xumo&amp;ads.content_network=Xumo&amp;ads.xumo_streamId=88885074&amp;ads.content_length=&amp;ads.content_language=en&amp;ads.content_category=IAB1-5&amp;ads.content_genre=Movies&amp;ads.content_rating=tv-ma&amp;ads.content_channel=XumoFreeMov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</si>
  <si>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99004</t>
  </si>
  <si>
    <t>Filmrise Free Movies</t>
  </si>
  <si>
    <t>FILMFRMV</t>
  </si>
  <si>
    <t>XUMO-Filmrise Free Movies</t>
  </si>
  <si>
    <t>https:TIVOPLUS_BLANK//db32be3yl2hko.cloudfront.net/11302/88885020/hls/master.m3u8?ads.xumo_channelId=88885020&amp;ads.caid=FilmRiseFreeMovies&amp;ads.csid=tivo_filmrisefreemovies_ssai&amp;ads.coppa=0&amp;ads.provider_id=260&amp;ads.content_producer_id=260&amp;ads.content_producer=FilmRise&amp;ads.content_network=FilmRise&amp;ads.xumo_streamId=88885020&amp;ads.content_length=&amp;ads.content_language=en&amp;ads.content_category=IAB1-5&amp;ads.content_genre=Movies&amp;ads.content_rating=mpaa-r&amp;ads.content_channel=FilmRiseFreeMovi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</si>
  <si>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88885020/hls/master.m3u8?ads.xumo_channelId=88885020&amp;ads.caid=FilmRiseFreeMovies&amp;ads.csid=tivo_filmrisefreemovies_ssai&amp;ads.coppa=0&amp;ads.provider_id=260&amp;ads.content_producer_id=260&amp;ads.content_producer=FilmRise&amp;ads.content_network=FilmRise&amp;ads.xumo_streamId=88885020&amp;ads.content_length=&amp;ads.content_language=en&amp;ads.content_category=IAB1-5&amp;ads.content_genre=Movies&amp;ads.content_rating=mpaa-r&amp;ads.content_channel=FilmRiseFreeMov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</si>
  <si>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99015</t>
  </si>
  <si>
    <t>Unsolved Mysteries</t>
  </si>
  <si>
    <t>UNSLMYST</t>
  </si>
  <si>
    <t>XUMO-Unsolved Mysteries</t>
  </si>
  <si>
    <t>https:TIVOPLUS_BLANK//db32be3yl2hko.cloudfront.net/11302/88885018/hls/master.m3u8?ads.xumo_channelId=88885018&amp;ads.caid=UnsolvedMysteries&amp;ads.csid=tivo_unsolvedmysteries_ssai&amp;ads.coppa=0&amp;ads.provider_id=260&amp;ads.content_producer_id=260&amp;ads.content_producer=FilmRise&amp;ads.content_network=FilmRise&amp;ads.xumo_streamId=88885018&amp;ads.content_length=&amp;ads.content_language=en&amp;ads.content_category=IAB1-7&amp;ads.content_genre=Television&amp;ads.content_rating=tv-14&amp;ads.content_channel=UnsolvedMysteri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</si>
  <si>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88885018/hls/master.m3u8?ads.xumo_channelId=88885018&amp;ads.caid=UnsolvedMysteries&amp;ads.csid=tivo_unsolvedmysteries_ssai&amp;ads.coppa=0&amp;ads.provider_id=260&amp;ads.content_producer_id=260&amp;ads.content_producer=FilmRise&amp;ads.content_network=FilmRise&amp;ads.xumo_streamId=88885018&amp;ads.content_length=&amp;ads.content_language=en&amp;ads.content_category=IAB1-7&amp;ads.content_genre=Television&amp;ads.content_rating=tv-14&amp;ads.content_channel=UnsolvedMyster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</si>
  <si>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99005</t>
  </si>
  <si>
    <t>Law &amp; Crime</t>
  </si>
  <si>
    <t>L&amp;C-TIVO</t>
  </si>
  <si>
    <t>XUMO-Law &amp; Crime</t>
  </si>
  <si>
    <t>https:TIVOPLUS_BLANK//db32be3yl2hko.cloudfront.net/11302/88885033/hls/playlist_scte.m3u8?ads.xumo_channelId=88885033&amp;ads.caid=LawAndCrime&amp;ads.csid=tivo_lawandcrime_ssai&amp;ads.coppa=0&amp;ads.provider_id=254&amp;ads.content_producer_id=254&amp;ads.content_producer=LawAndCrime&amp;ads.content_network=LawAndCrime&amp;ads.xumo_streamId=88885033&amp;ads.content_length=&amp;ads.content_language=en&amp;ads.content_category=IAB12&amp;ads.content_genre=News&amp;ads.content_rating=tv-14&amp;ads.content_channel=LawAndCrim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</si>
  <si>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88885033/hls/playlist_scte.m3u8?ads.xumo_channelId=88885033&amp;ads.caid=LawAndCrime&amp;ads.csid=tivo_lawandcrime_ssai&amp;ads.coppa=0&amp;ads.provider_id=254&amp;ads.content_producer_id=254&amp;ads.content_producer=LawAndCrime&amp;ads.content_network=LawAndCrime&amp;ads.xumo_streamId=88885033&amp;ads.content_length=&amp;ads.content_language=en&amp;ads.content_category=IAB12&amp;ads.content_genre=News&amp;ads.content_rating=tv-14&amp;ads.content_channel=LawAndCrim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</si>
  <si>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99041</t>
  </si>
  <si>
    <t>Electric Now</t>
  </si>
  <si>
    <t>ELECTNW-TIVO</t>
  </si>
  <si>
    <t>XUMO-Electric Now</t>
  </si>
  <si>
    <t>https:TIVOPLUS_BLANK//db32be3yl2hko.cloudfront.net/11302/88885014/hls/playlist.m3u8?ads.xumo_channelId=88885014&amp;ads.caid=ElectricNow&amp;ads.csid=tivo_electricentertainment_ssai&amp;ads.coppa=0&amp;ads.provider_id=1091&amp;ads.content_producer_id=1091&amp;ads.content_producer=ElectricEntertainment&amp;ads.content_network=ElectricEntertainment&amp;ads.xumo_streamId=88885014&amp;ads.content_length=&amp;ads.content_language=en&amp;ads.content_category=IAB1-5&amp;ads.content_genre=Movies&amp;ads.content_rating=mpaa-r&amp;ads.content_channel=ElectricNow&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</si>
  <si>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88885014/hls/playlist.m3u8?ads.xumo_channelId=88885014&amp;ads.caid=ElectricNow&amp;ads.csid=tivo_electricentertainment_ssai&amp;ads.coppa=0&amp;ads.provider_id=1091&amp;ads.content_producer_id=1091&amp;ads.content_producer=ElectricEntertainment&amp;ads.content_network=ElectricEntertainment&amp;ads.xumo_streamId=88885014&amp;ads.content_length=&amp;ads.content_language=en&amp;ads.content_category=IAB1-5&amp;ads.content_genre=Movies&amp;ads.content_rating=mpaa-r&amp;ads.content_channel=ElectricN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</si>
  <si>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99007</t>
  </si>
  <si>
    <t>Filmrise Classic TV</t>
  </si>
  <si>
    <t>FILMRSCL</t>
  </si>
  <si>
    <t>XUMO-Filmrise Classic TV</t>
  </si>
  <si>
    <t>https:TIVOPLUS_BLANK//db32be3yl2hko.cloudfront.net/11302/88885016/hls/master.m3u8?ads.xumo_channelId=88885016&amp;ads.caid=FilmRiseClassicTV&amp;ads.csid=tivo_filmriseclassictv_ssai&amp;ads.coppa=0&amp;ads.provider_id=260&amp;ads.content_producer_id=260&amp;ads.content_producer=FilmRise&amp;ads.content_network=FilmRise&amp;ads.xumo_streamId=88885016&amp;ads.content_length=&amp;ads.content_language=en&amp;ads.content_category=IAB1-7&amp;ads.content_genre=Television&amp;ads.content_rating=tv-pg&amp;ads.content_channel=FilmRiseClassic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</si>
  <si>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88885016/hls/master.m3u8?ads.xumo_channelId=88885016&amp;ads.caid=FilmRiseClassicTV&amp;ads.csid=tivo_filmriseclassictv_ssai&amp;ads.coppa=0&amp;ads.provider_id=260&amp;ads.content_producer_id=260&amp;ads.content_producer=FilmRise&amp;ads.content_network=FilmRise&amp;ads.xumo_streamId=88885016&amp;ads.content_length=&amp;ads.content_language=en&amp;ads.content_category=IAB1-7&amp;ads.content_genre=Television&amp;ads.content_rating=tv-pg&amp;ads.content_channel=FilmRiseClassic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</si>
  <si>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99012</t>
  </si>
  <si>
    <t>American Classics</t>
  </si>
  <si>
    <t>AMRCLA</t>
  </si>
  <si>
    <t>XUMO-American Classics</t>
  </si>
  <si>
    <t>https:TIVOPLUS_BLANK//db32be3yl2hko.cloudfront.net/11302/88885003/hls/master.m3u8?ads.xumo_channelId=88885003&amp;ads.caid=AmericanClassics&amp;ads.csid=tivo_americanclassics_ssai&amp;ads.coppa=0&amp;ads.provider_id=286&amp;ads.content_producer_id=286&amp;ads.content_producer=AmericanClassics&amp;ads.content_network=AmericanClassics&amp;ads.xumo_streamId=88885003&amp;ads.content_length=&amp;ads.content_language=en&amp;ads.content_category=IAB1-7&amp;ads.content_genre=Television&amp;ads.content_rating=tv-14&amp;ads.content_channel=AmericanClassic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</si>
  <si>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88885003/hls/master.m3u8?ads.xumo_channelId=88885003&amp;ads.caid=AmericanClassics&amp;ads.csid=tivo_americanclassics_ssai&amp;ads.coppa=0&amp;ads.provider_id=286&amp;ads.content_producer_id=286&amp;ads.content_producer=AmericanClassics&amp;ads.content_network=AmericanClassics&amp;ads.xumo_streamId=88885003&amp;ads.content_length=&amp;ads.content_language=en&amp;ads.content_category=IAB1-7&amp;ads.content_genre=Television&amp;ads.content_rating=tv-14&amp;ads.content_channel=AmericanClassic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</si>
  <si>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99036</t>
  </si>
  <si>
    <t>Filmrise Family</t>
  </si>
  <si>
    <t>FLMRSFAM</t>
  </si>
  <si>
    <t>XUMO-Filmrise Family</t>
  </si>
  <si>
    <t>https:TIVOPLUS_BLANK//db32be3yl2hko.cloudfront.net/11302/88885019/hls/master.m3u8?ads.xumo_channelId=88885019&amp;ads.caid=FilmRiseFamily&amp;ads.csid=tivo_filmrisefamily_ssai&amp;ads.coppa=0&amp;ads.provider_id=260&amp;ads.content_producer_id=260&amp;ads.content_producer=FilmRise&amp;ads.content_network=FilmRise&amp;ads.xumo_streamId=88885019&amp;ads.content_length=&amp;ads.content_language=en&amp;ads.content_category=IAB1-7&amp;ads.content_genre=Television&amp;ads.content_rating=tv-14&amp;ads.content_channel=FilmRiseFamily&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</si>
  <si>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88885019/hls/master.m3u8?ads.xumo_channelId=88885019&amp;ads.caid=FilmRiseFamily&amp;ads.csid=tivo_filmrisefamily_ssai&amp;ads.coppa=0&amp;ads.provider_id=260&amp;ads.content_producer_id=260&amp;ads.content_producer=FilmRise&amp;ads.content_network=FilmRise&amp;ads.xumo_streamId=88885019&amp;ads.content_length=&amp;ads.content_language=en&amp;ads.content_category=IAB1-7&amp;ads.content_genre=Television&amp;ads.content_rating=tv-14&amp;ads.content_channel=FilmRiseFamil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</si>
  <si>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99013</t>
  </si>
  <si>
    <t>Dark Matter TV</t>
  </si>
  <si>
    <t>DRMTRXUMO</t>
  </si>
  <si>
    <t>XUMO-Dark Matter TV</t>
  </si>
  <si>
    <t>https:TIVOPLUS_BLANK//db32be3yl2hko.cloudfront.net/11302/88885083/hls/master.m3u8?ads.xumo_channelId=88885083&amp;ads.caid=DarkMatterUS&amp;ads.csid=tivo_darkmatterus_ssai&amp;ads.coppa=0&amp;ads.provider_id=3346&amp;ads.content_producer_id=3346&amp;ads.content_producer=DarkMatterUS&amp;ads.content_network=DarkMatterUS&amp;ads.xumo_streamId=88885083&amp;ads.content_length=&amp;ads.content_language=en&amp;ads.content_category=IAB1-7&amp;ads.content_genre=Television&amp;ads.content_rating=mpaa-r&amp;ads.content_channel=DarkMatter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</si>
  <si>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88885083/hls/master.m3u8?ads.xumo_channelId=88885083&amp;ads.caid=DarkMatterUS&amp;ads.csid=tivo_darkmatterus_ssai&amp;ads.coppa=0&amp;ads.provider_id=3346&amp;ads.content_producer_id=3346&amp;ads.content_producer=DarkMatterUS&amp;ads.content_network=DarkMatterUS&amp;ads.xumo_streamId=88885083&amp;ads.content_length=&amp;ads.content_language=en&amp;ads.content_category=IAB1-7&amp;ads.content_genre=Television&amp;ads.content_rating=mpaa-r&amp;ads.content_channel=DarkMatterU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</si>
  <si>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99008</t>
  </si>
  <si>
    <t>The Asylum</t>
  </si>
  <si>
    <t>ASYLUM</t>
  </si>
  <si>
    <t>XUMO-The Asylum</t>
  </si>
  <si>
    <t>https:TIVOPLUS_BLANK//db32be3yl2hko.cloudfront.net/11302/88885050/hls/master.m3u8?ads.xumo_channelId=88885050&amp;ads.caid=TheAsylum&amp;ads.csid=tivo_theasylum_ssai&amp;ads.coppa=0&amp;ads.provider_id=275&amp;ads.content_producer_id=275&amp;ads.content_producer=TheAsylum&amp;ads.content_network=TheAsylum&amp;ads.xumo_streamId=88885050&amp;ads.content_length=&amp;ads.content_language=en&amp;ads.content_category=IAB1-5&amp;ads.content_genre=Movies&amp;ads.content_rating=mpaa-r&amp;ads.content_channel=TheAsylum&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</si>
  <si>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88885050/hls/master.m3u8?ads.xumo_channelId=88885050&amp;ads.caid=TheAsylum&amp;ads.csid=tivo_theasylum_ssai&amp;ads.coppa=0&amp;ads.provider_id=275&amp;ads.content_producer_id=275&amp;ads.content_producer=TheAsylum&amp;ads.content_network=TheAsylum&amp;ads.xumo_streamId=88885050&amp;ads.content_length=&amp;ads.content_language=en&amp;ads.content_category=IAB1-5&amp;ads.content_genre=Movies&amp;ads.content_rating=mpaa-r&amp;ads.content_channel=TheAsylum&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</si>
  <si>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99016</t>
  </si>
  <si>
    <t>Haunt TV</t>
  </si>
  <si>
    <t>HAUNTXU</t>
  </si>
  <si>
    <t>XUMO-Haunt TV</t>
  </si>
  <si>
    <t>https:TIVOPLUS_BLANK//db32be3yl2hko.cloudfront.net/11302/88885128/hls/playlist.m3u8?ads.xumo_channelId=88885128&amp;ads.caid=BlueAntMediaHauntTV&amp;ads.csid=tivo_us_blueantmediahaunttv_ssai&amp;ads.coppa=0&amp;ads.provider_id=4172&amp;ads.content_producer_id=4172&amp;ads.content_producer=BlueAntMediaHauntTV&amp;ads.content_network=BlueAntMediaHauntTV&amp;ads.xumo_streamId=88885128&amp;ads.content_length=&amp;ads.content_language=en&amp;ads.content_category=IAB17&amp;ads.content_genre=Television&amp;ads.content_rating=tv14&amp;ads.content_channel=Haunt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</si>
  <si>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88885128/hls/playlist.m3u8?ads.xumo_channelId=88885128&amp;ads.caid=BlueAntMediaHauntTV&amp;ads.csid=tivo_us_blueantmediahaunttv_ssai&amp;ads.coppa=0&amp;ads.provider_id=4172&amp;ads.content_producer_id=4172&amp;ads.content_producer=BlueAntMediaHauntTV&amp;ads.content_network=BlueAntMediaHauntTV&amp;ads.xumo_streamId=88885128&amp;ads.content_length=&amp;ads.content_language=en&amp;ads.content_category=IAB1-7&amp;ads.content_genre=Television&amp;ads.content_rating=tv-14&amp;ads.content_channel=Haunt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</si>
  <si>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99031</t>
  </si>
  <si>
    <t>Paranormal Files</t>
  </si>
  <si>
    <t>PRNMXUMO</t>
  </si>
  <si>
    <t>XUMO-Paranormal Files</t>
  </si>
  <si>
    <t>https:TIVOPLUS_BLANK//db32be3yl2hko.cloudfront.net/11302/88885082/hls/master.m3u8?ads.xumo_channelId=88885082&amp;ads.caid=ParanormalFiles&amp;ads.csid=tivo_paranormalfiles_ssai&amp;ads.coppa=0&amp;ads.provider_id=2623&amp;ads.content_producer_id=2623&amp;ads.content_producer=ParanormalFiles&amp;ads.content_network=ParanormalFiles&amp;ads.xumo_streamId=88885082&amp;ads.content_length=&amp;ads.content_language=en&amp;ads.content_category=IAB1-7&amp;ads.content_genre=Television&amp;ads.content_rating=tv-14&amp;ads.content_channel=ParanormalFil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</si>
  <si>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88885082/hls/master.m3u8?ads.xumo_channelId=88885082&amp;ads.caid=ParanormalFiles&amp;ads.csid=tivo_paranormalfiles_ssai&amp;ads.coppa=0&amp;ads.provider_id=2623&amp;ads.content_producer_id=2623&amp;ads.content_producer=ParanormalFiles&amp;ads.content_network=ParanormalFiles&amp;ads.xumo_streamId=88885082&amp;ads.content_length=&amp;ads.content_language=en&amp;ads.content_category=IAB1-7&amp;ads.content_genre=Television&amp;ads.content_rating=tv-14&amp;ads.content_channel=ParanormalFil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</si>
  <si>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99009</t>
  </si>
  <si>
    <t>Heartland</t>
  </si>
  <si>
    <t>HEARTXUMO</t>
  </si>
  <si>
    <t>XUMO-Heartland</t>
  </si>
  <si>
    <t>https:TIVOPLUS_BLANK//db32be3yl2hko.cloudfront.net/11302/88885076/hls/master.m3u8?ads.xumo_channelId=88885076&amp;ads.caid=Heartland&amp;ads.csid=tivo_heartland_ssai&amp;ads.coppa=0&amp;ads.provider_id=260&amp;ads.content_producer_id=260&amp;ads.content_producer=FilmRise&amp;ads.content_network=FilmRise&amp;ads.xumo_streamId=88885076&amp;ads.content_length=&amp;ads.content_language=en&amp;ads.content_category=IAB17&amp;ads.content_genre=Television&amp;ads.content_rating=tvpg&amp;ads.content_channel=Heartland&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</si>
  <si>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88885076/hls/master.m3u8?ads.xumo_channelId=88885076&amp;ads.caid=Heartland&amp;ads.csid=tivo_heartland_ssai&amp;ads.coppa=0&amp;ads.provider_id=260&amp;ads.content_producer_id=260&amp;ads.content_producer=FilmRise&amp;ads.content_network=FilmRise&amp;ads.xumo_streamId=88885076&amp;ads.content_length=&amp;ads.content_language=en&amp;ads.content_category=IAB1-7&amp;ads.content_genre=Television&amp;ads.content_rating=tv-pg&amp;ads.content_channel=Heartlan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</si>
  <si>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99006</t>
  </si>
  <si>
    <t>FilmRise Western</t>
  </si>
  <si>
    <t>FRISEXU</t>
  </si>
  <si>
    <t>XUMO-FilmRise Western</t>
  </si>
  <si>
    <t>https:TIVOPLUS_BLANK//db32be3yl2hko.cloudfront.net/11302/88885127/hls/master.m3u8?ads.xumo_channelId=88885127&amp;ads.caid=FilmRise&amp;ads.csid=tivo_us_filmrisewestern_ssai&amp;ads.coppa=0&amp;ads.provider_id=260&amp;ads.content_producer_id=260&amp;ads.content_producer=FilmRise&amp;ads.content_network=FilmRise&amp;ads.xumo_streamId=88885127&amp;ads.content_length=&amp;ads.content_language=en&amp;ads.content_category=IAB1-7&amp;ads.content_genre=Television&amp;ads.content_rating=tv-pg&amp;ads.content_channel=filmrisewester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</si>
  <si>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88885127/hls/master.m3u8?ads.xumo_channelId=88885127&amp;ads.caid=FilmRise&amp;ads.csid=tivo_us_filmrisewestern_ssai&amp;ads.coppa=0&amp;ads.provider_id=260&amp;ads.content_producer_id=260&amp;ads.content_producer=FilmRise&amp;ads.content_network=FilmRise&amp;ads.xumo_streamId=88885127&amp;ads.content_length=&amp;ads.content_language=en&amp;ads.content_category=IAB1-7&amp;ads.content_genre=Television&amp;ads.content_rating=tv-pg&amp;ads.content_channel=filmrisewester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</si>
  <si>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99032</t>
  </si>
  <si>
    <t>XUMO Free Westerns</t>
  </si>
  <si>
    <t>WESTXUMO</t>
  </si>
  <si>
    <t>XUMO-XUMO Free Westerns</t>
  </si>
  <si>
    <t>https:TIVOPLUS_BLANK//db32be3yl2hko.cloudfront.net/11302/88885079/hls/master.m3u8?ads.xumo_channelId=88885079&amp;ads.caid=XumoFreeWesterns&amp;ads.csid=tivo_xumofreewesterns_ssai&amp;ads.coppa=0&amp;ads.provider_id=5&amp;ads.content_producer_id=5&amp;ads.content_producer=Xumo&amp;ads.content_network=Xumo&amp;ads.xumo_streamId=88885079&amp;ads.content_length=&amp;ads.content_language=en&amp;ads.content_category=IAB1-5&amp;ads.content_genre=Movies&amp;ads.content_rating=tv-14&amp;ads.content_channel=XumoFreeWestern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</si>
  <si>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88885079/hls/master.m3u8?ads.xumo_channelId=88885079&amp;ads.caid=XumoFreeWesterns&amp;ads.csid=tivo_xumofreewesterns_ssai&amp;ads.coppa=0&amp;ads.provider_id=5&amp;ads.content_producer_id=5&amp;ads.content_producer=Xumo&amp;ads.content_network=Xumo&amp;ads.xumo_streamId=88885079&amp;ads.content_length=&amp;ads.content_language=en&amp;ads.content_category=IAB1-5&amp;ads.content_genre=Movies&amp;ads.content_rating=tv-14&amp;ads.content_channel=XumoFreeWestern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</si>
  <si>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99017</t>
  </si>
  <si>
    <t>Circle TV</t>
  </si>
  <si>
    <t>CIRCTRXU</t>
  </si>
  <si>
    <t>XUMO-Circle TV</t>
  </si>
  <si>
    <t>https:TIVOPLUS_BLANK//db32be3yl2hko.cloudfront.net/11302/88885081/hls/playlist.m3u8?ads.xumo_channelId=88885081&amp;ads.caid=CircleMediaTV&amp;ads.csid=tivo_circlemediatv_ssai&amp;ads.coppa=0&amp;ads.provider_id=2046&amp;ads.content_producer_id=2046&amp;ads.content_producer=CircleMediaTV&amp;ads.content_network=CircleMediaTV&amp;ads.xumo_streamId=88885081&amp;ads.content_length=&amp;ads.content_language=en&amp;ads.content_category=&amp;ads.content_genre=&amp;ads.content_rating=&amp;ads.content_channel=CircleMedia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</si>
  <si>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88885081/hls/playlist.m3u8?ads.xumo_channelId=88885081&amp;ads.caid=CircleMediaTV&amp;ads.csid=tivo_circlemediatv_ssai&amp;ads.coppa=0&amp;ads.provider_id=2046&amp;ads.content_producer_id=2046&amp;ads.content_producer=CircleMediaTV&amp;ads.content_network=CircleMediaTV&amp;ads.xumo_streamId=88885081&amp;ads.content_length=&amp;ads.content_language=en&amp;ads.content_category=&amp;ads.content_genre=&amp;ads.content_rating=&amp;ads.content_channel=CircleMedia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</si>
  <si>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99033</t>
  </si>
  <si>
    <t>Shades of Black</t>
  </si>
  <si>
    <t>SHADBLKXU-US</t>
  </si>
  <si>
    <t>XUMO-Shades of Black</t>
  </si>
  <si>
    <t>https:TIVOPLUS_BLANK//db32be3yl2hko.cloudfront.net/11302/88885138/hls/playlist.m3u8?ads.xumo_channelId=88885138&amp;ads.caid=FuseBeat&amp;ads.csid=tivo_us_fusebeat_ssai&amp;ads.coppa=0&amp;ads.provider_id=3508&amp;ads.content_producer_id=3508&amp;ads.content_producer=FuseBeat&amp;ads.content_network=FuseBeat&amp;ads.xumo_streamId=88885138&amp;ads.content_length=&amp;ads.content_language=en&amp;ads.content_category=IAB1-7&amp;ads.content_genre=Television&amp;ads.content_rating=tv-14&amp;ads.content_channel=ShadesOfBlack&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</si>
  <si>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88885138/hls/playlist.m3u8?ads.xumo_channelId=88885138&amp;ads.caid=FuseBeat&amp;ads.csid=tivo_us_fusebeat_ssai&amp;ads.coppa=0&amp;ads.provider_id=3508&amp;ads.content_producer_id=3508&amp;ads.content_producer=FuseBeat&amp;ads.content_network=FuseBeat&amp;ads.xumo_streamId=88885138&amp;ads.content_length=&amp;ads.content_language=en&amp;ads.content_category=IAB1-7&amp;ads.content_genre=Television&amp;ads.content_rating=tv-14&amp;ads.content_channel=ShadesOfBlack&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</si>
  <si>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99034</t>
  </si>
  <si>
    <t>Maverick Black Cinema</t>
  </si>
  <si>
    <t>MVBLK-TIVO</t>
  </si>
  <si>
    <t>XUMO-Maverick Black Cinema</t>
  </si>
  <si>
    <t>https:TIVOPLUS_BLANK//db32be3yl2hko.cloudfront.net/11302/88885034/hls/master.m3u8?ads.xumo_channelId=88885034&amp;ads.caid=MaverickBlackCinema&amp;ads.csid=tivo_maverick_ssai&amp;ads.coppa=0&amp;ads.provider_id=259&amp;ads.content_producer_id=259&amp;ads.content_producer=Maverick&amp;ads.content_network=Maverick&amp;ads.xumo_streamId=88885034&amp;ads.content_length=&amp;ads.content_language=en&amp;ads.content_category=IAB1-5&amp;ads.content_genre=Movies&amp;ads.content_rating=mpaa-r&amp;ads.content_channel=MaverickBlackCinema&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</si>
  <si>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88885034/hls/master.m3u8?ads.xumo_channelId=88885034&amp;ads.caid=MaverickBlackCinema&amp;ads.csid=tivo_maverick_ssai&amp;ads.coppa=0&amp;ads.provider_id=259&amp;ads.content_producer_id=259&amp;ads.content_producer=Maverick&amp;ads.content_network=Maverick&amp;ads.xumo_streamId=88885034&amp;ads.content_length=&amp;ads.content_language=en&amp;ads.content_category=IAB1-5&amp;ads.content_genre=Movies&amp;ads.content_rating=mpaa-r&amp;ads.content_channel=MaverickBlackCinem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</si>
  <si>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theGrio</t>
  </si>
  <si>
    <t>THEGRIOXUMO</t>
  </si>
  <si>
    <t>XUMO-theGrio</t>
  </si>
  <si>
    <t>https:TIVOPLUS_BLANK//db32be3yl2hko.cloudfront.net/11302/88885008/hls/playlist.m3u8?ads.xumo_channelId=88885008&amp;ads.caid=TheGrio&amp;ads.csid=tivo_blacknewschannel_ssai&amp;ads.coppa=0&amp;ads.provider_id=1850&amp;ads.content_producer_id=1850&amp;ads.content_producer=BlackNewsChannel&amp;ads.content_network=BlackNewsChannel&amp;ads.xumo_streamId=88885008&amp;ads.content_length=&amp;ads.content_language=en&amp;ads.content_category=IAB1-5&amp;ads.content_genre=Movies&amp;ads.content_rating=tv-14&amp;ads.content_channel=TheGrio&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</si>
  <si>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88885008/hls/playlist.m3u8?ads.xumo_channelId=88885008&amp;ads.caid=TheGrio&amp;ads.csid=tivo_blacknewschannel_ssai&amp;ads.coppa=0&amp;ads.provider_id=1850&amp;ads.content_producer_id=1850&amp;ads.content_producer=BlackNewsChannel&amp;ads.content_network=BlackNewsChannel&amp;ads.xumo_streamId=88885008&amp;ads.content_length=&amp;ads.content_language=en&amp;ads.content_category=IAB1-5&amp;ads.content_genre=Movies&amp;ads.content_rating=tv-14&amp;ads.content_channel=TheGrio&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</si>
  <si>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99080</t>
  </si>
  <si>
    <t>Revry</t>
  </si>
  <si>
    <t>REVRY</t>
  </si>
  <si>
    <t>Direct-Revry</t>
  </si>
  <si>
    <t>https:TIVOPLUS_BLANK//linear-5.frequency.stream/dist/tivo/5/hls/master/playlist.m3u8?ads.ad_unit_type=TIVOPLUS_ADUNIT_TYPE&amp;ads.app_name=TIVOPLUS_APPNAME&amp;ads.app_type=entertainment&amp;ads.app_version=TIVOPLUS_APP_VERSION&amp;ads.app_store_url=&amp;ads.app_bundle=tivo.entertainment&amp;ads.device_language=&amp;ads.device_id=TIVOPLUS_DEV_ID&amp;ads.lat=TIVOPLUS_DEV_LAT&amp;ads.device_country=&amp;ads.device_type=TIVOPLUS_DEV_TYPE&amp;ads.device_make=&amp;ads.brand_name=&amp;ads.device_model=&amp;ads.device_make_date=&amp;ads.dlid=&amp;ads.gdpr=&amp;ads.gdpr_consent=&amp;ads.gpp=&amp;ads.gpp_sid=&amp;ads.mvpd=TIVOPLUS_MVPD&amp;ads.ortb_device_type=TIVOPLUS_OPENRTB_DEVTYPE&amp;ads.platform=TIVOPLUS_PLATFORM&amp;ads.usid=TIVOPLUS_USERSESSION_ID&amp;ads.us_privacy=TIVOPLUS_USPRIVACY</t>
  </si>
  <si>
    <t>99052</t>
  </si>
  <si>
    <t>OUTtv Proud</t>
  </si>
  <si>
    <t>OUTTVPRDXUMO</t>
  </si>
  <si>
    <t>XUMO-OUTtv Proud</t>
  </si>
  <si>
    <t>https:TIVOPLUS_BLANK//db32be3yl2hko.cloudfront.net/11302/88885137/hls/playlist.m3u8?ads.xumo_channelId=88885137&amp;ads.caid=FuseOutTVProud&amp;ads.csid=tivo_us_fuseouttvproud_ssai&amp;ads.coppa=0&amp;ads.provider_id=4004&amp;ads.content_producer_id=4004&amp;ads.content_producer=FuseOutTVProud&amp;ads.content_network=FuseOutTVProud&amp;ads.xumo_streamId=88885137&amp;ads.content_length=&amp;ads.content_language=en&amp;ads.content_category=IAB17&amp;ads.content_genre=Television&amp;ads.content_rating=tv14&amp;ads.content_channel=OUTtvProud&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</si>
  <si>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88885137/hls/playlist.m3u8?ads.xumo_channelId=88885137&amp;ads.caid=FuseOutTVProud&amp;ads.csid=tivo_us_fuseouttvproud_ssai&amp;ads.coppa=0&amp;ads.provider_id=4004&amp;ads.content_producer_id=4004&amp;ads.content_producer=FuseOutTVProud&amp;ads.content_network=FuseOutTVProud&amp;ads.xumo_streamId=88885137&amp;ads.content_length=&amp;ads.content_language=en&amp;ads.content_category=IAB17&amp;ads.content_genre=Television&amp;ads.content_rating=tv14&amp;ads.content_channel=OUTtvProu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</si>
  <si>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99035</t>
  </si>
  <si>
    <t>True History</t>
  </si>
  <si>
    <t>TRUHIST</t>
  </si>
  <si>
    <t>Direct-True History</t>
  </si>
  <si>
    <t>https:TIVOPLUS_BLANK//linear-188.frequency.stream/dist/tivo/188/hls/master/tivo.m3u8?p=tivo&amp;contenttype=linear&amp;channelname=TrueHistory&amp;partnername=TheTeachingCo&amp;mvpd=TIVOPLUS_MVPD&amp;uxloc=in-app&amp;appver=TIVOPLUS_APP_VERSION&amp;appname=TiVoPlus&amp;apptype=entertainment&amp;devid=TIVOPLUS_DEV_ID&amp;devlat=TIVOPLUS_DEV_LAT&amp;devtype=TIVOPLUS_DEV_TYPE&amp;adunittype=TIVOPLUS_ADUNIT_TYPE&amp;videotype=mid-roll&amp;sz=TIVOPLUS_AD_SIZE</t>
  </si>
  <si>
    <t>99083</t>
  </si>
  <si>
    <t>Untold Stories of the ER</t>
  </si>
  <si>
    <t>UNTSTORXU</t>
  </si>
  <si>
    <t>XUMO-Untold Stories of the ER</t>
  </si>
  <si>
    <t>https:TIVOPLUS_BLANK//db32be3yl2hko.cloudfront.net/11302/88885132/hls/master.m3u8?ads.xumo_channelId=88885132&amp;ads.caid=FilmRise&amp;ads.csid=tivo_us_untoldstoriesoftheer_ssai&amp;ads.coppa=0&amp;ads.provider_id=260&amp;ads.content_producer_id=260&amp;ads.content_producer=FilmRise&amp;ads.content_network=FilmRise&amp;ads.xumo_streamId=88885132&amp;ads.content_length=&amp;ads.content_language=en&amp;ads.content_category=IAB1-7&amp;ads.content_genre=Television&amp;ads.content_rating=tv14&amp;ads.content_channel=untoldstoriesoftheer&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</si>
  <si>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88885132/hls/master.m3u8?ads.xumo_channelId=88885132&amp;ads.caid=FilmRise&amp;ads.csid=tivo_us_untoldstoriesoftheer_ssai&amp;ads.coppa=0&amp;ads.provider_id=260&amp;ads.content_producer_id=260&amp;ads.content_producer=FilmRise&amp;ads.content_network=FilmRise&amp;ads.xumo_streamId=88885132&amp;ads.content_length=&amp;ads.content_language=en&amp;ads.content_category=IAB1-7&amp;ads.content_genre=Television&amp;ads.content_rating=tv-14&amp;ads.content_channel=untoldstoriesoftheer&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</si>
  <si>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99037</t>
  </si>
  <si>
    <t>Cheaters</t>
  </si>
  <si>
    <t>CHEATXU</t>
  </si>
  <si>
    <t>XUMO-Cheaters</t>
  </si>
  <si>
    <t>https:TIVOPLUS_BLANK//db32be3yl2hko.cloudfront.net/11302/88885135/hls/master.m3u8?ad.xumo_channelId=88885135&amp;ads.caid=Cheaters&amp;ads.csid=tivo_us_filmrisecheaters_ssai&amp;ads.coppa=0&amp;ads.provider_id=260&amp;ads.content_producer_id=260&amp;ads.content_producer=FilmRise&amp;ads.content_network=FilmRise&amp;ads.xumo_streamId=88885135&amp;ads.content_length=&amp;ads.content_language=en&amp;ads.content_category=IAB1-7&amp;ads.content_genre=Television&amp;ads.content_rating=tv-14&amp;ads.content_channel=Cheater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</si>
  <si>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88885135/hls/master.m3u8?ads.xumo_channelId=88885135&amp;ads.caid=Cheaters&amp;ads.csid=tivo_us_filmrisecheaters_ssai&amp;ads.coppa=0&amp;ads.provider_id=260&amp;ads.content_producer_id=260&amp;ads.content_producer=FilmRise&amp;ads.content_network=FilmRise&amp;ads.xumo_streamId=88885135&amp;ads.content_length=&amp;ads.content_language=en&amp;ads.content_category=IAB1-7&amp;ads.content_genre=Television&amp;ads.content_rating=tv14&amp;ads.content_channel=Cheater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</si>
  <si>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99038</t>
  </si>
  <si>
    <t>FailArmy</t>
  </si>
  <si>
    <t>FAILARMY</t>
  </si>
  <si>
    <t>XUMO-FailArmy</t>
  </si>
  <si>
    <t>https:TIVOPLUS_BLANK//db32be3yl2hko.cloudfront.net/11302/88885015/hls/master.m3u8?ads.xumo_channelId=88885015&amp;ads.caid=FailArmy&amp;ads.csid=tivo_jukinfailarmy_ssai&amp;ads.coppa=0&amp;ads.provider_id=56&amp;ads.content_producer_id=56&amp;ads.content_producer=Jukin&amp;ads.content_network=Jukin&amp;ads.xumo_streamId=88885015&amp;ads.content_length=&amp;ads.content_language=en&amp;ads.content_category=IAB1-4&amp;ads.content_genre=Humor&amp;ads.content_rating=tv-pg&amp;ads.content_channel=FailArmy&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</si>
  <si>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88885015/hls/master.m3u8?ads.xumo_channelId=88885015&amp;ads.caid=FailArmy&amp;ads.csid=tivo_jukinfailarmy_ssai&amp;ads.coppa=0&amp;ads.provider_id=56&amp;ads.content_producer_id=56&amp;ads.content_producer=Jukin&amp;ads.content_network=Jukin&amp;ads.xumo_streamId=88885015&amp;ads.content_length=&amp;ads.content_language=en&amp;ads.content_category=IAB1-4&amp;ads.content_genre=Humor&amp;ads.content_rating=tv-pg&amp;ads.content_channel=FailArm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</si>
  <si>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99000</t>
  </si>
  <si>
    <t>Just for Laughs &amp; Gags</t>
  </si>
  <si>
    <t>LAUGHGAG</t>
  </si>
  <si>
    <t>XUMO-Just for Laughs &amp; Gags</t>
  </si>
  <si>
    <t>https:TIVOPLUS_BLANK//db32be3yl2hko.cloudfront.net/11302/88885029/hls/master.m3u8?ads.xumo_channelId=88885029&amp;ads.caid=JustForLaughsGags&amp;ads.csid=tivo_justforlaughsgags_ssai&amp;ads.coppa=0&amp;ads.provider_id=146&amp;ads.content_producer_id=146&amp;ads.content_producer=JustForLaughsGags&amp;ads.content_network=JustForLaughsGags&amp;ads.xumo_streamId=88885029&amp;ads.content_length=&amp;ads.content_language=en&amp;ads.content_category=IAB1-4&amp;ads.content_genre=Humor&amp;ads.content_rating=tv-pg&amp;ads.content_channel=JustForLaughsAndGag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</si>
  <si>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88885029/hls/master.m3u8?ads.xumo_channelId=88885029&amp;ads.caid=JustForLaughsGags&amp;ads.csid=tivo_justforlaughsgags_ssai&amp;ads.coppa=0&amp;ads.provider_id=146&amp;ads.content_producer_id=146&amp;ads.content_producer=JustForLaughsGags&amp;ads.content_network=JustForLaughsGags&amp;ads.xumo_streamId=88885029&amp;ads.content_length=&amp;ads.content_language=en&amp;ads.content_category=IAB1-4&amp;ads.content_genre=Humor&amp;ads.content_rating=tv-pg&amp;ads.content_channel=JustForLaughsAndGag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</si>
  <si>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99076</t>
  </si>
  <si>
    <t>The Pet Collective</t>
  </si>
  <si>
    <t>PETCOLTV</t>
  </si>
  <si>
    <t>XUMO-The Pet Collective</t>
  </si>
  <si>
    <t>https:TIVOPLUS_BLANK//db32be3yl2hko.cloudfront.net/11302/88885051/hls/master.m3u8?ads.xumo_channelId=88885051&amp;ads.caid=ThePetCollective&amp;ads.csid=tivo_jukinpetcollective_ssai&amp;ads.coppa=0&amp;ads.provider_id=115&amp;ads.content_producer_id=115&amp;ads.content_producer=JukinPetCollective&amp;ads.content_network=JukinPetCollective&amp;ads.xumo_streamId=88885051&amp;ads.content_length=&amp;ads.content_language=en&amp;ads.content_category=IAB1&amp;ads.content_genre=Entertainment&amp;ads.content_rating=tv-g&amp;ads.content_channel=ThePetCollectiv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</si>
  <si>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88885051/hls/master.m3u8?ads.xumo_channelId=88885051&amp;ads.caid=ThePetCollective&amp;ads.csid=tivo_jukinpetcollective_ssai&amp;ads.coppa=0&amp;ads.provider_id=115&amp;ads.content_producer_id=115&amp;ads.content_producer=JukinPetCollective&amp;ads.content_network=JukinPetCollective&amp;ads.xumo_streamId=88885051&amp;ads.content_length=&amp;ads.content_language=en&amp;ads.content_category=IAB1&amp;ads.content_genre=Entertainment&amp;ads.content_rating=tv-g&amp;ads.content_channel=ThePetCollectiv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</si>
  <si>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99002</t>
  </si>
  <si>
    <t>People Are Awesome</t>
  </si>
  <si>
    <t>PEOPLEAW</t>
  </si>
  <si>
    <t>XUMO-People Are Awesome</t>
  </si>
  <si>
    <t>https:TIVOPLUS_BLANK//db32be3yl2hko.cloudfront.net/11302/88885045/hls/master.m3u8?ads.xumo_channelId=88885045&amp;ads.caid=PeopleAreAwesome&amp;ads.csid=tivo_jukinpeopleareawesome_ssai&amp;ads.coppa=0&amp;ads.provider_id=116&amp;ads.content_producer_id=116&amp;ads.content_producer=JukinPeopleAreAwesome&amp;ads.content_network=JukinPeopleAreAwesome&amp;ads.xumo_streamId=88885045&amp;ads.content_length=&amp;ads.content_language=en&amp;ads.content_category=IAB1&amp;ads.content_genre=Entertainment&amp;ads.content_rating=tv-g&amp;ads.content_channel=PeopleAreAwesom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</si>
  <si>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88885045/hls/master.m3u8?ads.xumo_channelId=88885045&amp;ads.caid=PeopleAreAwesome&amp;ads.csid=tivo_jukinpeopleareawesome_ssai&amp;ads.coppa=0&amp;ads.provider_id=116&amp;ads.content_producer_id=116&amp;ads.content_producer=JukinPeopleAreAwesome&amp;ads.content_network=JukinPeopleAreAwesome&amp;ads.xumo_streamId=88885045&amp;ads.content_length=&amp;ads.content_language=en&amp;ads.content_category=IAB1&amp;ads.content_genre=Entertainment&amp;ads.content_rating=tv-g&amp;ads.content_channel=PeopleAreAwesom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</si>
  <si>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99003</t>
  </si>
  <si>
    <t>Supermarket Sweep</t>
  </si>
  <si>
    <t>SUPMXU</t>
  </si>
  <si>
    <t>XUMO-Supermarket Sweep</t>
  </si>
  <si>
    <t>https:TIVOPLUS_BLANK//db32be3yl2hko.cloudfront.net/11302/88885100/hls/playlist.m3u8?ads.xumo_channelId=88885100&amp;ads.caid=FreemantleSuperMarketSweep&amp;ads.csid=tivo_freemantlesupermarketsweep_ssai&amp;ads.coppa=0&amp;ads.provider_id=3544&amp;ads.content_producer_id=3544&amp;ads.content_producer=FreemantleSuperMarketSweep&amp;ads.content_network=FreemantleSuperMarketSweep&amp;ads.xumo_streamId=88885100&amp;ads.content_length=&amp;ads.content_language=en&amp;ads.content_category=IAB17&amp;ads.content_genre=Television&amp;ads.content_rating=&amp;ads.content_channel=SuperMarketSweep&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</si>
  <si>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88885100/hls/playlist.m3u8?ads.xumo_channelId=88885100&amp;ads.caid=FreemantleSuperMarketSweep&amp;ads.csid=tivo_freemantlesupermarketsweep_ssai&amp;ads.coppa=0&amp;ads.provider_id=3544&amp;ads.content_producer_id=3544&amp;ads.content_producer=FreemantleSuperMarketSweep&amp;ads.content_network=FreemantleSuperMarketSweep&amp;ads.xumo_streamId=88885100&amp;ads.content_length=&amp;ads.content_language=en&amp;ads.content_category=IAB17&amp;ads.content_genre=Television&amp;ads.content_rating=&amp;ads.content_channel=SuperMarketSwee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</si>
  <si>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99040</t>
  </si>
  <si>
    <t>Gusto TV</t>
  </si>
  <si>
    <t>GUSTOTVNAHD</t>
  </si>
  <si>
    <t>Direct-Gusto TV</t>
  </si>
  <si>
    <t>https:TIVOPLUS_BLANK//cdn-uw2-prod.tsv2.amagi.tv/linear/amg01077-gustoworldwidem-gustous-tivo/playlist.m3u8?p=tivo&amp;contenttype=linear&amp;channelname=GustoTV&amp;partnername=GustoTV&amp;mvpd=TIVOPLUS_MVPD&amp;uxloc=in-app&amp;appver=TIVOPLUS_APP_VERSION&amp;appname=TiVoPlus&amp;apptype=entertainment&amp;devid=TIVOPLUS_DEV_ID&amp;devlat=TIVOPLUS_DEV_LAT&amp;devtype=TIVOPLUS_DEV_TYPE&amp;adunittype=TIVOPLUS_ADUNIT_TYPE&amp;videotype=mid-roll&amp;sz=TIVOPLUS_AD_SIZE</t>
  </si>
  <si>
    <t>99082</t>
  </si>
  <si>
    <t>Tastemade</t>
  </si>
  <si>
    <t>TSTEMADE</t>
  </si>
  <si>
    <t>Direct-Tastemade</t>
  </si>
  <si>
    <t>https:TIVOPLUS_BLANK//cdn-uw2-prod.tsv2.amagi.tv/linear/tastemade-tastemadetivo/playlist.m3u8?p=tivo&amp;contenttype=linear&amp;channelname=Tastemade&amp;partnername=Tastemade&amp;mvpd=TIVOPLUS_MVPD&amp;uxloc=in-app&amp;appver=TIVOPLUS_APP_VERSION&amp;appname=TiVoPlus&amp;apptype=entertainment&amp;devid=TIVOPLUS_DEV_ID&amp;devlat=TIVOPLUS_DEV_LAT&amp;devtype=TIVOPLUS_DEV_TYPE&amp;adunittype=TIVOPLUS_ADUNIT_TYPE&amp;videotype=mid-roll&amp;sz=TIVOPLUS_AD_SIZE</t>
  </si>
  <si>
    <t>99053</t>
  </si>
  <si>
    <t>Hell's Kitchen</t>
  </si>
  <si>
    <t>HELLKXU</t>
  </si>
  <si>
    <t>XUMO-Hell's Kitchen</t>
  </si>
  <si>
    <t>https:TIVOPLUS_BLANK//db32be3yl2hko.cloudfront.net/11302/88885129/hls/master.m3u8?ads.xumo_channelId=88885129&amp;ads.caid=FilmRise&amp;ads.csid=tivo_us_hellskitchen_ssai&amp;ads.coppa=0&amp;ads.provider_id=260&amp;ads.content_producer_id=260&amp;ads.content_producer=FilmRise&amp;ads.content_network=FilmRise&amp;ads.xumo_streamId=88885129&amp;ads.content_length=&amp;ads.content_language=en&amp;ads.content_category=IAB1-7&amp;ads.content_genre=Television&amp;ads.content_rating=tv-14&amp;ads.content_channel=HellsKitche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</si>
  <si>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88885129/hls/master.m3u8?ads.xumo_channelId=88885129&amp;ads.caid=FilmRise&amp;ads.csid=tivo_us_hellskitchen_ssai&amp;ads.coppa=0&amp;ads.provider_id=260&amp;ads.content_producer_id=260&amp;ads.content_producer=FilmRise&amp;ads.content_network=FilmRise&amp;ads.xumo_streamId=88885129&amp;ads.content_length=&amp;ads.content_language=en&amp;ads.content_category=IAB17&amp;ads.content_genre=Television&amp;ads.content_rating=tv14&amp;ads.content_channel=HellsKitche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</si>
  <si>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99042</t>
  </si>
  <si>
    <t>Filmrise Food</t>
  </si>
  <si>
    <t>FILMRSFD</t>
  </si>
  <si>
    <t>XUMO-Filmrise Food</t>
  </si>
  <si>
    <t>https:TIVOPLUS_BLANK//db32be3yl2hko.cloudfront.net/11302/88885017/hls/master.m3u8?ads.xumo_channelId=88885017&amp;ads.caid=FilmRiseFood&amp;ads.csid=tivo_filmrisecooking_ssai&amp;ads.coppa=0&amp;ads.provider_id=260&amp;ads.content_producer_id=260&amp;ads.content_producer=FilmRise&amp;ads.content_network=FilmRise&amp;ads.xumo_streamId=88885017&amp;ads.content_length=&amp;ads.content_language=en&amp;ads.content_category=IAB1-5&amp;ads.content_genre=Movies&amp;ads.content_rating=tv-14&amp;ads.content_channel=FilmRiseFood&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</si>
  <si>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88885017/hls/master.m3u8?ads.xumo_channelId=88885017&amp;ads.caid=FilmRiseFood&amp;ads.csid=tivo_filmrisecooking_ssai&amp;ads.coppa=0&amp;ads.provider_id=260&amp;ads.content_producer_id=260&amp;ads.content_producer=FilmRise&amp;ads.content_network=FilmRise&amp;ads.xumo_streamId=88885017&amp;ads.content_length=&amp;ads.content_language=en&amp;ads.content_category=IAB1-5&amp;ads.content_genre=Movies&amp;ads.content_rating=tv-14&amp;ads.content_channel=FilmRiseFoo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</si>
  <si>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99014</t>
  </si>
  <si>
    <t>The Jamie Oliver Channel</t>
  </si>
  <si>
    <t>JAMOLXU</t>
  </si>
  <si>
    <t>XUMO-The Jamie Oliver Channel</t>
  </si>
  <si>
    <t>https:TIVOPLUS_BLANK//db32be3yl2hko.cloudfront.net/11302/88885103/hls/playlist.m3u8?ads.xumo_channelId=88885103&amp;ads.caid=FreemantleJamieOliver&amp;ads.csid=tivo_freemantlejamieoliver_ssai&amp;ads.coppa=0&amp;ads.provider_id=3811&amp;ads.content_producer_id=3811&amp;ads.content_producer=FreemantleJamieOliver&amp;ads.content_network=FreemantleJamieOliver&amp;ads.xumo_streamId=88885103&amp;ads.content_length=&amp;ads.content_language=en&amp;ads.content_category=IAB8&amp;ads.content_genre=Food%2526Drink&amp;ads.content_rating=tv-pg&amp;ads.content_channel=JamieOliver&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</si>
  <si>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88885103/hls/playlist.m3u8?ads.xumo_channelId=88885103&amp;ads.caid=FreemantleJamieOliver&amp;ads.csid=tivo_freemantlejamieoliver_ssai&amp;ads.coppa=0&amp;ads.provider_id=3811&amp;ads.content_producer_id=3811&amp;ads.content_producer=FreemantleJamieOliver&amp;ads.content_network=FreemantleJamieOliver&amp;ads.xumo_streamId=88885103&amp;ads.content_length=&amp;ads.content_language=en&amp;ads.content_category=IAB8&amp;ads.content_genre=Food%2526Drink&amp;ads.content_rating=tv-pg&amp;ads.content_channel=TheJamieOliverChannel&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</si>
  <si>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99044</t>
  </si>
  <si>
    <t>QVC</t>
  </si>
  <si>
    <t>QVCHD-TIVO</t>
  </si>
  <si>
    <t>Direct-QVC</t>
  </si>
  <si>
    <t>https:TIVOPLUS_BLANK//qvc-amd-live.akamaized.net/hls/live/2034113/lsqvc1usott/master.m3u8?p=tivo&amp;contenttype=linear&amp;channelname=Qvc&amp;partnername=Qvc&amp;mvpd=TIVOPLUS_MVPD&amp;uxloc=in-app&amp;appver=TIVOPLUS_APP_VERSION&amp;appname=TiVoPlus&amp;apptype=entertainment&amp;devid=TIVOPLUS_DEV_ID&amp;devlat=TIVOPLUS_DEV_LAT&amp;devtype=TIVOPLUS_DEV_TYPE&amp;adunittype=TIVOPLUS_ADUNIT_TYPE&amp;videotype=mid-roll&amp;sz=TIVOPLUS_AD_SIZE</t>
  </si>
  <si>
    <t>99086</t>
  </si>
  <si>
    <t>HSN</t>
  </si>
  <si>
    <t>HSNHD-TIVO</t>
  </si>
  <si>
    <t>Direct-HSN</t>
  </si>
  <si>
    <t>https:TIVOPLUS_BLANK//qvc-amd-live.akamaized.net/hls/live/2034113/lshsn1usott/master.m3u8?p=tivo&amp;contenttype=linear&amp;channelname=Hsn&amp;partnername=Qvc&amp;mvpd=TIVOPLUS_MVPD&amp;uxloc=in-app&amp;appver=TIVOPLUS_APP_VERSION&amp;appname=TiVoPlus&amp;apptype=entertainment&amp;devid=TIVOPLUS_DEV_ID&amp;devlat=TIVOPLUS_DEV_LAT&amp;devtype=TIVOPLUS_DEV_TYPE&amp;adunittype=TIVOPLUS_ADUNIT_TYPE&amp;videotype=mid-roll&amp;sz=TIVOPLUS_AD_SIZE</t>
  </si>
  <si>
    <t>99087</t>
  </si>
  <si>
    <t>Antiques Roadshow</t>
  </si>
  <si>
    <t>ANTRSXU</t>
  </si>
  <si>
    <t>XUMO-Antiques Roadshow</t>
  </si>
  <si>
    <t>https:TIVOPLUS_BLANK//db32be3yl2hko.cloudfront.net/11302/88885134/hls/playlist.m3u8?ads.xumo_channelId=88885134&amp;ads.caid=PBSAntiquesRoadshowUS&amp;ads.csid=tivo_us_pbsantiquesroadshowus_ssai&amp;ads.coppa=0&amp;ads.provider_id=3861&amp;ads.content_producer_id=3861&amp;ads.content_producer=PBSAntiquesRoadshowUS&amp;ads.content_network=PBSAntiquesRoadshowUS&amp;ads.xumo_streamId=88885134&amp;ads.content_length=&amp;ads.content_language=en&amp;ads.content_category=IAB17&amp;ads.content_genre=Television&amp;ads.content_ratin=tvpg&amp;ads.content_channel=AntiquesRoadshow&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</si>
  <si>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88885134/hls/playlist.m3u8?ads.xumo_channelId=88885134&amp;ads.caid=PBSAntiquesRoadshowUS&amp;ads.csid=tivo_us_pbsantiquesroadshowus_ssai&amp;ads.coppa=0&amp;ads.provider_id=3861&amp;ads.content_producer_id=3861&amp;ads.content_producer=PBSAntiquesRoadshowUS&amp;ads.content_network=PBSAntiquesRoadshowUS&amp;ads.xumo_streamId=88885134&amp;ads.content_length=&amp;ads.content_language=en&amp;ads.content_category=IAB17&amp;ads.content_genre=Television&amp;ads.content_rating=tvpg&amp;ads.content_channel=AntiquesRoadsh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</si>
  <si>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99045</t>
  </si>
  <si>
    <t>Antiques Road Trip</t>
  </si>
  <si>
    <t>ANTQXU</t>
  </si>
  <si>
    <t>XUMO-Antiques Road Trip</t>
  </si>
  <si>
    <t>https:TIVOPLUS_BLANK//db32be3yl2hko.cloudfront.net/11302/88885133/hls/playlist.m3u8?ads.xumo_channelId=88885133&amp;ads.caid=PBSAntiquesRoadTrip&amp;ads.csid=tivo_us_pbsantiquesroadtrip_ssai&amp;ads.coppa=0&amp;ads.provider_id=4114&amp;ads.content_producer_id=4114&amp;ads.content_producer=PBSAntiquesRoadTrip&amp;ads.content_network=PBSAntiquesRoadTrip&amp;ads.xumo_streamId=88885133&amp;ads.content_length=&amp;ads.content_language=en&amp;ads.content_category=IAB1-7&amp;ads.content_genre=Television&amp;ads.content_rating=tv-pg&amp;ads.content_channel=PBSAntiquesRoadTrip&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</si>
  <si>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88885133/hls/playlist.m3u8?ads.xumo_channelId=88885133&amp;ads.caid=PBSAntiquesRoadTrip&amp;ads.csid=tivo_us_pbsantiquesroadtrip_ssai&amp;ads.coppa=0&amp;ads.provider_id=4114&amp;ads.content_producer_id=4114&amp;ads.content_producer=PBSAntiquesRoadTrip&amp;ads.content_network=PBSAntiquesRoadTrip&amp;ads.xumo_streamId=88885133&amp;ads.content_length=&amp;ads.content_language=en&amp;ads.content_category=IAB17&amp;ads.content_genre=Television&amp;ads.content_rating=tvpg&amp;ads.content_channel=PBSAntiquesRoadTri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</si>
  <si>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99046</t>
  </si>
  <si>
    <t>Homeful</t>
  </si>
  <si>
    <t>HOMEFXU</t>
  </si>
  <si>
    <t>XUMO-Homeful</t>
  </si>
  <si>
    <t>https:TIVOPLUS_BLANK//db32be3yl2hko.cloudfront.net/11302/88885128/hls/playlist.m3u8?ads.xumo_channelId=88885128&amp;ads.caid=BlueAntMediaHauntTV&amp;ads.csid=tivo_us_blueantmediahaunttv_ssai&amp;ads.coppa=0&amp;ads.provider_id=4172&amp;ads.content_producer_id=4172&amp;ads.content_producer=BlueAntMediaHauntTV&amp;ads.content_network=BlueAntMediaHauntTV&amp;ads.xumo_streamId=88885128&amp;ads.content_length=&amp;ads.content_language=en&amp;ads.content_category=IAB1-7&amp;ads.content_genre=Television&amp;ads.content_rating=tv-14&amp;ads.content_channel=Homeful&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</si>
  <si>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88885104/hls/playlist.m3u8?ads.xumo_channelId=88885104&amp;ads.caid=Homeful&amp;ads.csid=tivo_homeful_ssai&amp;ads.coppa=0&amp;ads.provider_id=3477&amp;ads.content_producer_id=3477&amp;ads.content_producer=Homeful&amp;ads.content_network=Homeful&amp;ads.xumo_streamId=88885104&amp;ads.content_length=&amp;ads.content_language=en&amp;ads.content_category=&amp;ads.content_genre=&amp;ads.content_rating=&amp;ads.content_channel=Homeful&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</si>
  <si>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99047</t>
  </si>
  <si>
    <t>ShopLC</t>
  </si>
  <si>
    <t>SHOPLCXUMO</t>
  </si>
  <si>
    <t>XUMO-ShopLC</t>
  </si>
  <si>
    <t>https:TIVOPLUS_BLANK//db32be3yl2hko.cloudfront.net/11302/88885131/hls/master.m3u8?ads.xumo_channelId=88885131&amp;ads.caid=ShopLC&amp;ads.csid=tivo_us_shoplc_ssai&amp;ads.coppa=0&amp;ads.provider_id=1078&amp;ads.content_producer_id=1078&amp;ads.content_producer=ShopLC&amp;ads.content_network=ShopLC&amp;ads.xumo_streamId=88885131&amp;ads.content_length=&amp;ads.content_language=en&amp;ads.content_category=IAB1-7&amp;ads.content_genre=Television&amp;ads.content_rating=tv-pg&amp;ads.content_channel=ShopLC&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</si>
  <si>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88885131/hls/master.m3u8?ads.xumo_channelId=88885131&amp;ads.caid=ShopLC&amp;ads.csid=tivo_us_shoplc_ssai&amp;ads.coppa=0&amp;ads.provider_id=1078&amp;ads.content_producer_id=1078&amp;ads.content_producer=ShopLC&amp;ads.content_network=ShopLC&amp;ads.xumo_streamId=88885131&amp;ads.content_length=&amp;ads.content_language=en&amp;ads.content_category=IAB1-7&amp;ads.content_genre=Television&amp;ads.content_rating=tv-pg&amp;ads.content_channel=ShopLC&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</si>
  <si>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99049</t>
  </si>
  <si>
    <t>PBS Nature</t>
  </si>
  <si>
    <t>PBSNATXU</t>
  </si>
  <si>
    <t>XUMO-PBS Nature</t>
  </si>
  <si>
    <t>https:TIVOPLUS_BLANK//db32be3yl2hko.cloudfront.net/11302/88885087/hls/playlist.m3u8?ads.xumo_channelId=88885087&amp;ads.caid=PBSNature&amp;ads.csid=tivo_pbsnature_ssai&amp;ads.coppa=0&amp;ads.provider_id=3849&amp;ads.content_producer_id=3849&amp;ads.content_producer=PBSNature&amp;ads.content_network=PBSNature&amp;ads.xumo_streamId=88885087&amp;ads.content_length=&amp;ads.content_language=en&amp;ads.content_category=IAB1-7&amp;ads.content_genre=Television&amp;ads.content_rating=tvg&amp;ads.content_channel=PBSNatur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</si>
  <si>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88885087/hls/playlist.m3u8?ads.xumo_channelId=88885087&amp;ads.caid=PBSNature&amp;ads.csid=tivo_pbsnature_ssai&amp;ads.coppa=0&amp;ads.provider_id=3849&amp;ads.content_producer_id=3849&amp;ads.content_producer=PBSNature&amp;ads.content_network=PBSNature&amp;ads.xumo_streamId=88885087&amp;ads.content_length=&amp;ads.content_language=en&amp;ads.content_category=IAB17&amp;ads.content_genre=Television&amp;ads.content_rating=tvg&amp;ads.content_channel=PBSNatu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</si>
  <si>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99050</t>
  </si>
  <si>
    <t>Love Nature</t>
  </si>
  <si>
    <t>LOVNATXU</t>
  </si>
  <si>
    <t>XUMO-Love Nature</t>
  </si>
  <si>
    <t>https:TIVOPLUS_BLANK//db32be3yl2hko.cloudfront.net/11302/88885106/hls/master.m3u8?ads.xumo_channelId=88885106&amp;ads.caid=LoveNature&amp;ads.csid=tivo_lovenature_ssai&amp;ads.coppa=0&amp;ads.provider_id=1852&amp;ads.content_producer_id=1852&amp;ads.content_producer=LoveNature&amp;ads.content_network=LoveNature&amp;ads.xumo_streamId=88885106&amp;ads.content_length=&amp;ads.content_language=en&amp;ads.content_category=&amp;ads.content_genre=&amp;ads.content_rating=tv-pg&amp;ads.content_channel=LoveNatur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</si>
  <si>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88885106/hls/master.m3u8?ads.xumo_channelId=88885106&amp;ads.caid=LoveNature&amp;ads.csid=tivo_lovenature_ssai&amp;ads.coppa=0&amp;ads.provider_id=1852&amp;ads.content_producer_id=1852&amp;ads.content_producer=LoveNature&amp;ads.content_network=LoveNature&amp;ads.xumo_streamId=88885106&amp;ads.content_length=&amp;ads.content_language=en&amp;ads.content_category=&amp;ads.content_genre=&amp;ads.content_rating=&amp;ads.content_channel=LoveNatu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</si>
  <si>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99051</t>
  </si>
  <si>
    <t>Xumo Free Nature and Wildlife</t>
  </si>
  <si>
    <t>NATXUMO</t>
  </si>
  <si>
    <t>XUMO-Xumo Free Nature and Wildlife</t>
  </si>
  <si>
    <t>https:TIVOPLUS_BLANK//db32be3yl2hko.cloudfront.net/11302/88885088/hls/master.m3u8?ads.xumo_channelId=88885088&amp;ads.caid=XumoFreeNatureWildlifeTV&amp;ads.csid=tivo_xumofreenaturewildlifetv_ssai&amp;ads.coppa=0&amp;ads.provider_id=5&amp;ads.content_producer_id=5&amp;ads.content_producer=Xumo&amp;ads.content_network=Xumo&amp;ads.xumo_streamId=88885088&amp;ads.content_length=&amp;ads.content_language=en&amp;ads.content_category=IAB1-7&amp;ads.content_genre=Television&amp;ads.content_rating=tv-g&amp;ads.content_channel=XumoFreeNatureWildlife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</si>
  <si>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88885088/hls/master.m3u8?ads.xumo_channelId=88885088&amp;ads.caid=XumoFreeNatureWildlifeTV&amp;ads.csid=tivo_xumofreenaturewildlifetv_ssai&amp;ads.coppa=0&amp;ads.provider_id=5&amp;ads.content_producer_id=5&amp;ads.content_producer=Xumo&amp;ads.content_network=Xumo&amp;ads.xumo_streamId=88885088&amp;ads.content_length=&amp;ads.content_language=en&amp;ads.content_category=IAB1-7&amp;ads.content_genre=Television&amp;ads.content_rating=tv-g&amp;ads.content_channel=XumoFreeNatureWildlife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</si>
  <si>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99018</t>
  </si>
  <si>
    <t>NatureVision</t>
  </si>
  <si>
    <t>NATUVIS-TIVO</t>
  </si>
  <si>
    <t>XUMO-NatureVision</t>
  </si>
  <si>
    <t>https:TIVOPLUS_BLANK//db32be3yl2hko.cloudfront.net/11302/88885039/hls/master.m3u8?ads.xumo_channelId=88885039&amp;ads.caid=NatureVision&amp;ads.csid=tivo_naturevision_ssai&amp;ads.coppa=0&amp;ads.provider_id=133&amp;ads.content_producer_id=133&amp;ads.content_producer=NatureVision&amp;ads.content_network=NatureVision&amp;ads.xumo_streamId=88885039&amp;ads.content_length=&amp;ads.content_language=en&amp;ads.content_category=IAB1&amp;ads.content_genre=Entertainment&amp;ads.content_rating=tv-g&amp;ads.content_channel=NatureVisio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</si>
  <si>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88885039/hls/master.m3u8?ads.xumo_channelId=88885039&amp;ads.caid=NatureVision&amp;ads.csid=tivo_naturevision_ssai&amp;ads.coppa=0&amp;ads.provider_id=133&amp;ads.content_producer_id=133&amp;ads.content_producer=NatureVision&amp;ads.content_network=NatureVision&amp;ads.xumo_streamId=88885039&amp;ads.content_length=&amp;ads.content_language=en&amp;ads.content_category=IAB1&amp;ads.content_genre=Entertainment&amp;ads.content_rating=tv-g&amp;ads.content_channel=NatureVis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</si>
  <si>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99010</t>
  </si>
  <si>
    <t>Speedvision</t>
  </si>
  <si>
    <t>SPEEDXU</t>
  </si>
  <si>
    <t>XUMO-Speedvision</t>
  </si>
  <si>
    <t>https:TIVOPLUS_BLANK//db32be3yl2hko.cloudfront.net/11302/88885090/hls/playlist.m3u8?ads.xumo_channelId=88885090&amp;ads.caid=SPEEDVISION&amp;ads.csid=tivo_speedvision_ssai&amp;ads.coppa=0&amp;ads.provider_id=3973&amp;ads.content_producer_id=3973&amp;ads.content_producer=SPEEDVISION&amp;ads.content_network=SPEEDVISION&amp;ads.xumo_streamId=88885090&amp;ads.content_length=&amp;ads.content_language=en&amp;ads.content_category=IAB17&amp;ads.content_genre=Sports&amp;ads.content_rating=tv-pg&amp;ads.content_channel=Speedvisio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</si>
  <si>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88885090/hls/playlist.m3u8?ads.xumo_channelId=88885090&amp;ads.caid=SPEEDVISION&amp;ads.csid=tivo_speedvision_ssai&amp;ads.coppa=0&amp;ads.provider_id=3973&amp;ads.content_producer_id=3973&amp;ads.content_producer=SPEEDVISION&amp;ads.content_network=SPEEDVISION&amp;ads.xumo_streamId=88885090&amp;ads.content_length=&amp;ads.content_language=en&amp;ads.content_category=IAB17&amp;ads.content_genre=Sports&amp;ads.content_rating=tvpg&amp;ads.content_channel=Speedvis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</si>
  <si>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99055</t>
  </si>
  <si>
    <t>PowerNation</t>
  </si>
  <si>
    <t>POWRNATN</t>
  </si>
  <si>
    <t>XUMO-PowerNation</t>
  </si>
  <si>
    <t>https:TIVOPLUS_BLANK//db32be3yl2hko.cloudfront.net/11302/88885047/hls/master.m3u8?ads.xumo_channelId=88885047&amp;ads.caid=PowerNation&amp;ads.csid=tivo_powernation_ssai&amp;ads.coppa=0&amp;ads.provider_id=224&amp;ads.content_producer_id=224&amp;ads.content_producer=PowerNation&amp;ads.content_network=PowerNation&amp;ads.xumo_streamId=88885047&amp;ads.content_length=&amp;ads.content_language=en&amp;ads.content_category=IAB17&amp;ads.content_genre=Sports&amp;ads.content_rating=tv-pg&amp;ads.content_channel=PowerNation&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</si>
  <si>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88885047/hls/master.m3u8?ads.xumo_channelId=88885047&amp;ads.caid=PowerNation&amp;ads.csid=tivo_powernation_ssai&amp;ads.coppa=0&amp;ads.provider_id=224&amp;ads.content_producer_id=224&amp;ads.content_producer=PowerNation&amp;ads.content_network=PowerNation&amp;ads.xumo_streamId=88885047&amp;ads.content_length=&amp;ads.content_language=en&amp;ads.content_category=IAB17&amp;ads.content_genre=Sports&amp;ads.content_rating=tv-pg&amp;ads.content_channel=PowerNat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</si>
  <si>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99011</t>
  </si>
  <si>
    <t>MOTORVISION.TV</t>
  </si>
  <si>
    <t>MOTOVISN</t>
  </si>
  <si>
    <t>XUMO-MOTORVISION.TV</t>
  </si>
  <si>
    <t>https:TIVOPLUS_BLANK//db32be3yl2hko.cloudfront.net/11302/88885037/hls/mv.m3u8?ads.xumo_channelId=88885037&amp;ads.caid=MOTORVISIONTV&amp;ads.csid=tivo_motorvision_ssai&amp;ads.coppa=0&amp;ads.provider_id=266&amp;ads.content_producer_id=266&amp;ads.content_producer=Motorvision&amp;ads.content_network=Motorvision&amp;ads.xumo_streamId=88885037&amp;ads.content_length=&amp;ads.content_language=en&amp;ads.content_category=IAB17&amp;ads.content_genre=Sports&amp;ads.content_rating=tv-pg&amp;ads.content_channel=MOTORVISION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</si>
  <si>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88885037/hls/mv.m3u8?ads.xumo_channelId=88885037&amp;ads.caid=MOTORVISIONTV&amp;ads.csid=tivo_motorvision_ssai&amp;ads.coppa=0&amp;ads.provider_id=266&amp;ads.content_producer_id=266&amp;ads.content_producer=Motorvision&amp;ads.content_network=Motorvision&amp;ads.xumo_streamId=88885037&amp;ads.content_length=&amp;ads.content_language=en&amp;ads.content_category=IAB17&amp;ads.content_genre=Sports&amp;ads.content_rating=tv-pg&amp;ads.content_channel=MOTORVISION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</si>
  <si>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99078</t>
  </si>
  <si>
    <t>Swerve Combat</t>
  </si>
  <si>
    <t>SWRVCMBT</t>
  </si>
  <si>
    <t>Direct-Swerve Combat</t>
  </si>
  <si>
    <t>https:TIVOPLUS_BLANK//linear-253.frequency.stream/dist/tivo/253/hls/master/tivo.m3u8?p=tivo&amp;contenttype=linear&amp;channelname=SwerveCombat&amp;partnername=SwerveTV&amp;mvpd=TIVOPLUS_MVPD&amp;uxloc=in-app&amp;appver=TIVOPLUS_APP_VERSION&amp;appname=TiVoPlus&amp;apptype=entertainment&amp;devid=TIVOPLUS_DEV_ID&amp;devlat=TIVOPLUS_DEV_LAT&amp;devtype=TIVOPLUS_DEV_TYPE&amp;adunittype=TIVOPLUS_ADUNIT_TYPE&amp;videotype=mid-roll&amp;sz=TIVOPLUS_AD_SIZE</t>
  </si>
  <si>
    <t>99084</t>
  </si>
  <si>
    <t>ACL Cornhole</t>
  </si>
  <si>
    <t>ACLCXU</t>
  </si>
  <si>
    <t>XUMO-ACL Cornhole</t>
  </si>
  <si>
    <t>https:TIVOPLUS_BLANK//db32be3yl2hko.cloudfront.net/11302/88885093/hls/aclco.m3u8?ads.xumo_channelId=88885093a&amp;ads.caid=TripleBMediaACLCornhole&amp;ads.csid=tivo_triplebmediaaclcornhole_ssai&amp;ads.coppa=0&amp;ads.provider_id=3483&amp;ads.content_producer_id=3483&amp;ads.content_producer=TripleBMediaACLCornhole&amp;ads.content_network=TripleBMediaACLCornhole&amp;ads.xumo_streamId=88885093&amp;ads.content_length=&amp;ads.content_language=en&amp;ads.content_category=IAB17&amp;ads.content_genre=Sports&amp;ads.content_rating=tv-pg&amp;ads.content_channel=ACLCornhol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</si>
  <si>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88885093/hls/aclco.m3u8?ads.xumo_channelId=88885093a&amp;ads.caid=TripleBMediaACLCornhole&amp;ads.csid=tivo_triplebmediaaclcornhole_ssai&amp;ads.coppa=0&amp;ads.provider_id=3483&amp;ads.content_producer_id=3483&amp;ads.content_producer=TripleBMediaACLCornhole&amp;ads.content_network=TripleBMediaACLCornhole&amp;ads.xumo_streamId=88885093&amp;ads.content_length=&amp;ads.content_language=en&amp;ads.content_category=IAB17&amp;ads.content_genre=Sports&amp;ads.content_rating=tv-pg&amp;ads.content_channel=ACLCornhol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</si>
  <si>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99056</t>
  </si>
  <si>
    <t>Billiard TV</t>
  </si>
  <si>
    <t>BILLRDXU</t>
  </si>
  <si>
    <t>XUMO-Billiard TV</t>
  </si>
  <si>
    <t>https:TIVOPLUS_BLANK//db32be3yl2hko.cloudfront.net/11302/88885091/hls/billi.m3u8?ads.xumo_channelId=88885091a&amp;ads.caid=TripleBMediaBilliard&amp;ads.csid=tivo_triplebmediabilliard_ssai&amp;ads.coppa=0&amp;ads.provider_id=2728&amp;ads.content_producer_id=2728&amp;ads.content_producer=TripleBMediaBilliard&amp;ads.content_network=TripleBMediaBilliard&amp;ads.xumo_streamId=88885091&amp;ads.content_length=&amp;ads.content_language=en&amp;ads.content_category=IAB17&amp;ads.content_genre=Sports&amp;ads.content_rating=tv-pg&amp;ads.content_channel=Billiard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</si>
  <si>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88885091/hls/billi.m3u8?ads.xumo_channelId=88885091a&amp;ads.caid=TripleBMediaBilliard&amp;ads.csid=tivo_triplebmediabilliard_ssai&amp;ads.coppa=0&amp;ads.provider_id=2728&amp;ads.content_producer_id=2728&amp;ads.content_producer=TripleBMediaBilliard&amp;ads.content_network=TripleBMediaBilliard&amp;ads.xumo_streamId=88885091&amp;ads.content_length=&amp;ads.content_language=en&amp;ads.content_category=IAB17&amp;ads.content_genre=Sports&amp;ads.content_rating=tv-pg&amp;ads.content_channel=Billiard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</si>
  <si>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99057</t>
  </si>
  <si>
    <t>PFL MMA</t>
  </si>
  <si>
    <t>PFLMXU</t>
  </si>
  <si>
    <t>XUMO-PFL MMA</t>
  </si>
  <si>
    <t>https: TIVOPLUS_BLANK//db32be3yl2hko.cloudfront.net/11302/88885089/hls/playlist.m3u8?ads.xumo_channelId=88885089&amp;ads.caid=ProFightersLeagueMMA&amp;ads.csid=tivo_profightersleaguemma_ssai&amp;ads.coppa=0&amp;ads.provider_id=3852&amp;ads.content_producer_id=3852&amp;ads.content_producer=ProFightersLeagueMMA&amp;ads.content_network=ProFightersLeagueMMA&amp;ads.xumo_streamId=88885089&amp;ads.content_length=&amp;ads.content_language=en&amp;ads.content_category=IAB17&amp;ads.content_genre=Sports&amp;ads.content_rating=tv-14&amp;ads.content_channel=PFLMMA&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</si>
  <si>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88885089/hls/playlist.m3u8?ads.xumo_channelId=88885089&amp;ads.caid=ProFightersLeagueMMA&amp;ads.csid=tivo_profightersleaguemma_ssai&amp;ads.coppa=0&amp;ads.provider_id=3852&amp;ads.content_producer_id=3852&amp;ads.content_producer=ProFightersLeagueMMA&amp;ads.content_network=ProFightersLeagueMMA&amp;ads.xumo_streamId=88885089&amp;ads.content_length=&amp;ads.content_language=en&amp;ads.content_category=IAB17&amp;ads.content_genre=Sports&amp;ads.content_rating=tv14&amp;ads.content_channel=PFLMM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</si>
  <si>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99058</t>
  </si>
  <si>
    <t>Boxing TV</t>
  </si>
  <si>
    <t>BOXTVXU</t>
  </si>
  <si>
    <t>XUMO-Boxing TV</t>
  </si>
  <si>
    <t>https:TIVOPLUS_BLANK//db32be3yl2hko.cloudfront.net/11302/88885092/hls/bxntv.m3u8?ads.xumo_channelId=88885092a&amp;ads.caid=TripleBMediaBoxingTV&amp;ads.csid=tivo_triplebmediaboxingtv_ssai&amp;ads.coppa=0&amp;ads.provider_id=3771&amp;ads.content_producer_id=3771&amp;ads.content_producer=TripleBMediaBoxingTV&amp;ads.content_network=TripleBMediaBoxingTV&amp;ads.xumo_streamId=88885092&amp;ads.content_length=&amp;ads.content_language=en&amp;ads.content_category=IAB17&amp;ads.content_genre=Sports&amp;ads.content_rating=tv-14&amp;ads.content_channel=TripleBMediaBoxingTV&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</si>
  <si>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88885092/hls/BOXINGTV_SCTE.m3u8?ads.xumo_channelId=88885092&amp;ads.caid=TripleBMediaBoxingTV&amp;ads.csid=tivo_triplebmediaboxingtv_ssai&amp;ads.coppa=0&amp;ads.provider_id=3771&amp;ads.content_producer_id=3771&amp;ads.content_producer=TripleBMediaBoxingTV&amp;ads.content_network=TripleBMediaBoxingTV&amp;ads.xumo_streamId=88885092&amp;ads.content_length=&amp;ads.content_language=en&amp;ads.content_category=IAB17&amp;ads.content_genre=Sports&amp;ads.content_rating=tv-14&amp;ads.content_channel=Boxing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</si>
  <si>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99059</t>
  </si>
  <si>
    <t>beIN Sports XTRA</t>
  </si>
  <si>
    <t>BEIN-TIVO</t>
  </si>
  <si>
    <t>XUMO-beIN Sports XTRA</t>
  </si>
  <si>
    <t>https:TIVOPLUS_BLANK//db32be3yl2hko.cloudfront.net/11302/88885007/hls/playlist.m3u8?ads.xumo_channelId=88885007&amp;ads.caid=beINSports&amp;ads.csid=tivo_beinsports_ssai&amp;ads.coppa=0&amp;ads.provider_id=1832&amp;ads.content_producer_id=1832&amp;ads.content_producer=beINSports&amp;ads.content_network=beINSports&amp;ads.xumo_streamId=88885007&amp;ads.content_length=&amp;ads.content_language=en&amp;ads.content_category=IAB17&amp;ads.content_genre=Sports&amp;ads.content_rating=tv-pg&amp;ads.content_channel=beINSport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</si>
  <si>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88885007/hls/playlist.m3u8?ads.xumo_channelId=88885007&amp;ads.caid=beINSports&amp;ads.csid=tivo_beinsports_ssai&amp;ads.coppa=0&amp;ads.provider_id=1832&amp;ads.content_producer_id=1832&amp;ads.content_producer=beINSports&amp;ads.content_network=beINSports&amp;ads.xumo_streamId=88885007&amp;ads.content_length=&amp;ads.content_language=en&amp;ads.content_category=IAB17&amp;ads.content_genre=Sports&amp;ads.content_rating=tv-pg&amp;ads.content_channel=beINSport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</si>
  <si>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99048</t>
  </si>
  <si>
    <t>Cine Romantico</t>
  </si>
  <si>
    <t>CINROMXUMO</t>
  </si>
  <si>
    <t>XUMO-Cine Romantico</t>
  </si>
  <si>
    <t>https:TIVOPLUS_BLANK//db32be3yl2hko.cloudfront.net/11302/88885096/hls/master.m3u8?ads.xumo_channelId=88885096&amp;ads.caid=UpTVCineRomantico&amp;ads.csid=tivo_uptvcineromantico_ssai&amp;ads.coppa=0&amp;ads.provider_id=2068&amp;ads.content_producer_id=2068&amp;ads.content_producer=UpTVCineRomantico&amp;ads.content_network=UpTVCineRomantico&amp;ads.xumo_streamId=88885096&amp;ads.content_length=&amp;ads.content_language=en&amp;ads.content_category=IAB1-5&amp;ads.content_genre=Movies&amp;ads.content_rating=tv-14&amp;ads.content_channel=UpTVCineRomantico&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</si>
  <si>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88885096/hls/master.m3u8?ads.xumo_channelId=88885096&amp;ads.caid=UpTVCineRomantico&amp;ads.csid=tivo_uptvcineromantico_ssai&amp;ads.coppa=0&amp;ads.provider_id=2068&amp;ads.content_producer_id=2068&amp;ads.content_producer=UpTVCineRomantico&amp;ads.content_network=UpTVCineRomantico&amp;ads.xumo_streamId=88885096&amp;ads.content_length=&amp;ads.content_language=en&amp;ads.content_category=IAB1-5&amp;ads.content_genre=Movies&amp;ads.content_rating=tv-14&amp;ads.content_channel=UpTVCineRomantico&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</si>
  <si>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99019</t>
  </si>
  <si>
    <t>Backstage</t>
  </si>
  <si>
    <t>BACKSTGXUMO</t>
  </si>
  <si>
    <t>XUMO-Backstage</t>
  </si>
  <si>
    <t>https:TIVOPLUS_BLANK//db32be3yl2hko.cloudfront.net/11302/88885141/hls/playlist.m3u8?ads.xumo_channelId=88885141&amp;ads.caid=Fuse&amp;ads.csid=tivo_us_fuse_ssai&amp;ads.coppa=0&amp;ads.provider_id=235&amp;ads.content_producer_id=235&amp;ads.content_producer=Fuse&amp;ads.content_network=Fuse&amp;ads.xumo_streamId=88885141&amp;ads.content_length=&amp;ads.content_language=en&amp;ads.content_category=IAB1-7&amp;ads.content_genre=Television&amp;ads.content_rating=tv-14&amp;ads.content_channel=Backstag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</si>
  <si>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88885141/hls/playlist.m3u8?ads.xumo_channelId=88885141&amp;ads.caid=Fuse&amp;ads.csid=tivo_us_fuse_ssai&amp;ads.coppa=0&amp;ads.provider_id=235&amp;ads.content_producer_id=235&amp;ads.content_producer=Fuse&amp;ads.content_network=Fuse&amp;ads.xumo_streamId=88885141&amp;ads.content_length=&amp;ads.content_language=en&amp;ads.content_category=IAB1-7&amp;ads.content_genre=Television&amp;ads.content_rating=tv-14&amp;ads.content_channel=Backstag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</si>
  <si>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99061</t>
  </si>
  <si>
    <t>Latino Vibes</t>
  </si>
  <si>
    <t>LATINVIBXUMO</t>
  </si>
  <si>
    <t>XUMO-Latino Vibes</t>
  </si>
  <si>
    <t>https:TIVOPLUS_BLANK//db32be3yl2hko.cloudfront.net/11302/88885140/hls/playlist.m3u8?ads.xumo_channelId=88885140&amp;ads.caid=FuseLatinoVibes&amp;ads.csid=tivo_us_fuselatinovibes_ssai&amp;ads.coppa=0&amp;ads.provider_id=4003&amp;ads.content_producer_id=4003&amp;ads.content_producer=FuseLatinoVibes&amp;ads.content_network=FuseLatinoVibes&amp;ads.xumo_streamId=88885140&amp;ads.content_length=&amp;ads.content_language=en&amp;ads.content_category=IAB1-7&amp;ads.content_genre=Television&amp;ads.content_rating=tv-14&amp;ads.content_channel=LatnoVb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</si>
  <si>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88885140/hls/playlist.m3u8?ads.xumo_channelId=88885140&amp;ads.caid=FuseLatinoVibes&amp;ads.csid=tivo_us_fuselatinovibes_ssai&amp;ads.coppa=0&amp;ads.provider_id=4003&amp;ads.content_producer_id=4003&amp;ads.content_producer=FuseLatinoVibes&amp;ads.content_network=FuseLatinoVibes&amp;ads.xumo_streamId=88885140&amp;ads.content_length=&amp;ads.content_language=en&amp;ads.content_category=IAB1-7&amp;ads.content_genre=Television&amp;ads.content_rating=tv-14&amp;ads.content_channel=LainoVib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</si>
  <si>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99062</t>
  </si>
  <si>
    <t>Qello Concerts by Stingray</t>
  </si>
  <si>
    <t>QUELCXU</t>
  </si>
  <si>
    <t>XUMO-Qello Concerts by Stingray</t>
  </si>
  <si>
    <t>https:TIVOPLUS_BLANK//db32be3yl2hko.cloudfront.net/11302/88885122/hls/master.m3u8?ads.xumo_channelId=88885122&amp;ads.caid=StingrayQello&amp;ads.csid=tivo_stingrayqello_ssai&amp;ads.coppa=0&amp;ads.provider_id=187&amp;ads.content_producer_id=187&amp;ads.content_producer=Stingray&amp;ads.content_network=Stingray&amp;ads.xumo_streamId=88885122&amp;ads.content_length=&amp;ads.content_language=en&amp;ads.content_category=IAB1-6&amp;ads.content_genre=Music&amp;ads.content_rating=tv-g&amp;ads.content_channel=StingrayQello&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</si>
  <si>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88885122/hls/master.m3u8?ads.xumo_channelId=88885122&amp;ads.caid=StingrayQello&amp;ads.csid=tivo_stingrayqello_ssai&amp;ads.coppa=0&amp;ads.provider_id=187&amp;ads.content_producer_id=187&amp;ads.content_producer=Stingray&amp;ads.content_network=Stingray&amp;ads.xumo_streamId=88885122&amp;ads.content_length=&amp;ads.content_language=en&amp;ads.content_category=IAB1-6&amp;ads.content_genre=Music&amp;ads.content_rating=tv-g&amp;ads.content_channel=QelloConcerts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</si>
  <si>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99021</t>
  </si>
  <si>
    <t>Stingray Hit List</t>
  </si>
  <si>
    <t>SM001-US</t>
  </si>
  <si>
    <t>XUMO-Stingray Hit List</t>
  </si>
  <si>
    <t>https:TIVOPLUS_BLANK//db32be3yl2hko.cloudfront.net/11302/88885065/hls/master.m3u8?ads.xumo_channelId=88885065&amp;ads.caid=StingrayHitlist&amp;ads.csid=tivo_stingrayhitlist_ssai&amp;ads.coppa=0&amp;ads.provider_id=1858&amp;ads.content_producer_id=1858&amp;ads.content_producer=StingrayHitlist&amp;ads.content_network=StingrayHitlist&amp;ads.xumo_streamId=88885065&amp;ads.content_length=&amp;ads.content_language=en&amp;ads.content_category=IAB1-6&amp;ads.content_genre=Music&amp;ads.content_rating=tv-g&amp;ads.content_channel=StingrayHitlist&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</si>
  <si>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88885065/hls/master.m3u8?ads.xumo_channelId=88885065&amp;ads.caid=StingrayHitlist&amp;ads.csid=tivo_stingrayhitlist_ssai&amp;ads.coppa=0&amp;ads.provider_id=1858&amp;ads.content_producer_id=1858&amp;ads.content_producer=StingrayHitlist&amp;ads.content_network=StingrayHitlist&amp;ads.xumo_streamId=88885065&amp;ads.content_length=&amp;ads.content_language=en&amp;ads.content_category=IAB1-6&amp;ads.content_genre=Music&amp;ads.content_rating=tv-g&amp;ads.content_channel=StingrayHitList&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</si>
  <si>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99063</t>
  </si>
  <si>
    <t>Stingray Greatest Hits</t>
  </si>
  <si>
    <t>SM048-CAN</t>
  </si>
  <si>
    <t>XUMO-Stingray Greatest Hits</t>
  </si>
  <si>
    <t>https:TIVOPLUS_BLANK//db32be3yl2hko.cloudfront.net/11302/88885063/hls/master.m3u8?ads.xumo_channelId=88885063&amp;ads.caid=StingrayGreatestHits&amp;ads.csid=tivo_stingraygreatesthits_ssai&amp;ads.coppa=0&amp;ads.provider_id=1857&amp;ads.content_producer_id=1857&amp;ads.content_producer=StingrayGreatestHits&amp;ads.content_network=StingrayGreatestHits&amp;ads.xumo_streamId=88885063&amp;ads.content_length=&amp;ads.content_language=en&amp;ads.content_category=IAB1-6&amp;ads.content_genre=Music&amp;ads.content_rating=tv-g&amp;ads.content_channel=StingrayGreatestHit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</si>
  <si>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88885063/hls/master.m3u8?ads.xumo_channelId=88885063&amp;ads.caid=StingrayGreatestHits&amp;ads.csid=tivo_stingraygreatesthits_ssai&amp;ads.coppa=0&amp;ads.provider_id=1857&amp;ads.content_producer_id=1857&amp;ads.content_producer=StingrayGreatestHits&amp;ads.content_network=StingrayGreatestHits&amp;ads.xumo_streamId=88885063&amp;ads.content_length=&amp;ads.content_language=en&amp;ads.content_category=IAB1-6&amp;ads.content_genre=Music&amp;ads.content_rating=tv-g&amp;ads.content_channel=StingrayGreatestHit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</si>
  <si>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99064</t>
  </si>
  <si>
    <t>Stingray 2000s</t>
  </si>
  <si>
    <t>SM116-CAN</t>
  </si>
  <si>
    <t>XUMO-Stingray 2000s</t>
  </si>
  <si>
    <t>https:TIVOPLUS_BLANK//db32be3yl2hko.cloudfront.net/11302/88885058/hls/master.m3u8?ads.xumo_channelId=88885058&amp;ads.caid=Stingray2000sUS&amp;ads.csid=tivo_stingray2000sus_ssai&amp;ads.coppa=0&amp;ads.provider_id=3756&amp;ads.content_producer_id=3756&amp;ads.content_producer=Stingray2000sUS&amp;ads.content_network=Stingray2000sUS&amp;ads.xumo_streamId=88885058&amp;ads.content_length=&amp;ads.content_language=en&amp;ads.content_category=IAB1-6&amp;ads.content_genre=Music&amp;ads.content_rating=tv-g&amp;ads.content_channel=Stingray2000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</si>
  <si>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88885058/hls/master.m3u8?ads.xumo_channelId=88885058&amp;ads.caid=Stingray2000sUS&amp;ads.csid=tivo_stingray2000sus_ssai&amp;ads.coppa=0&amp;ads.provider_id=3756&amp;ads.content_producer_id=3756&amp;ads.content_producer=Stingray2000sUS&amp;ads.content_network=Stingray2000sUS&amp;ads.xumo_streamId=88885058&amp;ads.content_length=&amp;ads.content_language=en&amp;ads.content_category=IAB1-6&amp;ads.content_genre=Music&amp;ads.content_rating=tv-g&amp;ads.content_channel=Stingray2000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</si>
  <si>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99065</t>
  </si>
  <si>
    <t>Stingray Nothin' but the 90s</t>
  </si>
  <si>
    <t>SM007-US</t>
  </si>
  <si>
    <t>XUMO-Stingray Nothin' but the 90s</t>
  </si>
  <si>
    <t>https:TIVOPLUS_BLANK//db32be3yl2hko.cloudfront.net/11302/88885067/hls/master.m3u8?ads.xumo_channelId=88885067&amp;ads.caid=Stingray90sUS&amp;ads.csid=tivo_stingray90sus_ssai&amp;ads.coppa=0&amp;ads.provider_id=3790&amp;ads.content_producer_id=3790&amp;ads.content_producer=Stingray90sUS&amp;ads.content_network=Stingray90sUS&amp;ads.xumo_streamId=88885067&amp;ads.content_length=&amp;ads.content_language=en&amp;ads.content_category=IAB1-6&amp;ads.content_genre=Music&amp;ads.content_rating=tv-g&amp;ads.content_channel=Stingray90s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</si>
  <si>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88885067/hls/master.m3u8?ads.xumo_channelId=88885067&amp;ads.caid=Stingray90sUS&amp;ads.csid=tivo_stingray90sus_ssai&amp;ads.coppa=0&amp;ads.provider_id=3790&amp;ads.content_producer_id=3790&amp;ads.content_producer=Stingray90sUS&amp;ads.content_network=Stingray90sUS&amp;ads.xumo_streamId=88885067&amp;ads.content_length=&amp;ads.content_language=en&amp;ads.content_category=IAB1-6&amp;ads.content_genre=Music&amp;ads.content_rating=tv-g&amp;ads.content_channel=StingrayNothingbutthe90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</si>
  <si>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99066</t>
  </si>
  <si>
    <t>Stingray Remember the 80s</t>
  </si>
  <si>
    <t>SM03-US</t>
  </si>
  <si>
    <t>XUMO-Stingray Remember the 80s</t>
  </si>
  <si>
    <t>https:TIVOPLUS_BLANK//db32be3yl2hko.cloudfront.net/11302/88885069/hls/master.m3u8?ads.xumo_channelId=88885069&amp;ads.caid=StingrayEverything80s&amp;ads.csid=tivo_stingrayeverything80s_ssai&amp;ads.coppa=0&amp;ads.provider_id=2184&amp;ads.content_producer_id=2184&amp;ads.content_producer=StingrayEverything80s&amp;ads.content_network=StingrayEverything80s&amp;ads.xumo_streamId=88885069&amp;ads.content_length=&amp;ads.content_language=en&amp;ads.content_category=IAB1-6&amp;ads.content_genre=Music&amp;ads.content_rating=tv-g&amp;ads.content_channel=StingrayEverything80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</si>
  <si>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88885069/hls/master.m3u8?ads.xumo_channelId=88885069&amp;ads.caid=StingrayEverything80s&amp;ads.csid=tivo_stingrayeverything80s_ssai&amp;ads.coppa=0&amp;ads.provider_id=2184&amp;ads.content_producer_id=2184&amp;ads.content_producer=StingrayEverything80s&amp;ads.content_network=StingrayEverything80s&amp;ads.xumo_streamId=88885069&amp;ads.content_length=&amp;ads.content_language=en&amp;ads.content_category=IAB1-6&amp;ads.content_genre=Music&amp;ads.content_rating=tv-g&amp;ads.content_channel=StingrayRememberthe80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</si>
  <si>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99067</t>
  </si>
  <si>
    <t>Stingray Classic Rock</t>
  </si>
  <si>
    <t>SM012-US</t>
  </si>
  <si>
    <t>XUMO-Stingray Classic Rock</t>
  </si>
  <si>
    <t>https:TIVOPLUS_BLANK//db32be3yl2hko.cloudfront.net/11302/88885059/hls/master.m3u8?ads.xumo_channelId=88885059&amp;ads.caid=StingrayClassicRock&amp;ads.csid=tivo_stingrayclassicrock_ssai&amp;ads.coppa=0&amp;ads.provider_id=1856&amp;ads.content_producer_id=1856&amp;ads.content_producer=StingrayClassicRock&amp;ads.content_network=StingrayClassicRock&amp;ads.xumo_streamId=88885059&amp;ads.content_length=&amp;ads.content_language=en&amp;ads.content_category=IAB1-6&amp;ads.content_genre=Music&amp;ads.content_rating=tv-g&amp;ads.content_channel=StingrayClassicRock&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</si>
  <si>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88885059/hls/master.m3u8?ads.xumo_channelId=88885059&amp;ads.caid=StingrayClassicRock&amp;ads.csid=tivo_stingrayclassicrock_ssai&amp;ads.coppa=0&amp;ads.provider_id=1856&amp;ads.content_producer_id=1856&amp;ads.content_producer=StingrayClassicRock&amp;ads.content_network=StingrayClassicRock&amp;ads.xumo_streamId=88885059&amp;ads.content_length=&amp;ads.content_language=en&amp;ads.content_category=IAB1-6&amp;ads.content_genre=Music&amp;ads.content_rating=tv-g&amp;ads.content_channel=StingrayClassicRock&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</si>
  <si>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99068</t>
  </si>
  <si>
    <t>Stingray Hot Country</t>
  </si>
  <si>
    <t>SM021-US</t>
  </si>
  <si>
    <t>XUMO-Stingray Hot Country</t>
  </si>
  <si>
    <t>https:TIVOPLUS_BLANK//db32be3yl2hko.cloudfront.net/11302/88885066/hls/master.m3u8?ads.xumo_channelId=88885066&amp;ads.caid=StingrayHotCountry&amp;ads.csid=tivo_stingrayhotcountry_ssai&amp;ads.coppa=0&amp;ads.provider_id=1859&amp;ads.content_producer_id=1859&amp;ads.content_producer=StingrayHotCountry&amp;ads.content_network=StingrayHotCountry&amp;ads.xumo_streamId=88885066&amp;ads.content_length=&amp;ads.content_language=en&amp;ads.content_category=IAB1-6&amp;ads.content_genre=Music&amp;ads.content_rating=tv-g&amp;ads.content_channel=StingrayHotCountry&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</si>
  <si>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88885066/hls/master.m3u8?ads.xumo_channelId=88885066&amp;ads.caid=StingrayHotCountry&amp;ads.csid=tivo_stingrayhotcountry_ssai&amp;ads.coppa=0&amp;ads.provider_id=1859&amp;ads.content_producer_id=1859&amp;ads.content_producer=StingrayHotCountry&amp;ads.content_network=StingrayHotCountry&amp;ads.xumo_streamId=88885066&amp;ads.content_length=&amp;ads.content_language=en&amp;ads.content_category=IAB1-6&amp;ads.content_genre=Music&amp;ads.content_rating=tv-g&amp;ads.content_channel=StingrayHotCountr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</si>
  <si>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99069</t>
  </si>
  <si>
    <t>Stingray Hip Hop</t>
  </si>
  <si>
    <t>SM030-US</t>
  </si>
  <si>
    <t>XUMO-Stingray Hip Hop</t>
  </si>
  <si>
    <t>https:TIVOPLUS_BLANK//db32be3yl2hko.cloudfront.net/11302/88885064/hls/master.m3u8?ads.xumo_channelId=88885064&amp;ads.caid=StingrayHipHop&amp;ads.csid=tivo_stingrayhiphop_ssai&amp;ads.coppa=0&amp;ads.provider_id=3195&amp;ads.content_producer_id=3195&amp;ads.content_producer=StingrayHipHop&amp;ads.content_network=StingrayHipHop&amp;ads.xumo_streamId=88885064&amp;ads.content_length=&amp;ads.content_language=en&amp;ads.content_category=IAB1-6&amp;ads.content_genre=Music&amp;ads.content_rating=tv-g&amp;ads.content_channel=StingrayHipHop&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</si>
  <si>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88885064/hls/master.m3u8?ads.xumo_channelId=88885064&amp;ads.caid=StingrayHipHop&amp;ads.csid=tivo_stingrayhiphop_ssai&amp;ads.coppa=0&amp;ads.provider_id=3195&amp;ads.content_producer_id=3195&amp;ads.content_producer=StingrayHipHop&amp;ads.content_network=StingrayHipHop&amp;ads.xumo_streamId=88885064&amp;ads.content_length=&amp;ads.content_language=en&amp;ads.content_category=IAB1-6&amp;ads.content_genre=Music&amp;ads.content_rating=tv-g&amp;ads.content_channel=StingrayHipHo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</si>
  <si>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99070</t>
  </si>
  <si>
    <t>Stingray Pop Adult</t>
  </si>
  <si>
    <t>SM002-US</t>
  </si>
  <si>
    <t>XUMO-Stingray Pop Adult</t>
  </si>
  <si>
    <t>https:TIVOPLUS_BLANK//db32be3yl2hko.cloudfront.net/11302/88885068/hls/master.m3u8?ads.xumo_channelId=88885068&amp;ads.caid=StingrayPopAdult&amp;ads.csid=tivo_stingraypopadult_ssai&amp;ads.coppa=0&amp;ads.provider_id=3197&amp;ads.content_producer_id=3197&amp;ads.content_producer=StingrayPopAdult&amp;ads.content_network=StingrayPopAdult&amp;ads.xumo_streamId=88885068&amp;ads.content_length=&amp;ads.content_language=en&amp;ads.content_category=IAB1-6&amp;ads.content_genre=Music&amp;ads.content_rating=tv-g&amp;ads.content_channel=StingrayPopAdult&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</si>
  <si>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88885068/hls/master.m3u8?ads.xumo_channelId=88885068&amp;ads.caid=StingrayPopAdult&amp;ads.csid=tivo_stingraypopadult_ssai&amp;ads.coppa=0&amp;ads.provider_id=3197&amp;ads.content_producer_id=3197&amp;ads.content_producer=StingrayPopAdult&amp;ads.content_network=StingrayPopAdult&amp;ads.xumo_streamId=88885068&amp;ads.content_length=&amp;ads.content_language=en&amp;ads.content_category=IAB1-6&amp;ads.content_genre=Music&amp;ads.content_rating=tv-g&amp;ads.content_channel=StingrayPopAdult&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</si>
  <si>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99071</t>
  </si>
  <si>
    <t>Utimate Trivia by Stingray</t>
  </si>
  <si>
    <t>ULTTRVXU</t>
  </si>
  <si>
    <t>XUMO-Utimate Trivia by Stingray</t>
  </si>
  <si>
    <t>https:TIVOPLUS_BLANK//db32be3yl2hko.cloudfront.net/11302/88885123/hls/master.m3u8?ads.xumo_channelId=88885123&amp;ads.caid=UltimateTriviabyStingray&amp;ads.csid=tivo_ultimatetriviabystingray_ssai&amp;ads.coppa=0&amp;ads.provider_id=4000&amp;ads.content_producer_id=4000&amp;ads.content_producer=UltimateTriviabyStingray&amp;ads.content_network=UltimateTriviabyStingray&amp;ads.xumo_streamId=88885123&amp;ads.content_length=&amp;ads.content_language=en&amp;ads.content_category=IAB1-6&amp;ads.content_genre=Music&amp;ads.content_rating=tv-g&amp;ads.content_channel=UltimateTriviabyStingray&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</si>
  <si>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88885123/hls/master.m3u8?ads.xumo_channelId=88885123&amp;ads.caid=UltimateTriviabyStingray&amp;ads.csid=tivo_ultimatetriviabystingray_ssai&amp;ads.coppa=0&amp;ads.provider_id=4000&amp;ads.content_producer_id=4000&amp;ads.content_producer=UltimateTriviabyStingray&amp;ads.content_network=UltimateTriviabyStingray&amp;ads.xumo_streamId=88885123&amp;ads.content_length=&amp;ads.content_language=en&amp;ads.content_category=IAB1-6&amp;ads.content_genre=Music&amp;ads.content_rating=tv-g&amp;ads.content_channel=UltimateTrivia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</si>
  <si>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99026</t>
  </si>
  <si>
    <t>Stingray Karaoke</t>
  </si>
  <si>
    <t>STKARXU</t>
  </si>
  <si>
    <t>XUMO-Stingray Karaoke</t>
  </si>
  <si>
    <t>https:TIVOPLUS_BLANK//db32be3yl2hko.cloudfront.net/11302/88885121/hls/master.m3u8?ads.xumo_channelId=88885121&amp;ads.caid=StingrayKaraoke&amp;ads.csid=tivo_stingraykaraoke_ssai&amp;ads.coppa=0&amp;ads.provider_id=1824&amp;ads.content_producer_id=1824&amp;ads.content_producer=StingrayKaraoke&amp;ads.content_network=StingrayKaraoke&amp;ads.xumo_streamId=88885121&amp;ads.content_length=&amp;ads.content_language=en&amp;ads.content_category=IAB1-6&amp;ads.content_genre=Music&amp;ads.content_rating=tv-g&amp;ads.content_channel=StingrayKaraok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</si>
  <si>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88885121/hls/master.m3u8?ads.xumo_channelId=88885121&amp;ads.caid=StingrayKaraoke&amp;ads.csid=tivo_stingraykaraoke_ssai&amp;ads.coppa=0&amp;ads.provider_id=1824&amp;ads.content_producer_id=1824&amp;ads.content_producer=StingrayKaraoke&amp;ads.content_network=StingrayKaraoke&amp;ads.xumo_streamId=88885121&amp;ads.content_length=&amp;ads.content_language=en&amp;ads.content_category=IAB1-6&amp;ads.content_genre=Music&amp;ads.content_rating=tv-g&amp;ads.content_channel=StingrayKaraok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</si>
  <si>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99073</t>
  </si>
  <si>
    <t>Stingray Classica</t>
  </si>
  <si>
    <t>STCLASS-CAN</t>
  </si>
  <si>
    <t>XUMO-Stingray Classica</t>
  </si>
  <si>
    <t>https:TIVOPLUS_BLANK//db32be3yl2hko.cloudfront.net/11302/88885117/hls/master.m3u8?ads.xumo_channelId=88885117&amp;ads.caid=StingrayClassica&amp;ads.csid=tivo_stingrayclassica_ssai&amp;ads.coppa=0&amp;ads.provider_id=3920&amp;ads.content_producer_id=3920&amp;ads.content_producer=stingrayclassicaus&amp;ads.content_network=stingrayclassicaus&amp;ads.xumo_streamId=88885117&amp;ads.content_length=&amp;ads.content_language=en&amp;ads.content_category=IAB1-6&amp;ads.content_genre=Music&amp;ads.content_rating=tv-g&amp;ads.content_channel=stingrayclassica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</si>
  <si>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88885117/hls/master.m3u8?ads.xumo_channelId=88885117&amp;ads.caid=StingrayClassica&amp;ads.csid=tivo_stingrayclassica_ssai&amp;ads.coppa=0&amp;ads.provider_id=3920&amp;ads.content_producer_id=3920&amp;ads.content_producer=stingrayclassicaus&amp;ads.content_network=stingrayclassicaus&amp;ads.xumo_streamId=88885117&amp;ads.content_length=&amp;ads.content_language=en&amp;ads.content_category=IAB1-6&amp;ads.content_genre=Music&amp;ads.content_rating=tv-g&amp;ads.content_channel=StingrayClassic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</si>
  <si>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99022</t>
  </si>
  <si>
    <t>Movie Music by Stingray</t>
  </si>
  <si>
    <t>STMMXU</t>
  </si>
  <si>
    <t>XUMO-Movie Music by Stingray</t>
  </si>
  <si>
    <t>https:TIVOPLUS_BLANK//db32be3yl2hko.cloudfront.net/11302/88885118/hls/master.m3u8?ads.xumo_channelId=88885118&amp;ads.caid=StingrayCMusicUS&amp;ads.csid=tivo_stingraycmusicus_ssai&amp;ads.coppa=0&amp;ads.provider_id=3922&amp;ads.content_producer_id=3922&amp;ads.content_producer=stingraycmusicus&amp;ads.content_network=stingraycmusicus&amp;ads.xumo_streamId=88885118&amp;ads.content_length=&amp;ads.content_language=en&amp;ads.content_category=IAB1-6&amp;ads.content_genre=Music&amp;ads.content_rating=tv-g&amp;ads.content_channel=stingraycmusic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</si>
  <si>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88885118/hls/master.m3u8?ads.xumo_channelId=88885118&amp;ads.caid=StingrayCMusicUS&amp;ads.csid=tivo_stingraycmusicus_ssai&amp;ads.coppa=0&amp;ads.provider_id=3922&amp;ads.content_producer_id=3922&amp;ads.content_producer=stingraycmusicus&amp;ads.content_network=stingraycmusicus&amp;ads.xumo_streamId=88885118&amp;ads.content_length=&amp;ads.content_language=en&amp;ads.content_category=IAB1-6&amp;ads.content_genre=Music&amp;ads.content_rating=tv-g&amp;ads.content_channel=StingrayCMusic&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</si>
  <si>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99023</t>
  </si>
  <si>
    <t>Stingray DJAZZ</t>
  </si>
  <si>
    <t>STDJAXU</t>
  </si>
  <si>
    <t>XUMO-Stingray DJAZZ</t>
  </si>
  <si>
    <t>https:TIVOPLUS_BLANK//db32be3yl2hko.cloudfront.net/11302/88885119/hls/master.m3u8?ads.xumo_channelId=88885119&amp;ads.caid=StingrayDJAZZ&amp;ads.csid=tivo_stingraydjazz_ssai&amp;ads.coppa=0&amp;ads.provider_id=3909&amp;ads.content_producer_id=3909&amp;ads.content_producer=StingrayDjazz&amp;ads.content_network=StingrayDjazz&amp;ads.xumo_streamId=88885119&amp;ads.content_length=&amp;ads.content_language=en&amp;ads.content_category=IAB1-6&amp;ads.content_genre=Music&amp;ads.content_rating=tv-g&amp;ads.content_channel=StingrayDjazz&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</si>
  <si>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88885119/hls/master.m3u8?ads.xumo_channelId=88885119&amp;ads.caid=StingrayDJAZZ&amp;ads.csid=tivo_stingraydjazz_ssai&amp;ads.coppa=0&amp;ads.provider_id=3909&amp;ads.content_producer_id=3909&amp;ads.content_producer=StingrayDjazz&amp;ads.content_network=StingrayDjazz&amp;ads.xumo_streamId=88885119&amp;ads.content_length=&amp;ads.content_language=en&amp;ads.content_category=IAB1-6&amp;ads.content_genre=Music&amp;ads.content_rating=tv-g&amp;ads.content_channel=StingrayDJAZZ&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</si>
  <si>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99024</t>
  </si>
  <si>
    <t>Stingray Smooth Jazz</t>
  </si>
  <si>
    <t>SM033-US</t>
  </si>
  <si>
    <t>XUMO-Stingray Smooth Jazz</t>
  </si>
  <si>
    <t>https:TIVOPLUS_BLANK//db32be3yl2hko.cloudfront.net/11302/88885070/hls/master.m3u8?ads.xumo_channelId=88885070&amp;ads.caid=StingraySmoothJazz&amp;ads.csid=tivo_stingraysmoothjazz_ssai&amp;ads.coppa=0&amp;ads.provider_id=3538&amp;ads.content_producer_id=3538&amp;ads.content_producer=StingraySmoothJazz&amp;ads.content_network=StingraySmoothJazz&amp;ads.xumo_streamId=88885070&amp;ads.content_length=&amp;ads.content_language=en&amp;ads.content_category=IAB1-6&amp;ads.content_genre=Music&amp;ads.content_rating=tv-g&amp;ads.content_channel=StingraySmoothJazz&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</si>
  <si>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88885070/hls/master.m3u8?ads.xumo_channelId=88885070&amp;ads.caid=StingraySmoothJazz&amp;ads.csid=tivo_stingraysmoothjazz_ssai&amp;ads.coppa=0&amp;ads.provider_id=3538&amp;ads.content_producer_id=3538&amp;ads.content_producer=StingraySmoothJazz&amp;ads.content_network=StingraySmoothJazz&amp;ads.xumo_streamId=88885070&amp;ads.content_length=&amp;ads.content_language=en&amp;ads.content_category=IAB1-6&amp;ads.content_genre=Music&amp;ads.content_rating=tv-g&amp;ads.content_channel=StingraySmoothJazz&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</si>
  <si>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99079</t>
  </si>
  <si>
    <t>Stingray Soul Storm</t>
  </si>
  <si>
    <t>SM027-US</t>
  </si>
  <si>
    <t>XUMO-Stingray Soul Storm</t>
  </si>
  <si>
    <t>https:TIVOPLUS_BLANK//db32be3yl2hko.cloudfront.net/11302/88885071/hls/master.m3u8?ads.xumo_channelId=88885071&amp;ads.caid=StingraySoulStorm&amp;ads.csid=tivo_stingraysoulstorm_ssai&amp;ads.coppa=0&amp;ads.provider_id=1860&amp;ads.content_producer_id=1860&amp;ads.content_producer=StingraySoulStorm&amp;ads.content_network=StingraySoulStorm&amp;ads.xumo_streamId=88885071&amp;ads.content_length=&amp;ads.content_language=en&amp;ads.content_category=IAB1-6&amp;ads.content_genre=Music&amp;ads.content_rating=tv-g&amp;ads.content_channel=StingraySoulStorm&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</si>
  <si>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88885071/hls/master.m3u8?ads.xumo_channelId=88885071&amp;ads.caid=StingraySoulStorm&amp;ads.csid=tivo_stingraysoulstorm_ssai&amp;ads.coppa=0&amp;ads.provider_id=1860&amp;ads.content_producer_id=1860&amp;ads.content_producer=StingraySoulStorm&amp;ads.content_network=StingraySoulStorm&amp;ads.xumo_streamId=88885071&amp;ads.content_length=&amp;ads.content_language=en&amp;ads.content_category=IAB1-6&amp;ads.content_genre=Music&amp;ads.content_rating=tv-g&amp;ads.content_channel=StingraySoulStorm&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</si>
  <si>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99088</t>
  </si>
  <si>
    <t>Stingray Easy Listening</t>
  </si>
  <si>
    <t>SM036-US</t>
  </si>
  <si>
    <t>XUMO-Stingray Easy Listening</t>
  </si>
  <si>
    <t>https:TIVOPLUS_BLANK//db32be3yl2hko.cloudfront.net/11302/88885060/hls/master.m3u8?ads.xumo_channelId=88885060&amp;ads.caid=StingrayEasyListening&amp;ads.csid=tivo_stingrayeasylistening_ssai&amp;ads.coppa=0&amp;ads.provider_id=3539&amp;ads.content_producer_id=3539&amp;ads.content_producer=StingrayEasyListening&amp;ads.content_network=StingrayEasyListening&amp;ads.xumo_streamId=88885060&amp;ads.content_length=&amp;ads.content_language=en&amp;ads.content_category=IAB1-6&amp;ads.content_genre=Music&amp;ads.content_rating=tv-g&amp;ads.content_channel=StingrayEasyListening&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</si>
  <si>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88885060/hls/master.m3u8?ads.xumo_channelId=88885060&amp;ads.caid=StingrayEasyListening&amp;ads.csid=tivo_stingrayeasylistening_ssai&amp;ads.coppa=0&amp;ads.provider_id=3539&amp;ads.content_producer_id=3539&amp;ads.content_producer=StingrayEasyListening&amp;ads.content_network=StingrayEasyListening&amp;ads.xumo_streamId=88885060&amp;ads.content_length=&amp;ads.content_language=en&amp;ads.content_category=IAB1-6&amp;ads.content_genre=Music&amp;ads.content_rating=tv-g&amp;ads.content_channel=StingrayEasyListening&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</si>
  <si>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99089</t>
  </si>
  <si>
    <t>Stingray Naturescape</t>
  </si>
  <si>
    <t>NATESXU</t>
  </si>
  <si>
    <t>XUMO-Stingray Naturescape</t>
  </si>
  <si>
    <t>https:TIVOPLUS_BLANK//db32be3yl2hko.cloudfront.net/11302/88885086/hls/master.m3u8?ads.xumo_channelId=88885086&amp;ads.caid=StingrayNaturescape&amp;ads.csid=tivo_stingraynaturescape_ssai&amp;ads.coppa=0&amp;ads.provider_id=188&amp;ads.content_producer_id=188&amp;ads.content_producer=StingrayAmbiance&amp;ads.content_network=StingrayAmbiance&amp;ads.xumo_streamId=88885086&amp;ads.content_length=&amp;ads.content_language=en&amp;ads.content_category=IAB1-6&amp;ads.content_genre=Music&amp;ads.content_rating=tv-g&amp;ads.content_channel=StingrayAmbianc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</si>
  <si>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88885086/hls/master.m3u8?ads.xumo_channelId=88885086&amp;ads.caid=StingrayNaturescape&amp;ads.csid=tivo_stingraynaturescape_ssai&amp;ads.coppa=0&amp;ads.provider_id=188&amp;ads.content_producer_id=188&amp;ads.content_producer=StingrayAmbiance&amp;ads.content_network=StingrayAmbiance&amp;ads.xumo_streamId=88885086&amp;ads.content_length=&amp;ads.content_language=en&amp;ads.content_category=IAB1-6&amp;ads.content_genre=Music&amp;ads.content_rating=tv-g&amp;ads.content_channel=StingrayNaturescap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</si>
  <si>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99020</t>
  </si>
  <si>
    <t>Stingray Holidayscapes</t>
  </si>
  <si>
    <t>HOLIYXU</t>
  </si>
  <si>
    <t>XUMO-Stingray Holidayscapes</t>
  </si>
  <si>
    <t>https:TIVOPLUS_BLANK//db32be3yl2hko.cloudfront.net/11302/88885120/hls/master.m3u8?ads.xumo_channelId=88885120&amp;ads.caid=StingrayHolidayscapes&amp;ads.csid=tivo_stingrayholidayscapes_ssai&amp;ads.coppa=0&amp;ads.provider_id=4001&amp;ads.content_producer_id=4001&amp;ads.content_producer=StingrayHolidayscapes&amp;ads.content_network=StingrayHolidayscapes&amp;ads.xumo_streamId=88885120&amp;ads.content_length=&amp;ads.content_language=en&amp;ads.content_category=IAB1-6&amp;ads.content_genre=Music&amp;ads.content_rating=tv-g&amp;ads.content_channel=StingrayHolidayscape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</si>
  <si>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88885120/hls/master.m3u8?ads.xumo_channelId=88885120&amp;ads.caid=StingrayHolidayscapes&amp;ads.csid=tivo_stingrayholidayscapes_ssai&amp;ads.coppa=0&amp;ads.provider_id=4001&amp;ads.content_producer_id=4001&amp;ads.content_producer=StingrayHolidayscapes&amp;ads.content_network=StingrayHolidayscapes&amp;ads.xumo_streamId=88885120&amp;ads.content_length=&amp;ads.content_language=en&amp;ads.content_category=IAB1-6&amp;ads.content_genre=Music&amp;ads.content_rating=tv-g&amp;ads.content_channel=StingrayHolidayscap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</si>
  <si>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99025</t>
  </si>
  <si>
    <t>ZenLIFE by Stingray</t>
  </si>
  <si>
    <t>ZENLIXU</t>
  </si>
  <si>
    <t>XUMO-ZenLIFE by Stingray</t>
  </si>
  <si>
    <t>https:TIVOPLUS_BLANK//db32be3yl2hko.cloudfront.net/11302/88885057/hls/master.m3u8?ads.xumo_channelId=88885057&amp;ads.caid=StingrayZenlife&amp;ads.csid=tivo_stingrayzenlife_ssai&amp;ads.coppa=0&amp;ads.provider_id=3975&amp;ads.content_producer_id=3975&amp;ads.content_producer=StingrayZenlife&amp;ads.content_network=StingrayZenlife&amp;ads.xumo_streamId=88885057&amp;ads.content_length=&amp;ads.content_language=en&amp;ads.content_category=IAB1-6&amp;ads.content_genre=Music&amp;ads.content_rating=tv-g&amp;ads.content_channel=StingrayZenlife&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</si>
  <si>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88885057/hls/master.m3u8?ads.xumo_channelId=88885057&amp;ads.caid=StingrayZenlife&amp;ads.csid=tivo_stingrayzenlife_ssai&amp;ads.coppa=0&amp;ads.provider_id=3975&amp;ads.content_producer_id=3975&amp;ads.content_producer=StingrayZenlife&amp;ads.content_network=StingrayZenlife&amp;ads.xumo_streamId=88885057&amp;ads.content_length=&amp;ads.content_language=en&amp;ads.content_category=IAB1-6&amp;ads.content_genre=Music&amp;ads.content_rating=tv-g&amp;ads.content_channel=ZENLife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</si>
  <si>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99027</t>
  </si>
  <si>
    <t>Stingray SPA</t>
  </si>
  <si>
    <t>SM035-US</t>
  </si>
  <si>
    <t>XUMO-Stingray SPA</t>
  </si>
  <si>
    <t>https:TIVOPLUS_BLANK//db32be3yl2hko.cloudfront.net/11302/88885072/hls/master.m3u8?ads.xumo_channelId=88885072&amp;ads.caid=StingraySpa&amp;ads.csid=tivo_stingrayspa_ssai&amp;ads.coppa=0&amp;ads.provider_id=3537&amp;ads.content_producer_id=3537&amp;ads.content_producer=StingraySpa&amp;ads.content_network=StingraySpa&amp;ads.xumo_streamId=88885072&amp;ads.content_length=&amp;ads.content_language=en&amp;ads.content_category=IAB1-6&amp;ads.content_genre=Music&amp;ads.content_rating=tv-g&amp;ads.content_channel=StingraySpa&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</si>
  <si>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88885072/hls/master.m3u8?ads.xumo_channelId=88885072&amp;ads.caid=StingraySpa&amp;ads.csid=tivo_stingrayspa_ssai&amp;ads.coppa=0&amp;ads.provider_id=3537&amp;ads.content_producer_id=3537&amp;ads.content_producer=StingraySpa&amp;ads.content_network=StingraySpa&amp;ads.xumo_streamId=88885072&amp;ads.content_length=&amp;ads.content_language=en&amp;ads.content_category=IAB1-6&amp;ads.content_genre=Music&amp;ads.content_rating=tv-g&amp;ads.content_channel=StingraySP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</si>
  <si>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99090</t>
  </si>
  <si>
    <t>Stingray Euro Hits</t>
  </si>
  <si>
    <t>STEUROXUMO</t>
  </si>
  <si>
    <t>XUMO-Stingray Euro Hits</t>
  </si>
  <si>
    <t>https:TIVOPLUS_BLANK//db32be3yl2hko.cloudfront.net/11302/88885061/hls/master.m3u8?ads.xumo_channelId=88885061&amp;ads.caid=StingrayEuroHitsUS&amp;ads.csid=tivo_stingrayeurohitsus_ssai&amp;ads.coppa=0&amp;ads.provider_id=3781&amp;ads.content_producer_id=3781&amp;ads.content_producer=StingrayEuroHitsUS&amp;ads.content_network=StingrayEuroHitsUS&amp;ads.xumo_streamId=88885061&amp;ads.content_length=&amp;ads.content_language=en&amp;ads.content_category=IAB1-6&amp;ads.content_genre=Music&amp;ads.content_rating=tv-g&amp;ads.content_channel=StingrayEuroHits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</si>
  <si>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88885061/hls/master.m3u8?ads.xumo_channelId=88885061&amp;ads.caid=StingrayEuroHitsUS&amp;ads.csid=tivo_stingrayeurohitsus_ssai&amp;ads.coppa=0&amp;ads.provider_id=3781&amp;ads.content_producer_id=3781&amp;ads.content_producer=StingrayEuroHitsUS&amp;ads.content_network=StingrayEuroHitsUS&amp;ads.xumo_streamId=88885061&amp;ads.content_length=&amp;ads.content_language=en&amp;ads.content_category=IAB1-6&amp;ads.content_genre=Music&amp;ads.content_rating=tv-g&amp;ads.content_channel=StingrayEuroHit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</si>
  <si>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99091</t>
  </si>
  <si>
    <t>Stingray Today's K-Pop</t>
  </si>
  <si>
    <t>SM168-CAN</t>
  </si>
  <si>
    <t>XUMO-Stingray Today's K-Pop</t>
  </si>
  <si>
    <t>https:TIVOPLUS_BLANK//db32be3yl2hko.cloudfront.net/11302/88885073/hls/master.m3u8?ads.xumo_channelId=88885073&amp;ads.caid=StingrayKPopUS&amp;ads.csid=tivo_stingraykpopus_ssai&amp;ads.coppa=0&amp;ads.provider_id=3761&amp;ads.content_producer_id=3761&amp;ads.content_producer=StingrayKPopUS&amp;ads.content_network=StingrayKPopUS&amp;ads.xumo_streamId=88885073&amp;ads.content_length=&amp;ads.content_language=en&amp;ads.content_category=IAB1-6&amp;ads.content_genre=Music&amp;ads.content_rating=tv-g&amp;ads.content_channel=StingrayKPopUS&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</si>
  <si>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88885073/hls/master.m3u8?ads.xumo_channelId=88885073&amp;ads.caid=StingrayKPopUS&amp;ads.csid=tivo_stingraykpopus_ssai&amp;ads.coppa=0&amp;ads.provider_id=3761&amp;ads.content_producer_id=3761&amp;ads.content_producer=StingrayKPopUS&amp;ads.content_network=StingrayKPopUS&amp;ads.xumo_streamId=88885073&amp;ads.content_length=&amp;ads.content_language=en&amp;ads.content_category=IAB1-6&amp;ads.content_genre=Music&amp;ads.content_rating=tv-g&amp;ads.content_channel=StingrayTodaysKPo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</si>
  <si>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99092</t>
  </si>
  <si>
    <t>Stingray Exitos del momento</t>
  </si>
  <si>
    <t>SM045-US</t>
  </si>
  <si>
    <t>XUMO-Stingray Exitos del momento</t>
  </si>
  <si>
    <t>https:TIVOPLUS_BLANK//db32be3yl2hko.cloudfront.net/11302/88885062/hls/master.m3u8?ads.xumo_channelId=88885062&amp;ads.caid=StingrayExitosdelMomento&amp;ads.csid=tivo_stingrayexitosdelmomento_ssai&amp;ads.coppa=0&amp;ads.provider_id=3196&amp;ads.content_producer_id=3196&amp;ads.content_producer=StingrayExitosdelMomento&amp;ads.content_network=StingrayExitosdelMomento&amp;ads.xumo_streamId=88885062&amp;ads.content_length=&amp;ads.content_language=en&amp;ads.content_category=IAB1-6&amp;ads.content_genre=Music&amp;ads.content_rating=tv-g&amp;ads.content_channel=StingrayExitosdelMomento&amp;ads.app_name=TiVoPlus&amp;ads.app_version=FrumosPre120&amp;ads.app_bundle=tivo.entertainment&amp;ads.did=TIVOPLUS_DEV_ID&amp;ads.did_type=TIVOPLUS_DEV_TYPE&amp;ads.is_lat=TIVOPLUS_DEV_LAT&amp;ads.us_privacy=&amp;ads.gdpr=&amp;ads.gdpr_consent=&amp;ads.app_domain=tivo.com&amp;ads.device_type=7-Set_Top_Box&amp;ads.app_store_url=&amp;ads.tivo_kvps=partnername%253DXumo%2526mvpd%253DTIVOPLUS_MVPD%2526adunittype%253DVideo%2526sz%253D1920x1080%2526contenttype%253DLinear%2526uxloc%253DIn-app%2526apptype%253DEntertainment%2526videotype%253Dmid-roll%2526devcountry%253D%2526usid%253D%2526devlang%253D%2526platform%253DIPTV%2526devmake%253D%2526devbrand%253D%2526devmodel%253D%2526devmakedate%253D</t>
  </si>
  <si>
    <t>https:TIVOPLUS_BLANK//db32be3yl2hko.cloudfront.net/11302/88885062/hls/master.m3u8?ads.xumo_channelId=88885062&amp;ads.caid=StingrayExitosdelMomento&amp;ads.csid=tivo_stingrayexitosdelmomento_ssai&amp;ads.coppa=0&amp;ads.provider_id=3196&amp;ads.content_producer_id=3196&amp;ads.content_producer=StingrayExitosdelMomento&amp;ads.content_network=StingrayExitosdelMomento&amp;ads.xumo_streamId=88885062&amp;ads.content_length=&amp;ads.content_language=en&amp;ads.content_category=IAB1-6&amp;ads.content_genre=Music&amp;ads.content_rating=tv-g&amp;ads.content_channel=StingrayExitosdelmomento&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</si>
  <si>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99093</t>
  </si>
  <si>
    <t>Plex</t>
  </si>
  <si>
    <t>FOX Weather</t>
  </si>
  <si>
    <t>5e20b730f2f8d5003d739db7-6351b29cb940534786b2ec17</t>
  </si>
  <si>
    <t>FXWTH</t>
  </si>
  <si>
    <t>517699255</t>
  </si>
  <si>
    <t>LiveNOW from FOX</t>
  </si>
  <si>
    <t>5e20b730f2f8d5003d739db7-6377ea0e13bb6b1757e14695</t>
  </si>
  <si>
    <t>LIVNWFX</t>
  </si>
  <si>
    <t>517637657</t>
  </si>
  <si>
    <t>NBC News NOW</t>
  </si>
  <si>
    <t>5e20b730f2f8d5003d739db7-5fc70600dd53a6002d8f93ca</t>
  </si>
  <si>
    <t>NBCNEWNW</t>
  </si>
  <si>
    <t>517571296</t>
  </si>
  <si>
    <t>BBC News (North America)</t>
  </si>
  <si>
    <t>5e20b730f2f8d5003d739db7-646fab0e43d6d6838db81a6a</t>
  </si>
  <si>
    <t>BBCNA</t>
  </si>
  <si>
    <t>517699162</t>
  </si>
  <si>
    <t>Euronews</t>
  </si>
  <si>
    <t>5e20b730f2f8d5003d739db7-60089d90f682a3002c348299</t>
  </si>
  <si>
    <t>EURONWS</t>
  </si>
  <si>
    <t>517999900</t>
  </si>
  <si>
    <t>Reuters TV</t>
  </si>
  <si>
    <t>5e20b730f2f8d5003d739db7-5eea71d65252710041e0ccbc</t>
  </si>
  <si>
    <t>REUTTV</t>
  </si>
  <si>
    <t>495621087</t>
  </si>
  <si>
    <t>CBC News</t>
  </si>
  <si>
    <t>5e20b730f2f8d5003d739db7-64c91830ea7db2f52688c52c</t>
  </si>
  <si>
    <t>CBCNEWS</t>
  </si>
  <si>
    <t>517999896</t>
  </si>
  <si>
    <t>FRANCE 24</t>
  </si>
  <si>
    <t>5e20b730f2f8d5003d739db7-678fe7959407a53556d3e8eb</t>
  </si>
  <si>
    <t>FRNCE24</t>
  </si>
  <si>
    <t>517999895</t>
  </si>
  <si>
    <t>CNN Originals</t>
  </si>
  <si>
    <t>5e20b730f2f8d5003d739db7-66ad6025cb5d3b7fb5011c2d</t>
  </si>
  <si>
    <t>CNNORG</t>
  </si>
  <si>
    <t>517999899</t>
  </si>
  <si>
    <t>The Hill</t>
  </si>
  <si>
    <t>5e20b730f2f8d5003d739db7-62c4a65788737d6edc1a3626</t>
  </si>
  <si>
    <t>HILL</t>
  </si>
  <si>
    <t>483305715</t>
  </si>
  <si>
    <t>At the Movies</t>
  </si>
  <si>
    <t>5e20b730f2f8d5003d739db7-66a2c1370b91165254efdb3c</t>
  </si>
  <si>
    <t>ATMOV</t>
  </si>
  <si>
    <t>517571298</t>
  </si>
  <si>
    <t>Miramax Movie Channel</t>
  </si>
  <si>
    <t>5e20b730f2f8d5003d739db7-661fca34414d94009d1206ec</t>
  </si>
  <si>
    <t>MIRMXMV</t>
  </si>
  <si>
    <t>517571272</t>
  </si>
  <si>
    <t>National Lampoon</t>
  </si>
  <si>
    <t>5e20b730f2f8d5003d739db7-661fcbcf414d94009d1206ee</t>
  </si>
  <si>
    <t>NATLAMP</t>
  </si>
  <si>
    <t>517571265</t>
  </si>
  <si>
    <t>Plex24</t>
  </si>
  <si>
    <t>5e20b730f2f8d5003d739db7-66180428e06c9878b6d9d76c</t>
  </si>
  <si>
    <t>PLEX24</t>
  </si>
  <si>
    <t>501459335</t>
  </si>
  <si>
    <t>MyTime Movie Network</t>
  </si>
  <si>
    <t>5e20b730f2f8d5003d739db7-644875d7af92c31f4a190bc2</t>
  </si>
  <si>
    <t>MYTMNW</t>
  </si>
  <si>
    <t>495621243</t>
  </si>
  <si>
    <t>Tribeca Channel</t>
  </si>
  <si>
    <t>5e20b730f2f8d5003d739db7-60ede94f7da2ef002c55ce9b</t>
  </si>
  <si>
    <t>TRBCHA</t>
  </si>
  <si>
    <t>495510545</t>
  </si>
  <si>
    <t>Samuel Goldwyn Channel</t>
  </si>
  <si>
    <t>5e20b730f2f8d5003d739db7-6233ee9222dcc1d9a93916b6</t>
  </si>
  <si>
    <t>SAMGWYN</t>
  </si>
  <si>
    <t>517999846</t>
  </si>
  <si>
    <t>Samuel Goldwyn Classics</t>
  </si>
  <si>
    <t>5e20b730f2f8d5003d739db7-6233ef13ce37cac7a278664b</t>
  </si>
  <si>
    <t>SGCLASS</t>
  </si>
  <si>
    <t>483305709</t>
  </si>
  <si>
    <t>Midnight Pulp</t>
  </si>
  <si>
    <t>5e20b730f2f8d5003d739db7-5ef4e1b40d9ad000423c4427</t>
  </si>
  <si>
    <t>MDNGHTP</t>
  </si>
  <si>
    <t>495621071</t>
  </si>
  <si>
    <t>FilmRise Action</t>
  </si>
  <si>
    <t>5e20b730f2f8d5003d739db7-66ea0504c24d95b51b7cd189</t>
  </si>
  <si>
    <t>FLMRSAC</t>
  </si>
  <si>
    <t>517999890</t>
  </si>
  <si>
    <t>Gravitas Adrenaline</t>
  </si>
  <si>
    <t>5e20b730f2f8d5003d739db7-629141f6a0ed9c2b6ae63bb0</t>
  </si>
  <si>
    <t>GRAVAD</t>
  </si>
  <si>
    <t>495621186</t>
  </si>
  <si>
    <t>HerSphere by Lionsgate</t>
  </si>
  <si>
    <t>5e20b730f2f8d5003d739db7-644c4bc17472b186783f35a0</t>
  </si>
  <si>
    <t>HRSPRLG</t>
  </si>
  <si>
    <t>517571297</t>
  </si>
  <si>
    <t>Dove</t>
  </si>
  <si>
    <t>5e20b730f2f8d5003d739db7-5efe1de8e0b3f5003f5d9f91</t>
  </si>
  <si>
    <t>DOVEUS</t>
  </si>
  <si>
    <t>483305710</t>
  </si>
  <si>
    <t>Spark TV Light &amp; Love</t>
  </si>
  <si>
    <t>5e20b730f2f8d5003d739db7-614a11bfa6f839154ee3306d</t>
  </si>
  <si>
    <t>SPRKLIL</t>
  </si>
  <si>
    <t>517999851</t>
  </si>
  <si>
    <t>Christmas Plus</t>
  </si>
  <si>
    <t>5e20b730f2f8d5003d739db7-634700569d64afa6830d1521</t>
  </si>
  <si>
    <t>CHRPLUS</t>
  </si>
  <si>
    <t>517571278</t>
  </si>
  <si>
    <t>Documentary+</t>
  </si>
  <si>
    <t>5e20b730f2f8d5003d739db7-62f42e6cad0081c6ef405723</t>
  </si>
  <si>
    <t>DOCUPLS-CA</t>
  </si>
  <si>
    <t>513302864</t>
  </si>
  <si>
    <t>80's Sitcom Flashback</t>
  </si>
  <si>
    <t>5e20b730f2f8d5003d739db7-65fca98c60dc164e8f272332</t>
  </si>
  <si>
    <t>80SITCOM</t>
  </si>
  <si>
    <t>501459303</t>
  </si>
  <si>
    <t>Laff More</t>
  </si>
  <si>
    <t>5e20b730f2f8d5003d739db7-648095b14e104622d093d902</t>
  </si>
  <si>
    <t>LAFMRE</t>
  </si>
  <si>
    <t>517638101</t>
  </si>
  <si>
    <t>Highway to Heaven</t>
  </si>
  <si>
    <t>5e20b730f2f8d5003d739db7-64f1177d79fd56092f9061bf</t>
  </si>
  <si>
    <t>HWYHVN</t>
  </si>
  <si>
    <t>495621108</t>
  </si>
  <si>
    <t>McLeod's Daughters</t>
  </si>
  <si>
    <t>5e20b730f2f8d5003d739db7-6515fd4f2ff655e77635c628</t>
  </si>
  <si>
    <t>MCLDDG</t>
  </si>
  <si>
    <t>495621163</t>
  </si>
  <si>
    <t>The Kids in the Hall</t>
  </si>
  <si>
    <t>5e20b730f2f8d5003d739db7-670858335b42d01c9391e325</t>
  </si>
  <si>
    <t>KIDSHAL</t>
  </si>
  <si>
    <t>517939029</t>
  </si>
  <si>
    <t>Dick Van Dyke</t>
  </si>
  <si>
    <t>5e20b730f2f8d5003d739db7-6449369eb3ff17382cae5801</t>
  </si>
  <si>
    <t>DVDPLEX</t>
  </si>
  <si>
    <t>517699194</t>
  </si>
  <si>
    <t>ALF</t>
  </si>
  <si>
    <t>5e20b730f2f8d5003d739db7-62d1ecc8e44d39da220722aa</t>
  </si>
  <si>
    <t>ALFPLX</t>
  </si>
  <si>
    <t>517999880</t>
  </si>
  <si>
    <t>Shout! Factory TV Stream</t>
  </si>
  <si>
    <t>5e20b730f2f8d5003d739db7-60d4edd6b2fdec002c141127</t>
  </si>
  <si>
    <t>SHOUT</t>
  </si>
  <si>
    <t>495621185</t>
  </si>
  <si>
    <t>The Ed Sullivan Show</t>
  </si>
  <si>
    <t>5e20b730f2f8d5003d739db7-640205c68ecb41f2d89d5814</t>
  </si>
  <si>
    <t>EDSHLW</t>
  </si>
  <si>
    <t>495621131</t>
  </si>
  <si>
    <t>Johnny Carson TV</t>
  </si>
  <si>
    <t>5e20b730f2f8d5003d739db7-60d4edd6b2fdec002c141123</t>
  </si>
  <si>
    <t>JCRTV</t>
  </si>
  <si>
    <t>495621209</t>
  </si>
  <si>
    <t>The Carol Burnett Show</t>
  </si>
  <si>
    <t>5e20b730f2f8d5003d739db7-60d4edd6b2fdec002c141125</t>
  </si>
  <si>
    <t>CBNSHW</t>
  </si>
  <si>
    <t>495621095</t>
  </si>
  <si>
    <t>The Sherlock Holmes Channel</t>
  </si>
  <si>
    <t>5e20b730f2f8d5003d739db7-66ce3fc059062698a13c39e1</t>
  </si>
  <si>
    <t>SHRHMS</t>
  </si>
  <si>
    <t>517699246</t>
  </si>
  <si>
    <t>The Archive</t>
  </si>
  <si>
    <t>5e20b730f2f8d5003d739db7-5eea605674085f0040ddc7a0</t>
  </si>
  <si>
    <t>ARCHPLEX</t>
  </si>
  <si>
    <t>517699189</t>
  </si>
  <si>
    <t>Grjngo Western Movies</t>
  </si>
  <si>
    <t>5e20b730f2f8d5003d739db7-63489a771159f6a5ce819b7b</t>
  </si>
  <si>
    <t>GRJNGO</t>
  </si>
  <si>
    <t>495621096</t>
  </si>
  <si>
    <t>The Rifleman</t>
  </si>
  <si>
    <t>5e20b730f2f8d5003d739db7-64f123008d44f2871135a905</t>
  </si>
  <si>
    <t>RFLMN</t>
  </si>
  <si>
    <t>495621178</t>
  </si>
  <si>
    <t>Lone Star Network</t>
  </si>
  <si>
    <t>5e20b730f2f8d5003d739db7-6196c9241d310bf925e02616</t>
  </si>
  <si>
    <t>LONSTR</t>
  </si>
  <si>
    <t>495621114</t>
  </si>
  <si>
    <t>Outlaw</t>
  </si>
  <si>
    <t>5e20b730f2f8d5003d739db7-66213052abd90e037ccd1fe4</t>
  </si>
  <si>
    <t>OUTLAWPLX</t>
  </si>
  <si>
    <t>517938950</t>
  </si>
  <si>
    <t>5e20b730f2f8d5003d739db7-6449369eb3ff17382cae57fd</t>
  </si>
  <si>
    <t>FLMWES</t>
  </si>
  <si>
    <t>517699232</t>
  </si>
  <si>
    <t>Western Bound</t>
  </si>
  <si>
    <t>5e20b730f2f8d5003d739db7-62316e8eb9d292cb4ad7499f</t>
  </si>
  <si>
    <t>WESTBOUNDPL</t>
  </si>
  <si>
    <t>498373750</t>
  </si>
  <si>
    <t>Lawless: Crime &amp; Action</t>
  </si>
  <si>
    <t>5e20b730f2f8d5003d739db7-654a6d313713a28d9f0b917f</t>
  </si>
  <si>
    <t>LWLSCA</t>
  </si>
  <si>
    <t>495621252</t>
  </si>
  <si>
    <t>JAIL</t>
  </si>
  <si>
    <t>5e20b730f2f8d5003d739db7-6448ba1baf92c31f4a190c27</t>
  </si>
  <si>
    <t>JAILPLX</t>
  </si>
  <si>
    <t>495621152</t>
  </si>
  <si>
    <t>World's Wildest Police Videos</t>
  </si>
  <si>
    <t>5e20b730f2f8d5003d739db7-64f124818d44f2871135a907</t>
  </si>
  <si>
    <t>WWPDVS</t>
  </si>
  <si>
    <t>495621171</t>
  </si>
  <si>
    <t>Dog the Bounty Hunter</t>
  </si>
  <si>
    <t>5e20b730f2f8d5003d739db7-66428faa5116d565e63ae32a</t>
  </si>
  <si>
    <t>DOGBTY</t>
  </si>
  <si>
    <t>517637340</t>
  </si>
  <si>
    <t>Dateline</t>
  </si>
  <si>
    <t>5e20b730f2f8d5003d739db7-5fc70600598c41002da3dd19</t>
  </si>
  <si>
    <t>DTELNE</t>
  </si>
  <si>
    <t>517571283</t>
  </si>
  <si>
    <t>TruBlu</t>
  </si>
  <si>
    <t>5e20b730f2f8d5003d739db7-65621e98b7d737841f30a4f9</t>
  </si>
  <si>
    <t>TRUBLU</t>
  </si>
  <si>
    <t>495621221</t>
  </si>
  <si>
    <t>True Crime Now</t>
  </si>
  <si>
    <t>5e20b730f2f8d5003d739db7-61ae679103baf19077bbf933</t>
  </si>
  <si>
    <t>TRCRMNW</t>
  </si>
  <si>
    <t>517999848</t>
  </si>
  <si>
    <t>Crime &amp; Justice</t>
  </si>
  <si>
    <t>5e20b730f2f8d5003d739db7-64224b7a7e28069f56b5d894</t>
  </si>
  <si>
    <t>C&amp;J</t>
  </si>
  <si>
    <t>517938466</t>
  </si>
  <si>
    <t>Crime Scenes</t>
  </si>
  <si>
    <t>5e20b730f2f8d5003d739db7-66a2bfe594b6a49cb5054d75</t>
  </si>
  <si>
    <t>CRMSCN</t>
  </si>
  <si>
    <t>517637396</t>
  </si>
  <si>
    <t>FilmRise True Crime</t>
  </si>
  <si>
    <t>5e20b730f2f8d5003d739db7-646e489b58898bf3be94b325</t>
  </si>
  <si>
    <t>FLMRSTR</t>
  </si>
  <si>
    <t>517637417</t>
  </si>
  <si>
    <t>Oxygen True Crime Archives</t>
  </si>
  <si>
    <t>5e20b730f2f8d5003d739db7-6467891c73e5e029428f0e18</t>
  </si>
  <si>
    <t>OXYTRCR</t>
  </si>
  <si>
    <t>517637343</t>
  </si>
  <si>
    <t>World's Most Evil Killers</t>
  </si>
  <si>
    <t>5e20b730f2f8d5003d739db7-65829ef26b91be4547aa153a</t>
  </si>
  <si>
    <t>WOREVKIL</t>
  </si>
  <si>
    <t>517938465</t>
  </si>
  <si>
    <t>Crimes Cults Killers</t>
  </si>
  <si>
    <t>5e20b730f2f8d5003d739db7-63c97410187b3c9f3581fdf4</t>
  </si>
  <si>
    <t>CRMCULT</t>
  </si>
  <si>
    <t>517999866</t>
  </si>
  <si>
    <t>American Crimes</t>
  </si>
  <si>
    <t>5e20b730f2f8d5003d739db7-6467891c73e5e029428f0e16</t>
  </si>
  <si>
    <t>AMRCCR</t>
  </si>
  <si>
    <t>517638269</t>
  </si>
  <si>
    <t>Mysteria</t>
  </si>
  <si>
    <t>5e20b730f2f8d5003d739db7-664294d20e0ec7b4ce5eb28e</t>
  </si>
  <si>
    <t>MYSTERIA</t>
  </si>
  <si>
    <t>517999882</t>
  </si>
  <si>
    <t>TV One Crime &amp; Justice</t>
  </si>
  <si>
    <t>5e20b730f2f8d5003d739db7-65282a6091e77473f1a44ff2</t>
  </si>
  <si>
    <t>TVONEC&amp;J</t>
  </si>
  <si>
    <t>517571302</t>
  </si>
  <si>
    <t>Designated Survivor</t>
  </si>
  <si>
    <t>5e20b730f2f8d5003d739db7-66aa9b7fd8fc59729226073e</t>
  </si>
  <si>
    <t>DSGSUR</t>
  </si>
  <si>
    <t>517571289</t>
  </si>
  <si>
    <t>CW Forever</t>
  </si>
  <si>
    <t>5e20b730f2f8d5003d739db7-66635fc0ca7b22f4c3a2d743</t>
  </si>
  <si>
    <t>CWFREVR</t>
  </si>
  <si>
    <t>517571287</t>
  </si>
  <si>
    <t>CW Gold</t>
  </si>
  <si>
    <t>5e20b730f2f8d5003d739db7-66635e41ca7b22f4c3a2d741</t>
  </si>
  <si>
    <t>CWGLD</t>
  </si>
  <si>
    <t>517571281</t>
  </si>
  <si>
    <t>Weeds</t>
  </si>
  <si>
    <t>5e20b730f2f8d5003d739db7-66915d35086cb6d46eae12c8</t>
  </si>
  <si>
    <t>WEEDS</t>
  </si>
  <si>
    <t>517571280</t>
  </si>
  <si>
    <t>Britbox Mysteries</t>
  </si>
  <si>
    <t>5e20b730f2f8d5003d739db7-639a0b83812b6c1429f7acd1</t>
  </si>
  <si>
    <t>BRBOXM</t>
  </si>
  <si>
    <t>483305703</t>
  </si>
  <si>
    <t>A Touch of Frost</t>
  </si>
  <si>
    <t>5e20b730f2f8d5003d739db7-6674b595f04cf4bb9233c914</t>
  </si>
  <si>
    <t>TOUFRST</t>
  </si>
  <si>
    <t>517999858</t>
  </si>
  <si>
    <t>The Doctor Blake Mysteries</t>
  </si>
  <si>
    <t>5e20b730f2f8d5003d739db7-6674b983f04cf4bb9233c91b</t>
  </si>
  <si>
    <t>DOCBLKMY</t>
  </si>
  <si>
    <t>517637410</t>
  </si>
  <si>
    <t>Prime Suspect</t>
  </si>
  <si>
    <t>5e20b730f2f8d5003d739db7-6674b780f04cf4bb9233c918</t>
  </si>
  <si>
    <t>PRMSUS</t>
  </si>
  <si>
    <t>517637398</t>
  </si>
  <si>
    <t>Crime ThrillHer</t>
  </si>
  <si>
    <t>5e20b730f2f8d5003d739db7-63c97b45187b3c9f3581fdfb</t>
  </si>
  <si>
    <t>CRMTRI</t>
  </si>
  <si>
    <t>517638270</t>
  </si>
  <si>
    <t>FilmRise British TV</t>
  </si>
  <si>
    <t>5e20b730f2f8d5003d739db7-6449369eb3ff17382cae5808</t>
  </si>
  <si>
    <t>FILMRBRIT</t>
  </si>
  <si>
    <t>501459314</t>
  </si>
  <si>
    <t>Horror Stories</t>
  </si>
  <si>
    <t>5e20b730f2f8d5003d739db7-66b136d2a9ef8c41ec0841ae</t>
  </si>
  <si>
    <t>HORSTOR</t>
  </si>
  <si>
    <t>517938948</t>
  </si>
  <si>
    <t>Scream Factory TV</t>
  </si>
  <si>
    <t>5e20b730f2f8d5003d739db7-6351991cccee3e1547a8831e</t>
  </si>
  <si>
    <t>SCFTV</t>
  </si>
  <si>
    <t>495621157</t>
  </si>
  <si>
    <t>Screambox TV</t>
  </si>
  <si>
    <t>5e20b730f2f8d5003d739db7-641db53c2f7a0fca29488c99</t>
  </si>
  <si>
    <t>SCRBXTV</t>
  </si>
  <si>
    <t>495621084</t>
  </si>
  <si>
    <t>DREAD TV</t>
  </si>
  <si>
    <t>5e20b730f2f8d5003d739db7-64a04b8a261d597ce8b4c9ec</t>
  </si>
  <si>
    <t>DREADTV</t>
  </si>
  <si>
    <t>495621059</t>
  </si>
  <si>
    <t>Horror by ALTER</t>
  </si>
  <si>
    <t>5e20b730f2f8d5003d739db7-66f5a92352c50d2f62020f38</t>
  </si>
  <si>
    <t>HORRPLEX</t>
  </si>
  <si>
    <t>517878574</t>
  </si>
  <si>
    <t>FilmRise Horror</t>
  </si>
  <si>
    <t>5e20b730f2f8d5003d739db7-66ea09a39502c5778b828d43</t>
  </si>
  <si>
    <t>FILMRPLEX</t>
  </si>
  <si>
    <t>517878620</t>
  </si>
  <si>
    <t>FrightFlix</t>
  </si>
  <si>
    <t>5e20b730f2f8d5003d739db7-621674502c2627c068e73ada</t>
  </si>
  <si>
    <t>FRGFIX</t>
  </si>
  <si>
    <t>495621135</t>
  </si>
  <si>
    <t>Watch It Scream</t>
  </si>
  <si>
    <t>5e20b730f2f8d5003d739db7-621671d05abdd3d5556a1baf</t>
  </si>
  <si>
    <t>WISCRM</t>
  </si>
  <si>
    <t>495621150</t>
  </si>
  <si>
    <t>The Outpost</t>
  </si>
  <si>
    <t>5e20b730f2f8d5003d739db7-6762ec6a4a292357428c1b59</t>
  </si>
  <si>
    <t>OUTPLEX</t>
  </si>
  <si>
    <t>516172489</t>
  </si>
  <si>
    <t>The Librarians</t>
  </si>
  <si>
    <t>5e20b730f2f8d5003d739db7-654a8041fa75888bea239718</t>
  </si>
  <si>
    <t>LIBRAR</t>
  </si>
  <si>
    <t>501459334</t>
  </si>
  <si>
    <t>Farscape</t>
  </si>
  <si>
    <t>5e20b730f2f8d5003d739db7-635195e9ccee3e1547a8831a</t>
  </si>
  <si>
    <t>FASCPE</t>
  </si>
  <si>
    <t>495621188</t>
  </si>
  <si>
    <t>BBC Sci-Fi</t>
  </si>
  <si>
    <t>5e20b730f2f8d5003d739db7-65622ac05dbccec83a87b641</t>
  </si>
  <si>
    <t>BBCSF</t>
  </si>
  <si>
    <t>495621229</t>
  </si>
  <si>
    <t>FilmRise Sci-Fi</t>
  </si>
  <si>
    <t>5e20b730f2f8d5003d739db7-6449369eb3ff17382cae580d</t>
  </si>
  <si>
    <t>FILMRSCIFI</t>
  </si>
  <si>
    <t>501459327</t>
  </si>
  <si>
    <t>Beyond Belief: Fact or Fiction</t>
  </si>
  <si>
    <t>5e20b730f2f8d5003d739db7-64f101b1c4b308f2fe3e7c0c</t>
  </si>
  <si>
    <t>BYDBLF</t>
  </si>
  <si>
    <t>495621124</t>
  </si>
  <si>
    <t>UnXplained Zone</t>
  </si>
  <si>
    <t>5e20b730f2f8d5003d739db7-63c9773e187b3c9f3581fdf8</t>
  </si>
  <si>
    <t>UNXLPZN</t>
  </si>
  <si>
    <t>517637415</t>
  </si>
  <si>
    <t>Unidentified</t>
  </si>
  <si>
    <t>5e20b730f2f8d5003d739db7-6227d1d2c9f485cc7afe8c44</t>
  </si>
  <si>
    <t>UNIDNT</t>
  </si>
  <si>
    <t>517938457</t>
  </si>
  <si>
    <t>Unexplained</t>
  </si>
  <si>
    <t>5e20b730f2f8d5003d739db7-62913be9a0ed9c2b6ae63bac</t>
  </si>
  <si>
    <t>UNEXPL</t>
  </si>
  <si>
    <t>495621201</t>
  </si>
  <si>
    <t>Ghosts Are Real</t>
  </si>
  <si>
    <t>5e20b730f2f8d5003d739db7-66a294d3e1a2934adfe851f5</t>
  </si>
  <si>
    <t>GSTRL</t>
  </si>
  <si>
    <t>517637588</t>
  </si>
  <si>
    <t>SNL Vault</t>
  </si>
  <si>
    <t>5e20b730f2f8d5003d739db7-5fc70600598c41002da3dd34</t>
  </si>
  <si>
    <t>SNLVAU</t>
  </si>
  <si>
    <t>517571270</t>
  </si>
  <si>
    <t>Kim's Convenience</t>
  </si>
  <si>
    <t>5e20b730f2f8d5003d739db7-6707d359da81682f2d1e683c</t>
  </si>
  <si>
    <t>KIMCVN</t>
  </si>
  <si>
    <t>517637393</t>
  </si>
  <si>
    <t>Corner Gas</t>
  </si>
  <si>
    <t>5e20b730f2f8d5003d739db7-66ce3cf459062698a13c39df</t>
  </si>
  <si>
    <t>CORGAS</t>
  </si>
  <si>
    <t>517938472</t>
  </si>
  <si>
    <t>Trailer Park Boys: The SwearNet Show</t>
  </si>
  <si>
    <t>5e20b730f2f8d5003d739db7-6348b2cb1159f6a5ce819b89</t>
  </si>
  <si>
    <t>TBPBSW</t>
  </si>
  <si>
    <t>495621144</t>
  </si>
  <si>
    <t>Hot Ones</t>
  </si>
  <si>
    <t>5e20b730f2f8d5003d739db7-6582a1316b91be4547aa153c</t>
  </si>
  <si>
    <t>HOTONES</t>
  </si>
  <si>
    <t>495621220</t>
  </si>
  <si>
    <t>BBC Comedy</t>
  </si>
  <si>
    <t>5e20b730f2f8d5003d739db7-65622fb65dbccec83a87b643</t>
  </si>
  <si>
    <t>BBCCMD</t>
  </si>
  <si>
    <t>495621077</t>
  </si>
  <si>
    <t>LOL! Stand Up</t>
  </si>
  <si>
    <t>5e20b730f2f8d5003d739db7-620462434ebc6b3b9a8aed94</t>
  </si>
  <si>
    <t>LOLPLEX</t>
  </si>
  <si>
    <t>517699244</t>
  </si>
  <si>
    <t>Comedy Dynamics</t>
  </si>
  <si>
    <t>5e20b730f2f8d5003d739db7-5efe1de5e0b3f5003f5d9f76</t>
  </si>
  <si>
    <t>CDYNA</t>
  </si>
  <si>
    <t>495621147</t>
  </si>
  <si>
    <t>Always Funny</t>
  </si>
  <si>
    <t>5e20b730f2f8d5003d739db7-5ef11486d33ab9004048a1cd</t>
  </si>
  <si>
    <t>ALFNNY</t>
  </si>
  <si>
    <t>495621225</t>
  </si>
  <si>
    <t>Humor Mill</t>
  </si>
  <si>
    <t>5e20b730f2f8d5003d739db7-5fd115b7b7ef8d002dcf1814</t>
  </si>
  <si>
    <t>HMRMIL</t>
  </si>
  <si>
    <t>495621133</t>
  </si>
  <si>
    <t>BET x Tyler Perry Drama</t>
  </si>
  <si>
    <t>5e20b730f2f8d5003d739db7-66635b07ca7b22f4c3a2d73d</t>
  </si>
  <si>
    <t>BETTYDR</t>
  </si>
  <si>
    <t>517571274</t>
  </si>
  <si>
    <t>BET x Tyler Perry Comedy</t>
  </si>
  <si>
    <t>5e20b730f2f8d5003d739db7-66635c20ca7b22f4c3a2d73f</t>
  </si>
  <si>
    <t>BETTYCM</t>
  </si>
  <si>
    <t>517571294</t>
  </si>
  <si>
    <t>Ebony TV by Lionsgate</t>
  </si>
  <si>
    <t>5e20b730f2f8d5003d739db7-6533de63bd43e1c8b1865152</t>
  </si>
  <si>
    <t>EBBYLION</t>
  </si>
  <si>
    <t>517571269</t>
  </si>
  <si>
    <t>Pam Grier's Soul Flix</t>
  </si>
  <si>
    <t>5e20b730f2f8d5003d739db7-678819cadb8f0c5dc195cf50</t>
  </si>
  <si>
    <t>PAMSLFX</t>
  </si>
  <si>
    <t>517939141</t>
  </si>
  <si>
    <t>BlackPix</t>
  </si>
  <si>
    <t>5e20b730f2f8d5003d739db7-62280644c9f485cc7afe8c48</t>
  </si>
  <si>
    <t>BLKPIX</t>
  </si>
  <si>
    <t>517999894</t>
  </si>
  <si>
    <t>5e20b730f2f8d5003d739db7-67a1421f114554261db9e459</t>
  </si>
  <si>
    <t>SHADBLK</t>
  </si>
  <si>
    <t>517571267</t>
  </si>
  <si>
    <t>365BLK</t>
  </si>
  <si>
    <t>5e20b730f2f8d5003d739db7-6745dca72832b870acf53220</t>
  </si>
  <si>
    <t>365 BLK</t>
  </si>
  <si>
    <t>517571293</t>
  </si>
  <si>
    <t>The Grio</t>
  </si>
  <si>
    <t>5e20b730f2f8d5003d739db7-5fe27da18cdd46002d85efed</t>
  </si>
  <si>
    <t>GRIO</t>
  </si>
  <si>
    <t>517571268</t>
  </si>
  <si>
    <t>TMZ</t>
  </si>
  <si>
    <t>5e20b730f2f8d5003d739db7-63e2ca44203bafbef831a152</t>
  </si>
  <si>
    <t>420272286</t>
  </si>
  <si>
    <t>The Doctors</t>
  </si>
  <si>
    <t>5e20b730f2f8d5003d739db7-6720271c727d52d7a0e0b495</t>
  </si>
  <si>
    <t>TDOC</t>
  </si>
  <si>
    <t>517999897</t>
  </si>
  <si>
    <t>The Ellen Channel</t>
  </si>
  <si>
    <t>5e20b730f2f8d5003d739db7-67182addd5b18813f9d0f1b6</t>
  </si>
  <si>
    <t>ELLENCH</t>
  </si>
  <si>
    <t>517637669</t>
  </si>
  <si>
    <t>Caught in Providence</t>
  </si>
  <si>
    <t>5e20b730f2f8d5003d739db7-61ddcdc03c12aa1e5d320aaf</t>
  </si>
  <si>
    <t>CPROVPLEX</t>
  </si>
  <si>
    <t>517938477</t>
  </si>
  <si>
    <t>Judge Nosey</t>
  </si>
  <si>
    <t>5e20b730f2f8d5003d739db7-5f0ff262d71dcb00449ec018</t>
  </si>
  <si>
    <t>JNOSEY</t>
  </si>
  <si>
    <t>495621250</t>
  </si>
  <si>
    <t>Judge Faith</t>
  </si>
  <si>
    <t>5e20b730f2f8d5003d739db7-5f5132da62fe160040f26b5b</t>
  </si>
  <si>
    <t>JFAITH</t>
  </si>
  <si>
    <t>495621107</t>
  </si>
  <si>
    <t>REELZ Famous &amp; Infamous</t>
  </si>
  <si>
    <t>5e20b730f2f8d5003d739db7-64f0d3ddc2bc9b9001d46ea4</t>
  </si>
  <si>
    <t>REELZFAM</t>
  </si>
  <si>
    <t>501459300</t>
  </si>
  <si>
    <t>Nosey</t>
  </si>
  <si>
    <t>5e20b730f2f8d5003d739db7-5f0ff262d71dcb00449ec015</t>
  </si>
  <si>
    <t>NOSEY</t>
  </si>
  <si>
    <t>495621141</t>
  </si>
  <si>
    <t>Confess by Nosey</t>
  </si>
  <si>
    <t>5e20b730f2f8d5003d739db7-6438ee5a83766488c3bc9d4d</t>
  </si>
  <si>
    <t>CONNOS</t>
  </si>
  <si>
    <t>517999854</t>
  </si>
  <si>
    <t>5e20b730f2f8d5003d739db7-64f115ad2173e54397ce0d40</t>
  </si>
  <si>
    <t>CHEATRS</t>
  </si>
  <si>
    <t>495621136</t>
  </si>
  <si>
    <t>Bravo Vault</t>
  </si>
  <si>
    <t>5e20b730f2f8d5003d739db7-645e328fb164db00b4547f05</t>
  </si>
  <si>
    <t>BRVVAU</t>
  </si>
  <si>
    <t>517571275</t>
  </si>
  <si>
    <t>So... Real</t>
  </si>
  <si>
    <t>5e20b730f2f8d5003d739db7-5f0ff262d71dcb00449ec012</t>
  </si>
  <si>
    <t>SOREAL</t>
  </si>
  <si>
    <t>495621120</t>
  </si>
  <si>
    <t>E! Keeping Up</t>
  </si>
  <si>
    <t>5e20b730f2f8d5003d739db7-645e328e3ea1d2d705ef8ab2</t>
  </si>
  <si>
    <t>E!KEEPUP</t>
  </si>
  <si>
    <t>517637346</t>
  </si>
  <si>
    <t>Real Housewives Vault</t>
  </si>
  <si>
    <t>5e20b730f2f8d5003d739db7-645f840b361156ab4214e28d</t>
  </si>
  <si>
    <t>RLHOWVVA</t>
  </si>
  <si>
    <t>517571304</t>
  </si>
  <si>
    <t>Dance Moms by Lifetime</t>
  </si>
  <si>
    <t>5e20b730f2f8d5003d739db7-63ec13cb290593c3fc279f48</t>
  </si>
  <si>
    <t>DNCMOMLF</t>
  </si>
  <si>
    <t>517637341</t>
  </si>
  <si>
    <t>Perform by Lifetime</t>
  </si>
  <si>
    <t>5e20b730f2f8d5003d739db7-63c1ddfaf0f132afc3afbaae</t>
  </si>
  <si>
    <t>PERLIF</t>
  </si>
  <si>
    <t>517938464</t>
  </si>
  <si>
    <t>Say Yes to the Dress</t>
  </si>
  <si>
    <t>5e20b730f2f8d5003d739db7-66a1ae9e77649467da169f0e</t>
  </si>
  <si>
    <t>SAYSDRS</t>
  </si>
  <si>
    <t>517637344</t>
  </si>
  <si>
    <t>Love &amp; Marriage</t>
  </si>
  <si>
    <t>5e20b730f2f8d5003d739db7-66a1b02777649467da169f14</t>
  </si>
  <si>
    <t>LOVMARR</t>
  </si>
  <si>
    <t>517637352</t>
  </si>
  <si>
    <t>Matched Married Meet</t>
  </si>
  <si>
    <t>5e20b730f2f8d5003d739db7-63ec126f9866d8d2120ac75b</t>
  </si>
  <si>
    <t>MATMRG</t>
  </si>
  <si>
    <t>517637339</t>
  </si>
  <si>
    <t>Family Unscripted</t>
  </si>
  <si>
    <t>5e20b730f2f8d5003d739db7-66a2b6ebf7180d8d2ca77f5e</t>
  </si>
  <si>
    <t>FAMUSCR</t>
  </si>
  <si>
    <t>517637461</t>
  </si>
  <si>
    <t>Real Disaster Channel</t>
  </si>
  <si>
    <t>5e20b730f2f8d5003d739db7-64275805efc65caa7e9514d6</t>
  </si>
  <si>
    <t>RLDSTR</t>
  </si>
  <si>
    <t>517999891</t>
  </si>
  <si>
    <t>MythBusters</t>
  </si>
  <si>
    <t>5e20b730f2f8d5003d739db7-66b133a8a9ef8c41ec0841aa</t>
  </si>
  <si>
    <t>MTHBUST</t>
  </si>
  <si>
    <t>517571284</t>
  </si>
  <si>
    <t>Jade Fever</t>
  </si>
  <si>
    <t>5e20b730f2f8d5003d739db7-666e1a2bce73ed6023b55a13</t>
  </si>
  <si>
    <t>JADEFVR</t>
  </si>
  <si>
    <t>517999875</t>
  </si>
  <si>
    <t>Storage Wars by A&amp;E</t>
  </si>
  <si>
    <t>5e20b730f2f8d5003d739db7-67a37720786c8a28ae4965bb</t>
  </si>
  <si>
    <t>STRGWAR</t>
  </si>
  <si>
    <t>517637349</t>
  </si>
  <si>
    <t>Fear Factor</t>
  </si>
  <si>
    <t>5e20b730f2f8d5003d739db7-651600fb2ff655e77635c62a</t>
  </si>
  <si>
    <t>FEARFC</t>
  </si>
  <si>
    <t>495621091</t>
  </si>
  <si>
    <t>Celebrity Name Game</t>
  </si>
  <si>
    <t>5e20b730f2f8d5003d739db7-640205c40e1daf16b299567e</t>
  </si>
  <si>
    <t>CELEBRGAME</t>
  </si>
  <si>
    <t>501459325</t>
  </si>
  <si>
    <t>BBC Game Shows</t>
  </si>
  <si>
    <t>5e20b730f2f8d5003d739db7-656229e4b7d737841f30a4fb</t>
  </si>
  <si>
    <t>BBCGS</t>
  </si>
  <si>
    <t>495621130</t>
  </si>
  <si>
    <t>Impossible - Quiz Show</t>
  </si>
  <si>
    <t>5e20b730f2f8d5003d739db7-6308fa9c0417b7074a4ad959</t>
  </si>
  <si>
    <t>IMPOQS</t>
  </si>
  <si>
    <t>495621103</t>
  </si>
  <si>
    <t>5e20b730f2f8d5003d739db7-64aed1e9c6085b5faf20ee1f</t>
  </si>
  <si>
    <t>OUTTPRD</t>
  </si>
  <si>
    <t>495621236</t>
  </si>
  <si>
    <t>Dog Whisperer</t>
  </si>
  <si>
    <t>5e20b730f2f8d5003d739db7-652a8b001b5c74bc83cf727c</t>
  </si>
  <si>
    <t>DOGWSP</t>
  </si>
  <si>
    <t>517637963</t>
  </si>
  <si>
    <t>Love Pets</t>
  </si>
  <si>
    <t>5e20b730f2f8d5003d739db7-63fe7d7eb6312779f56504d3</t>
  </si>
  <si>
    <t>LVPTS</t>
  </si>
  <si>
    <t>495621162</t>
  </si>
  <si>
    <t>Curiosity NOW</t>
  </si>
  <si>
    <t>5e20b730f2f8d5003d739db7-64831c8be3541c909e96d240</t>
  </si>
  <si>
    <t>CUROW</t>
  </si>
  <si>
    <t>501459329</t>
  </si>
  <si>
    <t>History &amp; Warfare Now</t>
  </si>
  <si>
    <t>5e20b730f2f8d5003d739db7-635c5c6ac3585aefbd236576</t>
  </si>
  <si>
    <t>HISTWN</t>
  </si>
  <si>
    <t>495621117</t>
  </si>
  <si>
    <t>Space Science Now</t>
  </si>
  <si>
    <t>5e20b730f2f8d5003d739db7-63616d4c9fdbf7808e22baee</t>
  </si>
  <si>
    <t>SSPCNW-CA</t>
  </si>
  <si>
    <t>495621170</t>
  </si>
  <si>
    <t>INWONDER</t>
  </si>
  <si>
    <t>5e20b730f2f8d5003d739db7-6668b2b5e4f56766e556a413</t>
  </si>
  <si>
    <t>INWOND</t>
  </si>
  <si>
    <t>517999888</t>
  </si>
  <si>
    <t>Combat War Channel</t>
  </si>
  <si>
    <t>5e20b730f2f8d5003d739db7-65e87f35335524a69e8e0ce1</t>
  </si>
  <si>
    <t>COMWAR</t>
  </si>
  <si>
    <t>517999868</t>
  </si>
  <si>
    <t>Military Heroes Presented By History</t>
  </si>
  <si>
    <t>5e20b730f2f8d5003d739db7-63ec15d6290593c3fc279f4a</t>
  </si>
  <si>
    <t>MILHIST</t>
  </si>
  <si>
    <t>517938475</t>
  </si>
  <si>
    <t>Modern Innovations by History</t>
  </si>
  <si>
    <t>5e20b730f2f8d5003d739db7-67ae8ad1a9b2dfa7f83e17d6</t>
  </si>
  <si>
    <t>MDNINVHI</t>
  </si>
  <si>
    <t>517571279</t>
  </si>
  <si>
    <t>Modern Marvels by History</t>
  </si>
  <si>
    <t>5e20b730f2f8d5003d739db7-63c97da7187b3c9f3581fdfd</t>
  </si>
  <si>
    <t>MDNMRHIS</t>
  </si>
  <si>
    <t>517637360</t>
  </si>
  <si>
    <t>Hell's Kitchen &amp; Kitchen Nightmares</t>
  </si>
  <si>
    <t>5e20b730f2f8d5003d739db7-6449369eb3ff17382cae580c</t>
  </si>
  <si>
    <t>HELLKIT</t>
  </si>
  <si>
    <t>517637399</t>
  </si>
  <si>
    <t>Bizarre Foods with Andrew Zimmern</t>
  </si>
  <si>
    <t>5e20b730f2f8d5003d739db7-66a2b83ef7180d8d2ca77f60</t>
  </si>
  <si>
    <t>BIZFD</t>
  </si>
  <si>
    <t>517699239</t>
  </si>
  <si>
    <t>No Reservations</t>
  </si>
  <si>
    <t>5e20b730f2f8d5003d739db7-66b141e2a9ef8c41ec0841b2</t>
  </si>
  <si>
    <t>NORSNT</t>
  </si>
  <si>
    <t>517637353</t>
  </si>
  <si>
    <t>BBC Food</t>
  </si>
  <si>
    <t>5e20b730f2f8d5003d739db7-630905af0417b7074a4ad95e</t>
  </si>
  <si>
    <t>BBCFD</t>
  </si>
  <si>
    <t>495621197</t>
  </si>
  <si>
    <t>So Yummy!</t>
  </si>
  <si>
    <t>5e20b730f2f8d5003d739db7-6041643175c115002dc5125d</t>
  </si>
  <si>
    <t>SOYUMMYPLEX</t>
  </si>
  <si>
    <t>498373756</t>
  </si>
  <si>
    <t>PBS Food</t>
  </si>
  <si>
    <t>5e20b730f2f8d5003d739db7-650299cdec4e38daa56e9c7c</t>
  </si>
  <si>
    <t>PBSFD</t>
  </si>
  <si>
    <t>495621078</t>
  </si>
  <si>
    <t>LX Home Streaming</t>
  </si>
  <si>
    <t>5e20b730f2f8d5003d739db7-645a5a1e4dc67ffc42d36558</t>
  </si>
  <si>
    <t>LXHMEST</t>
  </si>
  <si>
    <t>517699256</t>
  </si>
  <si>
    <t>Welcome Home</t>
  </si>
  <si>
    <t>5e20b730f2f8d5003d739db7-66a1abb19101f360242499aa</t>
  </si>
  <si>
    <t>WELHOM</t>
  </si>
  <si>
    <t>517699262</t>
  </si>
  <si>
    <t>Fork &amp; Flight</t>
  </si>
  <si>
    <t>5e20b730f2f8d5003d739db7-6529ad9dc8221fe0db66c0b3</t>
  </si>
  <si>
    <t>FORKPLEX</t>
  </si>
  <si>
    <t>517878593</t>
  </si>
  <si>
    <t>Million Dollar Listing Vault</t>
  </si>
  <si>
    <t>5e20b730f2f8d5003d739db7-670694b4836808fbb1561c91</t>
  </si>
  <si>
    <t>MILDOL</t>
  </si>
  <si>
    <t>517637700</t>
  </si>
  <si>
    <t>Property &amp; Reno</t>
  </si>
  <si>
    <t>5e20b730f2f8d5003d739db7-6427568defc65caa7e9514d4</t>
  </si>
  <si>
    <t>PRORENO</t>
  </si>
  <si>
    <t>517699266</t>
  </si>
  <si>
    <t>BBC Home &amp; Garden</t>
  </si>
  <si>
    <t>5e20b730f2f8d5003d739db7-6308eda9ac9983739c8a29bb</t>
  </si>
  <si>
    <t>BBCHG</t>
  </si>
  <si>
    <t>495621137</t>
  </si>
  <si>
    <t>PBS Antiques Roadshow</t>
  </si>
  <si>
    <t>5e20b730f2f8d5003d739db7-6348ac7090b96ef5e0eb3288</t>
  </si>
  <si>
    <t>PBSARW</t>
  </si>
  <si>
    <t>495621237</t>
  </si>
  <si>
    <t>5e20b730f2f8d5003d739db7-6348adc71159f6a5ce819b85</t>
  </si>
  <si>
    <t>ANTRIP</t>
  </si>
  <si>
    <t>495621076</t>
  </si>
  <si>
    <t>5-Minute Crafts</t>
  </si>
  <si>
    <t>5e20b730f2f8d5003d739db7-63894c1965b848bf2c8a7800</t>
  </si>
  <si>
    <t>5MNCFT</t>
  </si>
  <si>
    <t>495621179</t>
  </si>
  <si>
    <t>CraftsyTV</t>
  </si>
  <si>
    <t>5e20b730f2f8d5003d739db7-6365779dde08f8eec6c3f21f</t>
  </si>
  <si>
    <t>CRFTTV</t>
  </si>
  <si>
    <t>495621227</t>
  </si>
  <si>
    <t>Home.Made.Nation</t>
  </si>
  <si>
    <t>5e20b730f2f8d5003d739db7-5f74cf82ffbe690040689f47</t>
  </si>
  <si>
    <t>HMENAT</t>
  </si>
  <si>
    <t>517699268</t>
  </si>
  <si>
    <t>How To</t>
  </si>
  <si>
    <t>5e20b730f2f8d5003d739db7-66a1aa319101f360242499a8</t>
  </si>
  <si>
    <t>HOWTO PLX</t>
  </si>
  <si>
    <t>517938469</t>
  </si>
  <si>
    <t>Unique Lives</t>
  </si>
  <si>
    <t>5e20b730f2f8d5003d739db7-66a1ac4877649467da169f0a</t>
  </si>
  <si>
    <t>UNIQLIVE</t>
  </si>
  <si>
    <t>517999847</t>
  </si>
  <si>
    <t>4UV</t>
  </si>
  <si>
    <t>5e20b730f2f8d5003d739db7-64149a3c238e21f260e7844c</t>
  </si>
  <si>
    <t>4UVPLEX</t>
  </si>
  <si>
    <t>517699277</t>
  </si>
  <si>
    <t>The Boat Show</t>
  </si>
  <si>
    <t>5e20b730f2f8d5003d739db7-5efe1de6e0b3f5003f5d9f82</t>
  </si>
  <si>
    <t>TBTSHW</t>
  </si>
  <si>
    <t>495621169</t>
  </si>
  <si>
    <t>BBC Travel</t>
  </si>
  <si>
    <t>5e20b730f2f8d5003d739db7-65622eddb7d737841f30a4fd</t>
  </si>
  <si>
    <t>BBCTRV</t>
  </si>
  <si>
    <t>495621118</t>
  </si>
  <si>
    <t>GoUSA TV</t>
  </si>
  <si>
    <t>5e20b730f2f8d5003d739db7-654d5db7ff9919cc3e31e961</t>
  </si>
  <si>
    <t>GOUSATV-CA</t>
  </si>
  <si>
    <t>495621067</t>
  </si>
  <si>
    <t>GoTraveler</t>
  </si>
  <si>
    <t>5e20b730f2f8d5003d739db7-60a53634126de9002e694bc2</t>
  </si>
  <si>
    <t>GOTRPLEX</t>
  </si>
  <si>
    <t>517878557</t>
  </si>
  <si>
    <t>Places &amp; Spaces</t>
  </si>
  <si>
    <t>5e20b730f2f8d5003d739db7-64b7139c8ec13d5dcb7e6bb2</t>
  </si>
  <si>
    <t>PLACSPA</t>
  </si>
  <si>
    <t>517571286</t>
  </si>
  <si>
    <t>Sweet Escapes</t>
  </si>
  <si>
    <t>5e20b730f2f8d5003d739db7-66a1acc577649467da169f0c</t>
  </si>
  <si>
    <t>SWEETESC</t>
  </si>
  <si>
    <t>517571301</t>
  </si>
  <si>
    <t>BBC Earth</t>
  </si>
  <si>
    <t>5e20b730f2f8d5003d739db7-6414a73254c537d12d8073d7</t>
  </si>
  <si>
    <t>BBCEARTH</t>
  </si>
  <si>
    <t>495621196</t>
  </si>
  <si>
    <t>Real Wild</t>
  </si>
  <si>
    <t>5e20b730f2f8d5003d739db7-63584a0cf8e2be1350f802a4</t>
  </si>
  <si>
    <t>RLWILD</t>
  </si>
  <si>
    <t>495621126</t>
  </si>
  <si>
    <t>WildEarth</t>
  </si>
  <si>
    <t>5e20b730f2f8d5003d739db7-60d4edddb2fdec002c141135</t>
  </si>
  <si>
    <t>WLDEAR</t>
  </si>
  <si>
    <t>495621138</t>
  </si>
  <si>
    <t>EarthXtra</t>
  </si>
  <si>
    <t>5e20b730f2f8d5003d739db7-65f0cae2046e6131ecc3183f</t>
  </si>
  <si>
    <t>EXTPLEX</t>
  </si>
  <si>
    <t>517699211</t>
  </si>
  <si>
    <t>MagellanTV NOW</t>
  </si>
  <si>
    <t>5e20b730f2f8d5003d739db7-5f5132e262fe160040f26bf2</t>
  </si>
  <si>
    <t>MAGELLPLEX</t>
  </si>
  <si>
    <t>517699169</t>
  </si>
  <si>
    <t>Mysterious Worlds</t>
  </si>
  <si>
    <t>5e20b730f2f8d5003d739db7-66a1af9677649467da169f12</t>
  </si>
  <si>
    <t>MYSWRLD</t>
  </si>
  <si>
    <t>517637460</t>
  </si>
  <si>
    <t>Torque Presented By History</t>
  </si>
  <si>
    <t>5e20b730f2f8d5003d739db7-63c1e64df0f132afc3afbab4</t>
  </si>
  <si>
    <t>TORQHIS</t>
  </si>
  <si>
    <t>517637394</t>
  </si>
  <si>
    <t>Top Gear</t>
  </si>
  <si>
    <t>5e20b730f2f8d5003d739db7-6308f121ac9983739c8a29bd</t>
  </si>
  <si>
    <t>TOPGR</t>
  </si>
  <si>
    <t>495621062</t>
  </si>
  <si>
    <t>Motorsport.tv</t>
  </si>
  <si>
    <t>5e20b730f2f8d5003d739db7-6408c82eebb23ab878e8ddbb</t>
  </si>
  <si>
    <t>MTRSTV</t>
  </si>
  <si>
    <t>495621246</t>
  </si>
  <si>
    <t>Fifth Gear (UK)</t>
  </si>
  <si>
    <t>5e20b730f2f8d5003d739db7-64106a1075be345a863fe0d7</t>
  </si>
  <si>
    <t>FTHGR</t>
  </si>
  <si>
    <t>495621204</t>
  </si>
  <si>
    <t>Racing America</t>
  </si>
  <si>
    <t>5e20b730f2f8d5003d739db7-61a945156547ba4d6d238dc9</t>
  </si>
  <si>
    <t>RACAMR</t>
  </si>
  <si>
    <t>495621127</t>
  </si>
  <si>
    <t>MAVTV Select</t>
  </si>
  <si>
    <t>5e20b730f2f8d5003d739db7-5f0641d0e8ffda004033aff4</t>
  </si>
  <si>
    <t>MAVTVS</t>
  </si>
  <si>
    <t>495621093</t>
  </si>
  <si>
    <t>Choppertown</t>
  </si>
  <si>
    <t>5e20b730f2f8d5003d739db7-5ef11487d33ab9004048a1d3</t>
  </si>
  <si>
    <t>CHOPPRTWN</t>
  </si>
  <si>
    <t>498373747</t>
  </si>
  <si>
    <t>NBC Sports NOW</t>
  </si>
  <si>
    <t>5e20b730f2f8d5003d739db7-5fc70600598c41002da3dd43</t>
  </si>
  <si>
    <t>NBCSPTNW</t>
  </si>
  <si>
    <t>517571285</t>
  </si>
  <si>
    <t>PokerGO</t>
  </si>
  <si>
    <t>5e20b730f2f8d5003d739db7-64ac687b4192b4e1bab96279</t>
  </si>
  <si>
    <t>POKERGO</t>
  </si>
  <si>
    <t>453875853</t>
  </si>
  <si>
    <t>Poker Night TV</t>
  </si>
  <si>
    <t>5e20b730f2f8d5003d739db7-60afc726623f2f002c5bb49f</t>
  </si>
  <si>
    <t>PKRNGTV</t>
  </si>
  <si>
    <t>495621153</t>
  </si>
  <si>
    <t>Triton Poker</t>
  </si>
  <si>
    <t>5e20b730f2f8d5003d739db7-678fe95d389daa346544d501</t>
  </si>
  <si>
    <t>TRITPOK</t>
  </si>
  <si>
    <t>517938462</t>
  </si>
  <si>
    <t>FIFA+</t>
  </si>
  <si>
    <t>5e20b730f2f8d5003d739db7-66628d4a8dfc36b8c8a399c4</t>
  </si>
  <si>
    <t>FIFA +</t>
  </si>
  <si>
    <t>517571292</t>
  </si>
  <si>
    <t>Fubo Sports Network</t>
  </si>
  <si>
    <t>5e20b730f2f8d5003d739db7-5fc705f68aba71002d8b7b37</t>
  </si>
  <si>
    <t>FUBOSPT</t>
  </si>
  <si>
    <t>517637355</t>
  </si>
  <si>
    <t>PursuitUP</t>
  </si>
  <si>
    <t>5e20b730f2f8d5003d739db7-63628eb88e4b18ca22f897dc</t>
  </si>
  <si>
    <t>PRSUTP</t>
  </si>
  <si>
    <t>495621063</t>
  </si>
  <si>
    <t>Outside</t>
  </si>
  <si>
    <t>5e20b730f2f8d5003d739db7-629e522ed1bc5f1b16c6b98d</t>
  </si>
  <si>
    <t>OSDPLEX</t>
  </si>
  <si>
    <t>517699260</t>
  </si>
  <si>
    <t>Wired2Fish</t>
  </si>
  <si>
    <t>5e20b730f2f8d5003d739db7-608a2c722957c9002c6a617b</t>
  </si>
  <si>
    <t>W2FISH</t>
  </si>
  <si>
    <t>495621168</t>
  </si>
  <si>
    <t>Game &amp; Fish TV</t>
  </si>
  <si>
    <t>5e20b730f2f8d5003d739db7-67a147a7114554261db9e45d</t>
  </si>
  <si>
    <t>GAMFSH</t>
  </si>
  <si>
    <t>517699226</t>
  </si>
  <si>
    <t>GOLFPASS</t>
  </si>
  <si>
    <t>5e20b730f2f8d5003d739db7-5fc706038aba71002d8b7c8e</t>
  </si>
  <si>
    <t>GLFPS</t>
  </si>
  <si>
    <t>517571273</t>
  </si>
  <si>
    <t>Court Sports Network</t>
  </si>
  <si>
    <t>5e20b730f2f8d5003d739db7-652875586425fdb1f32d2169</t>
  </si>
  <si>
    <t>CRTSPN</t>
  </si>
  <si>
    <t>495621230</t>
  </si>
  <si>
    <t>T2</t>
  </si>
  <si>
    <t>5e20b730f2f8d5003d739db7-65944d40cbc51b25e5070a18</t>
  </si>
  <si>
    <t>T2PLEX</t>
  </si>
  <si>
    <t>495621151</t>
  </si>
  <si>
    <t>PickelballTV</t>
  </si>
  <si>
    <t>5e20b730f2f8d5003d739db7-6583507e0938f2993a23375c</t>
  </si>
  <si>
    <t>PKLBTV</t>
  </si>
  <si>
    <t>495621202</t>
  </si>
  <si>
    <t>PickleTV</t>
  </si>
  <si>
    <t>5e20b730f2f8d5003d739db7-63ec0b739866d8d2120ac759</t>
  </si>
  <si>
    <t>PKLTV</t>
  </si>
  <si>
    <t>495621086</t>
  </si>
  <si>
    <t>Women's Sports Network</t>
  </si>
  <si>
    <t>5e20b730f2f8d5003d739db7-630fa9e577ec3866def38fa2</t>
  </si>
  <si>
    <t>WSNPLX</t>
  </si>
  <si>
    <t>495621158</t>
  </si>
  <si>
    <t>Strongman Champions</t>
  </si>
  <si>
    <t>5e20b730f2f8d5003d739db7-644b13a3a1c0a5b2024c8403</t>
  </si>
  <si>
    <t>STRGMN</t>
  </si>
  <si>
    <t>495621140</t>
  </si>
  <si>
    <t>UFC</t>
  </si>
  <si>
    <t>5e20b730f2f8d5003d739db7-66ccac69fdf9cd3a568ef135</t>
  </si>
  <si>
    <t>517571276</t>
  </si>
  <si>
    <t>FUEL TV</t>
  </si>
  <si>
    <t>5e20b730f2f8d5003d739db7-62d15f16001c04178f555e40</t>
  </si>
  <si>
    <t>FUELPLX</t>
  </si>
  <si>
    <t>517939142</t>
  </si>
  <si>
    <t>Surfer</t>
  </si>
  <si>
    <t>5e20b730f2f8d5003d739db7-656fbbd6dbcce28c3a41741b</t>
  </si>
  <si>
    <t>SURFER</t>
  </si>
  <si>
    <t>495621139</t>
  </si>
  <si>
    <t>Surf Now TV</t>
  </si>
  <si>
    <t>5e20b730f2f8d5003d739db7-6227c215c9f485cc7afe8c41</t>
  </si>
  <si>
    <t>SURPLEX</t>
  </si>
  <si>
    <t>517699173</t>
  </si>
  <si>
    <t>Slopes tv</t>
  </si>
  <si>
    <t>5e20b730f2f8d5003d739db7-616df1be2cf008a748c8cb53</t>
  </si>
  <si>
    <t>SLOPES</t>
  </si>
  <si>
    <t>495621073</t>
  </si>
  <si>
    <t>NESN NATION</t>
  </si>
  <si>
    <t>5e20b730f2f8d5003d739db7-6759a32270e41582b1b7a236</t>
  </si>
  <si>
    <t>NESNPLEX</t>
  </si>
  <si>
    <t>516172490</t>
  </si>
  <si>
    <t>Stadium</t>
  </si>
  <si>
    <t>5e20b730f2f8d5003d739db7-5f6142d2fc6ce20041ec3c92</t>
  </si>
  <si>
    <t>STADPLEX</t>
  </si>
  <si>
    <t>517699155</t>
  </si>
  <si>
    <t>HBCUGO SPORTS</t>
  </si>
  <si>
    <t>5e20b730f2f8d5003d739db7-631a212e82b744e0309aa56e</t>
  </si>
  <si>
    <t>HBSPLEX</t>
  </si>
  <si>
    <t>517699154</t>
  </si>
  <si>
    <t>The Jim Rome Show</t>
  </si>
  <si>
    <t>5e20b730f2f8d5003d739db7-66b2a9acc0ebb601ab4b1e73</t>
  </si>
  <si>
    <t>JIMROMS</t>
  </si>
  <si>
    <t>517637350</t>
  </si>
  <si>
    <t>FanDuel TV Extra</t>
  </si>
  <si>
    <t>5e20b730f2f8d5003d739db7-64e9f17c7511e20e999d6c34</t>
  </si>
  <si>
    <t>FNDULXTR</t>
  </si>
  <si>
    <t>517637715</t>
  </si>
  <si>
    <t>SportsGrid</t>
  </si>
  <si>
    <t>5e20b730f2f8d5003d739db7-5ef11485d33ab9004048a1ca</t>
  </si>
  <si>
    <t>SPTSGRD</t>
  </si>
  <si>
    <t>517637347</t>
  </si>
  <si>
    <t>ACCDN</t>
  </si>
  <si>
    <t>5e20b730f2f8d5003d739db7-5f8ee3727c75fa002d9e47c1</t>
  </si>
  <si>
    <t>ACCDPLEX</t>
  </si>
  <si>
    <t>517699224</t>
  </si>
  <si>
    <t>Dungeons &amp; Dragons Adventures</t>
  </si>
  <si>
    <t>5e20b730f2f8d5003d739db7-653d9d28d3e2e30d889226be</t>
  </si>
  <si>
    <t>DDAPLEX</t>
  </si>
  <si>
    <t>517878561</t>
  </si>
  <si>
    <t>RetroCrush</t>
  </si>
  <si>
    <t>5e20b730f2f8d5003d739db7-5ef4e1b40d9ad000423c442a</t>
  </si>
  <si>
    <t>RTRCRSH</t>
  </si>
  <si>
    <t>495621061</t>
  </si>
  <si>
    <t>FilmRise Anime</t>
  </si>
  <si>
    <t>5e20b730f2f8d5003d739db7-6449369eb3ff17382cae5819</t>
  </si>
  <si>
    <t>FLMRDANI</t>
  </si>
  <si>
    <t>517999860</t>
  </si>
  <si>
    <t>FilmRise Kids</t>
  </si>
  <si>
    <t>5e20b730f2f8d5003d739db7-6449369eb3ff17382cae57ff</t>
  </si>
  <si>
    <t>FLMRSKID</t>
  </si>
  <si>
    <t>517999887</t>
  </si>
  <si>
    <t>PBS Retro</t>
  </si>
  <si>
    <t>5e20b730f2f8d5003d739db7-65fb337f00433c8a0799ce98</t>
  </si>
  <si>
    <t>PBSRET</t>
  </si>
  <si>
    <t>517999870</t>
  </si>
  <si>
    <t>Mattel Jr.</t>
  </si>
  <si>
    <t>5e20b730f2f8d5003d739db7-674486a3c583cfbd5f0e1da7</t>
  </si>
  <si>
    <t>MATJR</t>
  </si>
  <si>
    <t>517999852</t>
  </si>
  <si>
    <t>Barbie and Friends by Mattel</t>
  </si>
  <si>
    <t>5e20b730f2f8d5003d739db7-674487c3c583cfbd5f0e1da9</t>
  </si>
  <si>
    <t>BRBFRMA</t>
  </si>
  <si>
    <t>517999864</t>
  </si>
  <si>
    <t>Hot Wheels Action</t>
  </si>
  <si>
    <t>5e20b730f2f8d5003d739db7-67448316c583cfbd5f0e1d99</t>
  </si>
  <si>
    <t>HOTWLAC</t>
  </si>
  <si>
    <t>517999843</t>
  </si>
  <si>
    <t>Power Rangers</t>
  </si>
  <si>
    <t>5e20b730f2f8d5003d739db7-644a69895b1d51b6a8d18609</t>
  </si>
  <si>
    <t>PWRNGRS</t>
  </si>
  <si>
    <t>495621074</t>
  </si>
  <si>
    <t>Sonic TV</t>
  </si>
  <si>
    <t>5e20b730f2f8d5003d739db7-62ba4aaff663580a7238f327</t>
  </si>
  <si>
    <t>SONICTV</t>
  </si>
  <si>
    <t>489011250</t>
  </si>
  <si>
    <t>Transformers</t>
  </si>
  <si>
    <t>5e20b730f2f8d5003d739db7-644a675d5b1d51b6a8d18607</t>
  </si>
  <si>
    <t>TRANSFM</t>
  </si>
  <si>
    <t>489011247</t>
  </si>
  <si>
    <t>My Little Pony</t>
  </si>
  <si>
    <t>5e20b730f2f8d5003d739db7-67182cd9d321899c5dc8a00c</t>
  </si>
  <si>
    <t>MYLILPON</t>
  </si>
  <si>
    <t>517999889</t>
  </si>
  <si>
    <t>9 Story Presents: Garfield and Friends</t>
  </si>
  <si>
    <t>5e20b730f2f8d5003d739db7-6745dca72832b870acf5321f</t>
  </si>
  <si>
    <t>GARFPLEX</t>
  </si>
  <si>
    <t>517878584</t>
  </si>
  <si>
    <t>Barney and Friends</t>
  </si>
  <si>
    <t>5e20b730f2f8d5003d739db7-671c1743128bc4121f80aef5</t>
  </si>
  <si>
    <t>BARNPLEX</t>
  </si>
  <si>
    <t>517878579</t>
  </si>
  <si>
    <t>Ryan and Friends</t>
  </si>
  <si>
    <t>5e20b730f2f8d5003d739db7-5f91c4ea96a391002df9a664</t>
  </si>
  <si>
    <t>RYANFR</t>
  </si>
  <si>
    <t>489011259</t>
  </si>
  <si>
    <t>Toon Goggles</t>
  </si>
  <si>
    <t>5e20b730f2f8d5003d739db7-5f170d60b898490041b49359</t>
  </si>
  <si>
    <t>TOONGOGGLES</t>
  </si>
  <si>
    <t>409614152</t>
  </si>
  <si>
    <t>Pocket.Watch Game-On</t>
  </si>
  <si>
    <t>5e20b730f2f8d5003d739db7-5f91c4ea96a391002df9a661</t>
  </si>
  <si>
    <t>POCKWATCH</t>
  </si>
  <si>
    <t>489011253</t>
  </si>
  <si>
    <t>KIDoodle tv</t>
  </si>
  <si>
    <t>5e20b730f2f8d5003d739db7-5eea605574085f0040ddc79a</t>
  </si>
  <si>
    <t>KIDDOODLETV</t>
  </si>
  <si>
    <t>489011251</t>
  </si>
  <si>
    <t>BABY SHARK TV</t>
  </si>
  <si>
    <t>5e20b730f2f8d5003d739db7-60d4eddeb2fdec002c141137</t>
  </si>
  <si>
    <t>BABYSHARK</t>
  </si>
  <si>
    <t>489011246</t>
  </si>
  <si>
    <t>KidsFlix</t>
  </si>
  <si>
    <t>5e20b730f2f8d5003d739db7-5eea605574085f0040ddc797</t>
  </si>
  <si>
    <t>KIDPLEX</t>
  </si>
  <si>
    <t>517699168</t>
  </si>
  <si>
    <t>SKWAD</t>
  </si>
  <si>
    <t>5e20b730f2f8d5003d739db7-5f170d62b898490041b49374</t>
  </si>
  <si>
    <t>SKWPLEX</t>
  </si>
  <si>
    <t>517699214</t>
  </si>
  <si>
    <t>Eddie's Wonderland</t>
  </si>
  <si>
    <t>5e20b730f2f8d5003d739db7-618ab1f175913b296fbe56db</t>
  </si>
  <si>
    <t>EDWONDER</t>
  </si>
  <si>
    <t>517571303</t>
  </si>
  <si>
    <t>TG Junior</t>
  </si>
  <si>
    <t>5e20b730f2f8d5003d739db7-5f170d64b898490041b4938f</t>
  </si>
  <si>
    <t>TGJPLEX</t>
  </si>
  <si>
    <t>517699184</t>
  </si>
  <si>
    <t>Toony Planet</t>
  </si>
  <si>
    <t>5e20b730f2f8d5003d739db7-60d4eddfb2fdec002c141139</t>
  </si>
  <si>
    <t>TOONYPL</t>
  </si>
  <si>
    <t>489011248</t>
  </si>
  <si>
    <t>Noticias Telemundo AHORA</t>
  </si>
  <si>
    <t>5e20b730f2f8d5003d739db7-6478acb5c83f56da796f166c</t>
  </si>
  <si>
    <t>NTAHO</t>
  </si>
  <si>
    <t>517699174</t>
  </si>
  <si>
    <t>Estrella News</t>
  </si>
  <si>
    <t>5e20b730f2f8d5003d739db7-60089d97f682a3002c34829b</t>
  </si>
  <si>
    <t>ESTNEWS</t>
  </si>
  <si>
    <t>517938458</t>
  </si>
  <si>
    <t>CNÑ XPRESS</t>
  </si>
  <si>
    <t>5e20b730f2f8d5003d739db7-671c246e572427bfa1eb7ed5</t>
  </si>
  <si>
    <t>CNNXP</t>
  </si>
  <si>
    <t>517699243</t>
  </si>
  <si>
    <t>Telemundo al Dia</t>
  </si>
  <si>
    <t>5e20b730f2f8d5003d739db7-6478acb5c83f56da796f166f</t>
  </si>
  <si>
    <t>TELEMDIA</t>
  </si>
  <si>
    <t>517638236</t>
  </si>
  <si>
    <t>WAPA+</t>
  </si>
  <si>
    <t>5e20b730f2f8d5003d739db7-66e0d0c4f70549a9bc1eceb0</t>
  </si>
  <si>
    <t>517999877</t>
  </si>
  <si>
    <t>Canela.TV Hollywood y Más</t>
  </si>
  <si>
    <t>5e20b730f2f8d5003d739db7-64fba5f3214cf8b3b54b5ecc</t>
  </si>
  <si>
    <t>CANHOL</t>
  </si>
  <si>
    <t>517938474</t>
  </si>
  <si>
    <t>El Rey Rebel</t>
  </si>
  <si>
    <t>5e20b730f2f8d5003d739db7-6335ad3170dc93c71ab5ce09</t>
  </si>
  <si>
    <t>ELRRPLEX</t>
  </si>
  <si>
    <t>517699258</t>
  </si>
  <si>
    <t>FilmRise Películas Gratis</t>
  </si>
  <si>
    <t>5e20b730f2f8d5003d739db7-6449369eb3ff17382cae57fc</t>
  </si>
  <si>
    <t>FLMRSPEL</t>
  </si>
  <si>
    <t>517999883</t>
  </si>
  <si>
    <t>Todo Cine</t>
  </si>
  <si>
    <t>5e20b730f2f8d5003d739db7-644c446d7472b186783f359e</t>
  </si>
  <si>
    <t>TODCIN</t>
  </si>
  <si>
    <t>517999902</t>
  </si>
  <si>
    <t>butaca tv</t>
  </si>
  <si>
    <t>5e20b730f2f8d5003d739db7-67367a2d9564224797d5b59c</t>
  </si>
  <si>
    <t>BUTACTV</t>
  </si>
  <si>
    <t>495621241</t>
  </si>
  <si>
    <t>Cine EstrellaTV</t>
  </si>
  <si>
    <t>5e20b730f2f8d5003d739db7-64fb8ec0214cf8b3b54b5ec8</t>
  </si>
  <si>
    <t>CINEST</t>
  </si>
  <si>
    <t>517999881</t>
  </si>
  <si>
    <t>Runtime Español</t>
  </si>
  <si>
    <t>5e20b730f2f8d5003d739db7-5f5132e362fe160040f26c15</t>
  </si>
  <si>
    <t>RUNTESP</t>
  </si>
  <si>
    <t>517999856</t>
  </si>
  <si>
    <t>FreeTV Estelar</t>
  </si>
  <si>
    <t>5e20b730f2f8d5003d739db7-608b7095a09205002da4f293</t>
  </si>
  <si>
    <t>FREETVES</t>
  </si>
  <si>
    <t>517999857</t>
  </si>
  <si>
    <t>Hallmark en Español</t>
  </si>
  <si>
    <t>5e20b730f2f8d5003d739db7-65d7b3d2278ed4498289c34b</t>
  </si>
  <si>
    <t>HLMESP</t>
  </si>
  <si>
    <t>495621184</t>
  </si>
  <si>
    <t>Anger Management en español</t>
  </si>
  <si>
    <t>5e20b730f2f8d5003d739db7-64149ba2d02609d8a7127ee8</t>
  </si>
  <si>
    <t>ANGRESP</t>
  </si>
  <si>
    <t>517938868</t>
  </si>
  <si>
    <t>Autopista al Cielo</t>
  </si>
  <si>
    <t>5e20b730f2f8d5003d739db7-6449369eb3ff17382cae5811</t>
  </si>
  <si>
    <t>ATSCLO</t>
  </si>
  <si>
    <t>517999861</t>
  </si>
  <si>
    <t>FilmRise Series Gratis</t>
  </si>
  <si>
    <t>5e20b730f2f8d5003d739db7-6449369eb3ff17382cae5803</t>
  </si>
  <si>
    <t>FLMGR</t>
  </si>
  <si>
    <t>517699181</t>
  </si>
  <si>
    <t>Telemundo Acción</t>
  </si>
  <si>
    <t>5e20b730f2f8d5003d739db7-6478acb5c83f56da796f1670</t>
  </si>
  <si>
    <t>TELACC</t>
  </si>
  <si>
    <t>517699254</t>
  </si>
  <si>
    <t>RCN Más</t>
  </si>
  <si>
    <t>5e20b730f2f8d5003d739db7-6244f2d33ef43121e567cf13</t>
  </si>
  <si>
    <t>RCNMAS</t>
  </si>
  <si>
    <t>517699190</t>
  </si>
  <si>
    <t>FreeTV Live</t>
  </si>
  <si>
    <t>5e20b730f2f8d5003d739db7-6018913ea15130002b28418f</t>
  </si>
  <si>
    <t>FRLPLEX</t>
  </si>
  <si>
    <t>517699242</t>
  </si>
  <si>
    <t>Canela.TV Pasión Latina</t>
  </si>
  <si>
    <t>5e20b730f2f8d5003d739db7-5f5132e362fe160040f26c18</t>
  </si>
  <si>
    <t>ANPSLA</t>
  </si>
  <si>
    <t>517699249</t>
  </si>
  <si>
    <t>Novelisima</t>
  </si>
  <si>
    <t>5e20b730f2f8d5003d739db7-64d4e82ac5d4668c9cb7b5df</t>
  </si>
  <si>
    <t>NOVELISIMAPL</t>
  </si>
  <si>
    <t>498373754</t>
  </si>
  <si>
    <t>Canela Telenovelas</t>
  </si>
  <si>
    <t>5e20b730f2f8d5003d739db7-64e6df6e4a5e9b4cedc6d529</t>
  </si>
  <si>
    <t>CNLTNV</t>
  </si>
  <si>
    <t>495621148</t>
  </si>
  <si>
    <t>Todo Novelas, más Pasiones</t>
  </si>
  <si>
    <t>5e20b730f2f8d5003d739db7-65257cdf65486aca7aa77716</t>
  </si>
  <si>
    <t>TONO</t>
  </si>
  <si>
    <t>517999872</t>
  </si>
  <si>
    <t>Telemundo Romance</t>
  </si>
  <si>
    <t>5e20b730f2f8d5003d739db7-6478acb5c83f56da796f166d</t>
  </si>
  <si>
    <t>TELROM</t>
  </si>
  <si>
    <t>517699240</t>
  </si>
  <si>
    <t>Corazón</t>
  </si>
  <si>
    <t>5e20b730f2f8d5003d739db7-64694d52f73356567a64ce8c</t>
  </si>
  <si>
    <t>CORAZ</t>
  </si>
  <si>
    <t>517938455</t>
  </si>
  <si>
    <t>Spark TV Luz y Amor</t>
  </si>
  <si>
    <t>5e20b730f2f8d5003d739db7-661d6a8db518ef381a85ed60</t>
  </si>
  <si>
    <t>SPARKPLEX</t>
  </si>
  <si>
    <t>517938921</t>
  </si>
  <si>
    <t>FreeTV Familia</t>
  </si>
  <si>
    <t>5e20b730f2f8d5003d739db7-60240f57676235002df19f49</t>
  </si>
  <si>
    <t>FAMPLEX</t>
  </si>
  <si>
    <t>517699198</t>
  </si>
  <si>
    <t>Oro TV</t>
  </si>
  <si>
    <t>5e20b730f2f8d5003d739db7-64f0db77c2bc9b9001d46eaa</t>
  </si>
  <si>
    <t>OROTV</t>
  </si>
  <si>
    <t>517699247</t>
  </si>
  <si>
    <t>Canela.TV Clásicos</t>
  </si>
  <si>
    <t>5e20b730f2f8d5003d739db7-64fba469bb3e0baa5dcc0947</t>
  </si>
  <si>
    <t>CANCL</t>
  </si>
  <si>
    <t>517699191</t>
  </si>
  <si>
    <t>Cine y Series</t>
  </si>
  <si>
    <t>5e20b730f2f8d5003d739db7-65f0e049046e6131ecc31847</t>
  </si>
  <si>
    <t>SINSER</t>
  </si>
  <si>
    <t>517999853</t>
  </si>
  <si>
    <t>Grjngo - Películas Del Oeste</t>
  </si>
  <si>
    <t>5e20b730f2f8d5003d739db7-63489eff90b96ef5e0eb3282</t>
  </si>
  <si>
    <t>GRJPPLEX</t>
  </si>
  <si>
    <t>517938467</t>
  </si>
  <si>
    <t>Crimen</t>
  </si>
  <si>
    <t>5e20b730f2f8d5003d739db7-671c2353572427bfa1eb7ed3</t>
  </si>
  <si>
    <t>CRIMEN</t>
  </si>
  <si>
    <t>517699223</t>
  </si>
  <si>
    <t>COPS en Español</t>
  </si>
  <si>
    <t>5e20b730f2f8d5003d739db7-6477b95b7ba9c0d593859bfc</t>
  </si>
  <si>
    <t>COPSPE</t>
  </si>
  <si>
    <t>495621099</t>
  </si>
  <si>
    <t>Misterios sin Resolver</t>
  </si>
  <si>
    <t>5e20b730f2f8d5003d739db7-64d79408e5f67b0fab47ff24</t>
  </si>
  <si>
    <t>MISTPLEX</t>
  </si>
  <si>
    <t>517878597</t>
  </si>
  <si>
    <t>FilmRise Crímenes Verdaderos</t>
  </si>
  <si>
    <t>5e20b730f2f8d5003d739db7-6449369f243fbe342a9c0b4e</t>
  </si>
  <si>
    <t>FLMCRVR</t>
  </si>
  <si>
    <t>517938453</t>
  </si>
  <si>
    <t>Todo Crimen</t>
  </si>
  <si>
    <t>5e20b730f2f8d5003d739db7-666e236ace73ed6023b55a17</t>
  </si>
  <si>
    <t>TODPLEX</t>
  </si>
  <si>
    <t>517699253</t>
  </si>
  <si>
    <t>Zona Investigación</t>
  </si>
  <si>
    <t>5e20b730f2f8d5003d739db7-65f0da6f046e6131ecc31841</t>
  </si>
  <si>
    <t>ZONA</t>
  </si>
  <si>
    <t>517999879</t>
  </si>
  <si>
    <t>Cine de Horror</t>
  </si>
  <si>
    <t>5e20b730f2f8d5003d739db7-64e6e2f04a5e9b4cedc6d52b</t>
  </si>
  <si>
    <t>CINEHPLEX</t>
  </si>
  <si>
    <t>517938461</t>
  </si>
  <si>
    <t>Expedientes Sobrenaturales</t>
  </si>
  <si>
    <t>5e20b730f2f8d5003d739db7-671c21f5128bc4121f80aefa</t>
  </si>
  <si>
    <t>EXSOB</t>
  </si>
  <si>
    <t>517699216</t>
  </si>
  <si>
    <t>TuWarner</t>
  </si>
  <si>
    <t>5e20b730f2f8d5003d739db7-671c1a95572427bfa1eb7ecb</t>
  </si>
  <si>
    <t>TUWAR</t>
  </si>
  <si>
    <t>517699187</t>
  </si>
  <si>
    <t>Bodas +</t>
  </si>
  <si>
    <t>5e20b730f2f8d5003d739db7-671c1df4572427bfa1eb7ecf</t>
  </si>
  <si>
    <t>517699231</t>
  </si>
  <si>
    <t>TuDiscovery</t>
  </si>
  <si>
    <t>5e20b730f2f8d5003d739db7-671c2065128bc4121f80aef8</t>
  </si>
  <si>
    <t>TUDSC</t>
  </si>
  <si>
    <t>517637413</t>
  </si>
  <si>
    <t>Aventura</t>
  </si>
  <si>
    <t>5e20b730f2f8d5003d739db7-671c1f46572427bfa1eb7ed1</t>
  </si>
  <si>
    <t>AVENTUR</t>
  </si>
  <si>
    <t>517699195</t>
  </si>
  <si>
    <t>Ice Pilots NWT (en español)</t>
  </si>
  <si>
    <t>5e20b730f2f8d5003d739db7-666e192cd91d13cb4c8cbb6b</t>
  </si>
  <si>
    <t>ICEPLEX</t>
  </si>
  <si>
    <t>517699228</t>
  </si>
  <si>
    <t>Vidas Extremas</t>
  </si>
  <si>
    <t>5e20b730f2f8d5003d739db7-671833e8d321899c5dc8a00e</t>
  </si>
  <si>
    <t>VIDAEXT</t>
  </si>
  <si>
    <t>517699199</t>
  </si>
  <si>
    <t>La Fiebre del Jade</t>
  </si>
  <si>
    <t>5e20b730f2f8d5003d739db7-666e1af3d91d13cb4c8cbb6d</t>
  </si>
  <si>
    <t>FIEBPLEX</t>
  </si>
  <si>
    <t>517699165</t>
  </si>
  <si>
    <t>Azteca Internacional</t>
  </si>
  <si>
    <t>5e20b730f2f8d5003d739db7-646d06c9b09f13b2d8af68d8</t>
  </si>
  <si>
    <t>AZTINT</t>
  </si>
  <si>
    <t>517699176</t>
  </si>
  <si>
    <t>Estrella TV Plex</t>
  </si>
  <si>
    <t>5e20b730f2f8d5003d739db7-60089d98f682a3002c34829f</t>
  </si>
  <si>
    <t>ESTRELLATVPL</t>
  </si>
  <si>
    <t>498373746</t>
  </si>
  <si>
    <t>Clic</t>
  </si>
  <si>
    <t>5e20b730f2f8d5003d739db7-6469502df73356567a64ce8e</t>
  </si>
  <si>
    <t>CLICPLX</t>
  </si>
  <si>
    <t>517999898</t>
  </si>
  <si>
    <t>FLOU Detonación</t>
  </si>
  <si>
    <t>5e20b730f2f8d5003d739db7-673675909564224797d5b598</t>
  </si>
  <si>
    <t>FLOUDET</t>
  </si>
  <si>
    <t>517999884</t>
  </si>
  <si>
    <t>LATV</t>
  </si>
  <si>
    <t>5e20b730f2f8d5003d739db7-6685a97b59703916799193a5</t>
  </si>
  <si>
    <t>LATV PLEX</t>
  </si>
  <si>
    <t>517571290</t>
  </si>
  <si>
    <t>Always Funny en Español</t>
  </si>
  <si>
    <t>5e20b730f2f8d5003d739db7-5ef4e1b10d9ad000423c4421</t>
  </si>
  <si>
    <t>AFNES</t>
  </si>
  <si>
    <t>495621240</t>
  </si>
  <si>
    <t>El Conflicto TV</t>
  </si>
  <si>
    <t>5e20b730f2f8d5003d739db7-621674f168c966be92737ce6</t>
  </si>
  <si>
    <t>ELCTV</t>
  </si>
  <si>
    <t>495621106</t>
  </si>
  <si>
    <t>Nosey Escándalos</t>
  </si>
  <si>
    <t>5e20b730f2f8d5003d739db7-6154a863e3e4d9577f96b31a</t>
  </si>
  <si>
    <t>NSYESC</t>
  </si>
  <si>
    <t>495621149</t>
  </si>
  <si>
    <t>Cheaters en Español</t>
  </si>
  <si>
    <t>5e20b730f2f8d5003d739db7-65623e0eb7d737841f30a4ff</t>
  </si>
  <si>
    <t>CHESP</t>
  </si>
  <si>
    <t>517699274</t>
  </si>
  <si>
    <t>Estrella Games</t>
  </si>
  <si>
    <t>5e20b730f2f8d5003d739db7-64fb9149bb3e0baa5dcc0944</t>
  </si>
  <si>
    <t>ESTRLGM</t>
  </si>
  <si>
    <t>517999855</t>
  </si>
  <si>
    <t>Construcciones Asombrosas</t>
  </si>
  <si>
    <t>5e20b730f2f8d5003d739db7-671c1c8f572427bfa1eb7ecd</t>
  </si>
  <si>
    <t>CONSASOM</t>
  </si>
  <si>
    <t>517699202</t>
  </si>
  <si>
    <t>FilmRise Concursos de Cocina</t>
  </si>
  <si>
    <t>5e20b730f2f8d5003d739db7-6449369eb3ff17382cae5802</t>
  </si>
  <si>
    <t>FLMRSCO</t>
  </si>
  <si>
    <t>517999869</t>
  </si>
  <si>
    <t>Iron Chef en español</t>
  </si>
  <si>
    <t>5e20b730f2f8d5003d739db7-6707d20ab87b5cf57ac33c95</t>
  </si>
  <si>
    <t>IRONCH</t>
  </si>
  <si>
    <t>517999863</t>
  </si>
  <si>
    <t>Saborear TV</t>
  </si>
  <si>
    <t>5e20b730f2f8d5003d739db7-64f0d9a7c2bc9b9001d46ea6</t>
  </si>
  <si>
    <t>Sabtv</t>
  </si>
  <si>
    <t>514601898</t>
  </si>
  <si>
    <t>Buen Viaje</t>
  </si>
  <si>
    <t>5e20b730f2f8d5003d739db7-666e15a3ce73ed6023b55a0f</t>
  </si>
  <si>
    <t>BUENVIA</t>
  </si>
  <si>
    <t>517571266</t>
  </si>
  <si>
    <t>Mi Casa</t>
  </si>
  <si>
    <t>5e20b730f2f8d5003d739db7-666e1c83d91d13cb4c8cbb71</t>
  </si>
  <si>
    <t>MICPLEX</t>
  </si>
  <si>
    <t>517699273</t>
  </si>
  <si>
    <t>ÚN TV</t>
  </si>
  <si>
    <t>5e20b730f2f8d5003d739db7-65f0de01046e6131ecc31845</t>
  </si>
  <si>
    <t>UNTPLEX</t>
  </si>
  <si>
    <t>517699159</t>
  </si>
  <si>
    <t>FreeTV Saber Más</t>
  </si>
  <si>
    <t>5e20b730f2f8d5003d739db7-6018913ea15130002b284195</t>
  </si>
  <si>
    <t>SABPLEX</t>
  </si>
  <si>
    <t>517699220</t>
  </si>
  <si>
    <t>Naturaleza</t>
  </si>
  <si>
    <t>5e20b730f2f8d5003d739db7-666e2178d91d13cb4c8cbb75</t>
  </si>
  <si>
    <t>NATUPLEX</t>
  </si>
  <si>
    <t>517699235</t>
  </si>
  <si>
    <t>Naturaleza Salvaje</t>
  </si>
  <si>
    <t>5e20b730f2f8d5003d739db7-66ccb35278822c7edc4b6e01</t>
  </si>
  <si>
    <t>NATURPLEX</t>
  </si>
  <si>
    <t>517878562</t>
  </si>
  <si>
    <t>Canela.TV Deportes</t>
  </si>
  <si>
    <t>5e20b730f2f8d5003d739db7-64fba7b6bb3e0baa5dcc0949</t>
  </si>
  <si>
    <t>CANELPLEX</t>
  </si>
  <si>
    <t>517938471</t>
  </si>
  <si>
    <t>Lucha Plus</t>
  </si>
  <si>
    <t>5e20b730f2f8d5003d739db7-67a1a8ef2358ef4dd5c3018e</t>
  </si>
  <si>
    <t>LUCPL</t>
  </si>
  <si>
    <t>517699263</t>
  </si>
  <si>
    <t>JUBAO</t>
  </si>
  <si>
    <t>5e20b730f2f8d5003d739db7-639baa971a12420ff66ae7b1</t>
  </si>
  <si>
    <t>483305705</t>
  </si>
  <si>
    <t>Aliwko</t>
  </si>
  <si>
    <t>5e20b730f2f8d5003d739db7-64d4ee537b323f6abbd19e59</t>
  </si>
  <si>
    <t>ALIWKOHD</t>
  </si>
  <si>
    <t>495621079</t>
  </si>
  <si>
    <t>AsianCrush</t>
  </si>
  <si>
    <t>5e20b730f2f8d5003d739db7-5eea605474085f0040ddc767</t>
  </si>
  <si>
    <t>ASNCRUSH</t>
  </si>
  <si>
    <t>495621177</t>
  </si>
  <si>
    <t>TVB Pearl Drama</t>
  </si>
  <si>
    <t>5e20b730f2f8d5003d739db7-65621947b7d737841f30a4f7</t>
  </si>
  <si>
    <t>TVBPRL</t>
  </si>
  <si>
    <t>495621083</t>
  </si>
  <si>
    <t>Hi-YAH!</t>
  </si>
  <si>
    <t>5e20b730f2f8d5003d739db7-5f64c4ef35f612003f6ffe30</t>
  </si>
  <si>
    <t>HIYAHPLEX</t>
  </si>
  <si>
    <t>498373758</t>
  </si>
  <si>
    <t>Wu Tang Collection</t>
  </si>
  <si>
    <t>5e20b730f2f8d5003d739db7-5eea605474085f0040ddc770</t>
  </si>
  <si>
    <t>WUTACLTN</t>
  </si>
  <si>
    <t>495621248</t>
  </si>
  <si>
    <t>AfrolandTV</t>
  </si>
  <si>
    <t>5e20b730f2f8d5003d739db7-60e737a4ebef9d002c4d0a0c</t>
  </si>
  <si>
    <t>AFRLDTV</t>
  </si>
  <si>
    <t>495621094</t>
  </si>
  <si>
    <t>Nolly Africa HD</t>
  </si>
  <si>
    <t>5e20b730f2f8d5003d739db7-64b1e1217d4037206787f384</t>
  </si>
  <si>
    <t>NLYAFHD</t>
  </si>
  <si>
    <t>495621111</t>
  </si>
  <si>
    <t>Desi Play TV</t>
  </si>
  <si>
    <t>5e20b730f2f8d5003d739db7-634dddc8a319c6df243f521f</t>
  </si>
  <si>
    <t>DSPYTV</t>
  </si>
  <si>
    <t>495621128</t>
  </si>
  <si>
    <t>Shemaroo Bollywood</t>
  </si>
  <si>
    <t>5e20b730f2f8d5003d739db7-62d1a58e520656fda09e609d</t>
  </si>
  <si>
    <t>SHMBLY</t>
  </si>
  <si>
    <t>495621172</t>
  </si>
  <si>
    <t>Music Legends</t>
  </si>
  <si>
    <t>5e20b730f2f8d5003d739db7-6196c8c01d310bf925e02615</t>
  </si>
  <si>
    <t>MSCLGD</t>
  </si>
  <si>
    <t>495621060</t>
  </si>
  <si>
    <t>Qwest TV</t>
  </si>
  <si>
    <t>5e20b730f2f8d5003d739db7-60b0f65c0c8ffb002c821a75</t>
  </si>
  <si>
    <t>QWESTV</t>
  </si>
  <si>
    <t>495621173</t>
  </si>
  <si>
    <t>5e20b730f2f8d5003d739db7-608aec5fa09205002da4f28f</t>
  </si>
  <si>
    <t>BACKSTG</t>
  </si>
  <si>
    <t>495621234</t>
  </si>
  <si>
    <t>TRACE Urban</t>
  </si>
  <si>
    <t>5e20b730f2f8d5003d739db7-6322658be67cf9cd9011fcda</t>
  </si>
  <si>
    <t>TRURBAN</t>
  </si>
  <si>
    <t>496287338</t>
  </si>
  <si>
    <t>TRACE Brazuca</t>
  </si>
  <si>
    <t>5e20b730f2f8d5003d739db7-6329474265c8569187176338</t>
  </si>
  <si>
    <t>TRCBRZ</t>
  </si>
  <si>
    <t>495621097</t>
  </si>
  <si>
    <t>TRACE Latina</t>
  </si>
  <si>
    <t>5e20b730f2f8d5003d739db7-63226c03e67cf9cd9011fcdf</t>
  </si>
  <si>
    <t>TRCLTN</t>
  </si>
  <si>
    <t>495621244</t>
  </si>
  <si>
    <t>FreeTV Hits</t>
  </si>
  <si>
    <t>5e20b730f2f8d5003d739db7-6018913ea15130002b284191</t>
  </si>
  <si>
    <t>FREETVHT</t>
  </si>
  <si>
    <t>517571282</t>
  </si>
  <si>
    <t>Local News</t>
  </si>
  <si>
    <t>VR+</t>
  </si>
  <si>
    <t>5e20b730f2f8d5003d739db7-65a1d3996475bf522f9256e3</t>
  </si>
  <si>
    <t>517571295</t>
  </si>
  <si>
    <t>Action News Jax</t>
  </si>
  <si>
    <t>5e20b730f2f8d5003d739db7-61f9a4c0c68d91e31d4cc86a</t>
  </si>
  <si>
    <t>ACNPLEX</t>
  </si>
  <si>
    <t>517878603</t>
  </si>
  <si>
    <t>Boston 25 News</t>
  </si>
  <si>
    <t>5e20b730f2f8d5003d739db7-61f9a37f43ec158c3a3eb292</t>
  </si>
  <si>
    <t>BOSNWPLEX</t>
  </si>
  <si>
    <t>517878590</t>
  </si>
  <si>
    <t>KATC</t>
  </si>
  <si>
    <t>5e20b730f2f8d5003d739db7-6577a8c9f8a8e7d24bc86ecf</t>
  </si>
  <si>
    <t>KATC PLX</t>
  </si>
  <si>
    <t>517699234</t>
  </si>
  <si>
    <t>KBZK</t>
  </si>
  <si>
    <t>5e20b730f2f8d5003d739db7-6578a5cefb1a19389c93fc77</t>
  </si>
  <si>
    <t>KBZK PLEX</t>
  </si>
  <si>
    <t>517699222</t>
  </si>
  <si>
    <t>KERO</t>
  </si>
  <si>
    <t>5e20b730f2f8d5003d739db7-6577a7b7f8a8e7d24bc86ecd</t>
  </si>
  <si>
    <t>KERO Plex</t>
  </si>
  <si>
    <t>517699252</t>
  </si>
  <si>
    <t>KGTV</t>
  </si>
  <si>
    <t>5e20b730f2f8d5003d739db7-6577a991ae30e4a5bfdc19b5</t>
  </si>
  <si>
    <t>KGTV PLEX</t>
  </si>
  <si>
    <t>517699257</t>
  </si>
  <si>
    <t>KGUN</t>
  </si>
  <si>
    <t>5e20b730f2f8d5003d739db7-6577b6f6ae30e4a5bfdc19c5</t>
  </si>
  <si>
    <t>KGUN PLEX</t>
  </si>
  <si>
    <t>517699250</t>
  </si>
  <si>
    <t>KIRO 7 Seattle</t>
  </si>
  <si>
    <t>5e20b730f2f8d5003d739db7-61f9a1f5c68d91e31d4cc864</t>
  </si>
  <si>
    <t>KIROPLEX</t>
  </si>
  <si>
    <t>517878568</t>
  </si>
  <si>
    <t>KIVI</t>
  </si>
  <si>
    <t>5e20b730f2f8d5003d739db7-6577b59af8a8e7d24bc86edf</t>
  </si>
  <si>
    <t>KIVI PLEX</t>
  </si>
  <si>
    <t>517699161</t>
  </si>
  <si>
    <t>KJRH</t>
  </si>
  <si>
    <t>5e20b730f2f8d5003d739db7-6577b4d3f8a8e7d24bc86edd</t>
  </si>
  <si>
    <t>KJRH PLEX</t>
  </si>
  <si>
    <t>517699172</t>
  </si>
  <si>
    <t>KMGH</t>
  </si>
  <si>
    <t>5e20b730f2f8d5003d739db7-6578a9dcfb1a19389c93fc7b</t>
  </si>
  <si>
    <t>KMGH PLEX</t>
  </si>
  <si>
    <t>517699212</t>
  </si>
  <si>
    <t>KMTV</t>
  </si>
  <si>
    <t>5e20b730f2f8d5003d739db7-6577b408ae30e4a5bfdc19c3</t>
  </si>
  <si>
    <t>KMTV PLEX</t>
  </si>
  <si>
    <t>517699197</t>
  </si>
  <si>
    <t>KNXV</t>
  </si>
  <si>
    <t>5e20b730f2f8d5003d739db7-6577ab54f8a8e7d24bc86ed3</t>
  </si>
  <si>
    <t>KNXV PLEX</t>
  </si>
  <si>
    <t>517699196</t>
  </si>
  <si>
    <t>KOAA</t>
  </si>
  <si>
    <t>5e20b730f2f8d5003d739db7-6577b359ae30e4a5bfdc19c1</t>
  </si>
  <si>
    <t>KOAA PLEX</t>
  </si>
  <si>
    <t>517699204</t>
  </si>
  <si>
    <t>KPAX</t>
  </si>
  <si>
    <t>5e20b730f2f8d5003d739db7-6577b219f8a8e7d24bc86ed9</t>
  </si>
  <si>
    <t>KPAX PLEX</t>
  </si>
  <si>
    <t>517699180</t>
  </si>
  <si>
    <t>KRIS</t>
  </si>
  <si>
    <t>5e20b730f2f8d5003d739db7-6577b17cae30e4a5bfdc19bf</t>
  </si>
  <si>
    <t>KRIS PLEX</t>
  </si>
  <si>
    <t>517699229</t>
  </si>
  <si>
    <t>KRTV</t>
  </si>
  <si>
    <t>5e20b730f2f8d5003d739db7-6578aaf77193576e171c7cfb</t>
  </si>
  <si>
    <t>KRTV PLEX</t>
  </si>
  <si>
    <t>517699261</t>
  </si>
  <si>
    <t>KSBY</t>
  </si>
  <si>
    <t>5e20b730f2f8d5003d739db7-6577aef7ae30e4a5bfdc19bd</t>
  </si>
  <si>
    <t>KSBY PLEX</t>
  </si>
  <si>
    <t>517699164</t>
  </si>
  <si>
    <t>KSHB</t>
  </si>
  <si>
    <t>5e20b730f2f8d5003d739db7-6578aa757193576e171c7cf9</t>
  </si>
  <si>
    <t>KSHB PLEX</t>
  </si>
  <si>
    <t>517699213</t>
  </si>
  <si>
    <t>KSTU</t>
  </si>
  <si>
    <t>5e20b730f2f8d5003d739db7-6577aa88f8a8e7d24bc86ed1</t>
  </si>
  <si>
    <t>KSTU PLEX</t>
  </si>
  <si>
    <t>517699225</t>
  </si>
  <si>
    <t>KTNV</t>
  </si>
  <si>
    <t>5e20b730f2f8d5003d739db7-6577ae41ae30e4a5bfdc19bb</t>
  </si>
  <si>
    <t>KTNV PLEX</t>
  </si>
  <si>
    <t>517699236</t>
  </si>
  <si>
    <t>KTVH</t>
  </si>
  <si>
    <t>5e20b730f2f8d5003d739db7-6578a2697193576e171c7cf1</t>
  </si>
  <si>
    <t>KTVH PLEX</t>
  </si>
  <si>
    <t>517699186</t>
  </si>
  <si>
    <t>KTVQ</t>
  </si>
  <si>
    <t>5e20b730f2f8d5003d739db7-6578a31e7193576e171c7cf3</t>
  </si>
  <si>
    <t>KTVQ PLEX</t>
  </si>
  <si>
    <t>517699160</t>
  </si>
  <si>
    <t>KXXV</t>
  </si>
  <si>
    <t>5e20b730f2f8d5003d739db7-6578a3c9fb1a19389c93fc75</t>
  </si>
  <si>
    <t>KXXV PLEX</t>
  </si>
  <si>
    <t>517699233</t>
  </si>
  <si>
    <t>NBC 10 Boston News</t>
  </si>
  <si>
    <t>5e20b730f2f8d5003d739db7-640b40234c73f13b72b85f39</t>
  </si>
  <si>
    <t>NBC10BSNS</t>
  </si>
  <si>
    <t>517637354</t>
  </si>
  <si>
    <t>NBC 10 Philadelphia News</t>
  </si>
  <si>
    <t>5e20b730f2f8d5003d739db7-64511fb8c9306f577b83d31a</t>
  </si>
  <si>
    <t>NBC10PH</t>
  </si>
  <si>
    <t>517699218</t>
  </si>
  <si>
    <t>NBC 4 Los Angeles News</t>
  </si>
  <si>
    <t>5e20b730f2f8d5003d739db7-64511fb81e004cae63e9d446</t>
  </si>
  <si>
    <t>NBC4LA</t>
  </si>
  <si>
    <t>517699171</t>
  </si>
  <si>
    <t>NBC 4 New York News</t>
  </si>
  <si>
    <t>5e20b730f2f8d5003d739db7-64511fb8af377870415adf52</t>
  </si>
  <si>
    <t>NBC4NY</t>
  </si>
  <si>
    <t>517699251</t>
  </si>
  <si>
    <t>NBC 4 Washington News</t>
  </si>
  <si>
    <t>5e20b730f2f8d5003d739db7-64511fb8416ddf4040dd5e53</t>
  </si>
  <si>
    <t>NBC4WAN</t>
  </si>
  <si>
    <t>517699241</t>
  </si>
  <si>
    <t>NBC 5 Chicago News</t>
  </si>
  <si>
    <t>5e20b730f2f8d5003d739db7-64511fb832ef45436e7edb42</t>
  </si>
  <si>
    <t>NBC5CH</t>
  </si>
  <si>
    <t>517699269</t>
  </si>
  <si>
    <t>NBC 6 South Florida News</t>
  </si>
  <si>
    <t>5e20b730f2f8d5003d739db7-64511fb9e53eaf32b7c5bc28</t>
  </si>
  <si>
    <t>NBC6SF</t>
  </si>
  <si>
    <t>517699230</t>
  </si>
  <si>
    <t>NBC 7 San Diego News</t>
  </si>
  <si>
    <t>5e20b730f2f8d5003d739db7-64511fb95b8920e1ce043c35</t>
  </si>
  <si>
    <t>NBC7SDN</t>
  </si>
  <si>
    <t>517637351</t>
  </si>
  <si>
    <t>NBC Bay Area News</t>
  </si>
  <si>
    <t>5e20b730f2f8d5003d739db7-64511fb89d0296ecc10e6026</t>
  </si>
  <si>
    <t>NBCBAN</t>
  </si>
  <si>
    <t>517638238</t>
  </si>
  <si>
    <t>NBC Connecticut News</t>
  </si>
  <si>
    <t>5e20b730f2f8d5003d739db7-64511fb8f42c1fe26681be38</t>
  </si>
  <si>
    <t>NBCONN</t>
  </si>
  <si>
    <t>517699158</t>
  </si>
  <si>
    <t>Very Alabama by WVTM</t>
  </si>
  <si>
    <t>5e20b730f2f8d5003d739db7-62440c9acc4140a6505193d4</t>
  </si>
  <si>
    <t>WVTMPLEX</t>
  </si>
  <si>
    <t>517878558</t>
  </si>
  <si>
    <t>Very Arkansas by 40/29</t>
  </si>
  <si>
    <t>5e20b730f2f8d5003d739db7-62440e79cc4140a6505193d6</t>
  </si>
  <si>
    <t>VERYAPLEX</t>
  </si>
  <si>
    <t>517878582</t>
  </si>
  <si>
    <t>Very Baltimore by WBAL-TV</t>
  </si>
  <si>
    <t>5e20b730f2f8d5003d739db7-624402b29d5efeceb0d783ae</t>
  </si>
  <si>
    <t>WBALPLEX</t>
  </si>
  <si>
    <t>517878592</t>
  </si>
  <si>
    <t>Very Boston by WCVB</t>
  </si>
  <si>
    <t>5e20b730f2f8d5003d739db7-624403e39d5efeceb0d783b0</t>
  </si>
  <si>
    <t>WCVBPLEX</t>
  </si>
  <si>
    <t>517878611</t>
  </si>
  <si>
    <t>Very Carolina by WXII</t>
  </si>
  <si>
    <t>5e20b730f2f8d5003d739db7-62441750cc4140a6505193e4</t>
  </si>
  <si>
    <t>WXIIPLEX</t>
  </si>
  <si>
    <t>517938459</t>
  </si>
  <si>
    <t>Very Carolina by WYFF 4</t>
  </si>
  <si>
    <t>5e20b730f2f8d5003d739db7-6243f13c02c2415bd217305a</t>
  </si>
  <si>
    <t>WYFFPLEX</t>
  </si>
  <si>
    <t>517878581</t>
  </si>
  <si>
    <t>Very Central Coast by KSBW</t>
  </si>
  <si>
    <t>5e20b730f2f8d5003d739db7-624401e19d5efeceb0d783ac</t>
  </si>
  <si>
    <t>KSBWPLEX</t>
  </si>
  <si>
    <t>517878591</t>
  </si>
  <si>
    <t>Very Champlain Valley by NBC 5</t>
  </si>
  <si>
    <t>5e20b730f2f8d5003d739db7-624418623d33078b9b43a8e5</t>
  </si>
  <si>
    <t>NBC5PLEX</t>
  </si>
  <si>
    <t>517938473</t>
  </si>
  <si>
    <t>Very Cincinnati by WLWT</t>
  </si>
  <si>
    <t>5e20b730f2f8d5003d739db7-62440a19cc4140a6505193ce</t>
  </si>
  <si>
    <t>WLWTPLEX</t>
  </si>
  <si>
    <t>517878575</t>
  </si>
  <si>
    <t>Very Iowa by KCCI</t>
  </si>
  <si>
    <t>5e20b730f2f8d5003d739db7-6243f36724b5b4351e300b99</t>
  </si>
  <si>
    <t>KCCIPLEX</t>
  </si>
  <si>
    <t>517878560</t>
  </si>
  <si>
    <t>Very Jackson by 16 WAPT</t>
  </si>
  <si>
    <t>5e20b730f2f8d5003d739db7-6243f2d924b5b4351e300b97</t>
  </si>
  <si>
    <t>WAPTPLEX</t>
  </si>
  <si>
    <t>517878559</t>
  </si>
  <si>
    <t>Very Kansas City by KMBC/KCWE</t>
  </si>
  <si>
    <t>5e20b730f2f8d5003d739db7-6243f73a24b5b4351e300b9b</t>
  </si>
  <si>
    <t>KMBCPLEX</t>
  </si>
  <si>
    <t>517878587</t>
  </si>
  <si>
    <t>Very Local</t>
  </si>
  <si>
    <t>5e20b730f2f8d5003d739db7-62441016cc4140a6505193da</t>
  </si>
  <si>
    <t>VLCLPLEX</t>
  </si>
  <si>
    <t>517938470</t>
  </si>
  <si>
    <t>Very Louisville by WLKY</t>
  </si>
  <si>
    <t>5e20b730f2f8d5003d739db7-6243f20a02c2415bd217305c</t>
  </si>
  <si>
    <t>WLKYPLEX</t>
  </si>
  <si>
    <t>517878570</t>
  </si>
  <si>
    <t>Very Maine by WMTW</t>
  </si>
  <si>
    <t>5e20b730f2f8d5003d739db7-62441639cc4140a6505193e0</t>
  </si>
  <si>
    <t>WMTWPLEX</t>
  </si>
  <si>
    <t>517939031</t>
  </si>
  <si>
    <t>Very Milwaukee by WISN 12</t>
  </si>
  <si>
    <t>5e20b730f2f8d5003d739db7-6243f0a902c2415bd2173058</t>
  </si>
  <si>
    <t>WISNPLEX</t>
  </si>
  <si>
    <t>517878569</t>
  </si>
  <si>
    <t>Very New Hampshire by WMUR</t>
  </si>
  <si>
    <t>5e20b730f2f8d5003d739db7-62440acccc4140a6505193d0</t>
  </si>
  <si>
    <t>WMURPLEX</t>
  </si>
  <si>
    <t>517878565</t>
  </si>
  <si>
    <t>Very New Mexico by KOAT</t>
  </si>
  <si>
    <t>5e20b730f2f8d5003d739db7-624416c4cc4140a6505193e2</t>
  </si>
  <si>
    <t>KOATPLEX</t>
  </si>
  <si>
    <t>517938454</t>
  </si>
  <si>
    <t>Very New Orleans by WDSU</t>
  </si>
  <si>
    <t>5e20b730f2f8d5003d739db7-624405209d5efeceb0d783b2</t>
  </si>
  <si>
    <t>WDSUPLEX</t>
  </si>
  <si>
    <t>517878567</t>
  </si>
  <si>
    <t>Very Oklahoma by KOCO</t>
  </si>
  <si>
    <t>5e20b730f2f8d5003d739db7-6243f7ac24b5b4351e300b9d</t>
  </si>
  <si>
    <t>KOCOPLEX</t>
  </si>
  <si>
    <t>517878580</t>
  </si>
  <si>
    <t>Very Omaha by KETV</t>
  </si>
  <si>
    <t>5e20b730f2f8d5003d739db7-6243f51302c2415bd2173060</t>
  </si>
  <si>
    <t>KETVPLEX</t>
  </si>
  <si>
    <t>517878566</t>
  </si>
  <si>
    <t>Very Orlando by WESH 2</t>
  </si>
  <si>
    <t>5e20b730f2f8d5003d739db7-624408619d5efeceb0d783b4</t>
  </si>
  <si>
    <t>WESHPLEX</t>
  </si>
  <si>
    <t>517878573</t>
  </si>
  <si>
    <t>Very Pennsylvania by WGAL</t>
  </si>
  <si>
    <t>5e20b730f2f8d5003d739db7-62440f5ccc4140a6505193d8</t>
  </si>
  <si>
    <t>WGALPLEX</t>
  </si>
  <si>
    <t>517939032</t>
  </si>
  <si>
    <t>Very Pittsburgh by WTAE</t>
  </si>
  <si>
    <t>5e20b730f2f8d5003d739db7-62440beecc4140a6505193d2</t>
  </si>
  <si>
    <t>WTAEPLEX</t>
  </si>
  <si>
    <t>517878596</t>
  </si>
  <si>
    <t>Very Sacramento by KCRA</t>
  </si>
  <si>
    <t>5e20b730f2f8d5003d739db7-6243f49902c2415bd217305e</t>
  </si>
  <si>
    <t>KCRAPLEX</t>
  </si>
  <si>
    <t>517878600</t>
  </si>
  <si>
    <t>Very Savannah by WJCL</t>
  </si>
  <si>
    <t>5e20b730f2f8d5003d739db7-624411b5cc4140a6505193dc</t>
  </si>
  <si>
    <t>WJCLPLEX</t>
  </si>
  <si>
    <t>517938460</t>
  </si>
  <si>
    <t>Very South Florida by WPBF</t>
  </si>
  <si>
    <t>5e20b730f2f8d5003d739db7-62441245cc4140a6505193de</t>
  </si>
  <si>
    <t>WPBFPLEX</t>
  </si>
  <si>
    <t>517938463</t>
  </si>
  <si>
    <t>Very Tampa Bay by WMOR</t>
  </si>
  <si>
    <t>5e20b730f2f8d5003d739db7-62433113d053a57eb96631e0</t>
  </si>
  <si>
    <t>TAMPAPLEX</t>
  </si>
  <si>
    <t>517878608</t>
  </si>
  <si>
    <t>WCPO</t>
  </si>
  <si>
    <t>5e20b730f2f8d5003d739db7-6578a49c7193576e171c7cf5</t>
  </si>
  <si>
    <t>WCPO PLEX</t>
  </si>
  <si>
    <t>517699206</t>
  </si>
  <si>
    <t>WEWS</t>
  </si>
  <si>
    <t>5e20b730f2f8d5003d739db7-6577acb0f8a8e7d24bc86ed5</t>
  </si>
  <si>
    <t>WEWS PLEX</t>
  </si>
  <si>
    <t>517699210</t>
  </si>
  <si>
    <t>WFTS</t>
  </si>
  <si>
    <t>5e20b730f2f8d5003d739db7-6577b2b2f8a8e7d24bc86edb</t>
  </si>
  <si>
    <t>WFTS PLEX</t>
  </si>
  <si>
    <t>517699200</t>
  </si>
  <si>
    <t>WFTV 9 Orlando</t>
  </si>
  <si>
    <t>5e20b730f2f8d5003d739db7-61f9a2bfc68d91e31d4cc866</t>
  </si>
  <si>
    <t>WFTVPLEX</t>
  </si>
  <si>
    <t>517878589</t>
  </si>
  <si>
    <t>WFTX</t>
  </si>
  <si>
    <t>5e20b730f2f8d5003d739db7-6578adedfb1a19389c93fc83</t>
  </si>
  <si>
    <t>WFTX PLEX</t>
  </si>
  <si>
    <t>517699248</t>
  </si>
  <si>
    <t>WGBA</t>
  </si>
  <si>
    <t>5e20b730f2f8d5003d739db7-6578a52e7193576e171c7cf7</t>
  </si>
  <si>
    <t>WGBA PLEX</t>
  </si>
  <si>
    <t>517699201</t>
  </si>
  <si>
    <t>WHIO Dayton</t>
  </si>
  <si>
    <t>5e20b730f2f8d5003d739db7-61f9a3ffc68d91e31d4cc868</t>
  </si>
  <si>
    <t>WHIOPLEX</t>
  </si>
  <si>
    <t>517878564</t>
  </si>
  <si>
    <t>WKBW</t>
  </si>
  <si>
    <t>5e20b730f2f8d5003d739db7-657890fd55a1634ebff37ff0</t>
  </si>
  <si>
    <t>WKBW PLEX</t>
  </si>
  <si>
    <t>517699219</t>
  </si>
  <si>
    <t>WLEX</t>
  </si>
  <si>
    <t>5e20b730f2f8d5003d739db7-65789ec5fb1a19389c93fc6f</t>
  </si>
  <si>
    <t>WLEX PLEX</t>
  </si>
  <si>
    <t>517699227</t>
  </si>
  <si>
    <t>WMAR</t>
  </si>
  <si>
    <t>5e20b730f2f8d5003d739db7-65789f4efb1a19389c93fc71</t>
  </si>
  <si>
    <t>WMAR PLEX</t>
  </si>
  <si>
    <t>517699271</t>
  </si>
  <si>
    <t>WPTV</t>
  </si>
  <si>
    <t>5e20b730f2f8d5003d739db7-6577abfeae30e4a5bfdc19b7</t>
  </si>
  <si>
    <t>WPTV PLEX</t>
  </si>
  <si>
    <t>517699245</t>
  </si>
  <si>
    <t>WPXI Now Pittsburgh</t>
  </si>
  <si>
    <t>5e20b730f2f8d5003d739db7-61f9a57443ec158c3a3eb294</t>
  </si>
  <si>
    <t>WPXIPLEX</t>
  </si>
  <si>
    <t>517878577</t>
  </si>
  <si>
    <t>WRTV</t>
  </si>
  <si>
    <t>5e20b730f2f8d5003d739db7-6578a00a7193576e171c7ced</t>
  </si>
  <si>
    <t>WRTV PLEX</t>
  </si>
  <si>
    <t>517699170</t>
  </si>
  <si>
    <t>WSB Now Atlanta</t>
  </si>
  <si>
    <t>5e20b730f2f8d5003d739db7-61f9a611c68d91e31d4cc86c</t>
  </si>
  <si>
    <t>WSBPLEX</t>
  </si>
  <si>
    <t>517878578</t>
  </si>
  <si>
    <t>WSOC Channel 9</t>
  </si>
  <si>
    <t>5e20b730f2f8d5003d739db7-61f9a6aec68d91e31d4cc86e</t>
  </si>
  <si>
    <t>WSOCPLEX</t>
  </si>
  <si>
    <t>517878599</t>
  </si>
  <si>
    <t>WSYM</t>
  </si>
  <si>
    <t>5e20b730f2f8d5003d739db7-6578a690fb1a19389c93fc79</t>
  </si>
  <si>
    <t>WSYM PLEX</t>
  </si>
  <si>
    <t>517699217</t>
  </si>
  <si>
    <t>WTKR</t>
  </si>
  <si>
    <t>5e20b730f2f8d5003d739db7-6578a117fb1a19389c93fc73</t>
  </si>
  <si>
    <t>WTKR PLEX</t>
  </si>
  <si>
    <t>517699193</t>
  </si>
  <si>
    <t>WTMJ</t>
  </si>
  <si>
    <t>5e20b730f2f8d5003d739db7-6578ad2ffb1a19389c93fc81</t>
  </si>
  <si>
    <t>WTMJ PLEX</t>
  </si>
  <si>
    <t>517699177</t>
  </si>
  <si>
    <t>WTVF</t>
  </si>
  <si>
    <t>5e20b730f2f8d5003d739db7-6578a1c77193576e171c7cef</t>
  </si>
  <si>
    <t>WTVF PLEX</t>
  </si>
  <si>
    <t>517699264</t>
  </si>
  <si>
    <t>WTVR</t>
  </si>
  <si>
    <t>5e20b730f2f8d5003d739db7-6578acbafb1a19389c93fc7f</t>
  </si>
  <si>
    <t>WTVR PLEX</t>
  </si>
  <si>
    <t>517699276</t>
  </si>
  <si>
    <t>WTXL</t>
  </si>
  <si>
    <t>5e20b730f2f8d5003d739db7-6578ac2bfb1a19389c93fc7d</t>
  </si>
  <si>
    <t>WTXL PLEX</t>
  </si>
  <si>
    <t>517699185</t>
  </si>
  <si>
    <t>WXMI</t>
  </si>
  <si>
    <t>5e20b730f2f8d5003d739db7-6578ab837193576e171c7cfd</t>
  </si>
  <si>
    <t>WXMI PLEX</t>
  </si>
  <si>
    <t>517699259</t>
  </si>
  <si>
    <t>WXYZ</t>
  </si>
  <si>
    <t>5e20b730f2f8d5003d739db7-6577ad67ae30e4a5bfdc19b9</t>
  </si>
  <si>
    <t>WXYZ PLEX</t>
  </si>
  <si>
    <t>517699270</t>
  </si>
  <si>
    <t>99000000</t>
  </si>
  <si>
    <t>99000001</t>
  </si>
  <si>
    <t>Filmrise Canadien</t>
  </si>
  <si>
    <t>FLMRCAXU</t>
  </si>
  <si>
    <t>XUMO-Filmrise Canadien</t>
  </si>
  <si>
    <t>https:TIVOPLUS_BLANK//db32be3yl2hko.cloudfront.net/11302/88885125/hls/master.m3u8?ads.xumo_channelId=88885125&amp;ads.caid=FilmRiseCA&amp;ads.csid=tivo_ca_filmrisecanadien_ssai&amp;ads.coppa=0&amp;ads.provider_id=1082&amp;ads.content_producer_id=1082&amp;ads.content_producer=FilmRiseCA&amp;ads.content_network=FilmRiseCA&amp;ads.xumo_streamId=88885125&amp;ads.content_length=&amp;ads.content_language=en&amp;ads.content_category=IAB1-7&amp;ads.content_genre=Television&amp;ads.content_rating=tv14&amp;&amp;ads.content_channel=FilmriseCanadie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2526devbrand%253D%2526devmake%253DTIVOPLUS_DEVMODEL%2526devmakedate%253D")</t>
  </si>
  <si>
    <t>99000002</t>
  </si>
  <si>
    <t>https:TIVOPLUS_BLANK//db32be3yl2hko.cloudfront.net/11302/88885127/hls/master.m3u8?ads.xumo_channelId=88885127&amp;ads.caid=FilmRise&amp;ads.csid=tivo_us_filmrisewestern_ssai&amp;ads.coppa=0&amp;ads.provider_id=260&amp;ads.content_producer_id=260&amp;ads.content_producer=FilmRise&amp;ads.content_network=FilmRise&amp;ads.xumo_streamId=88885127&amp;ads.content_length=&amp;ads.content_language=en&amp;ads.content_category=IAB17&amp;ads.content_genre=Television&amp;ads.content_rating=tvpg&amp;ads.content_channel=FilmriseWester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</si>
  <si>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99000003</t>
  </si>
  <si>
    <t>SHADBLKXU-CA</t>
  </si>
  <si>
    <t>https:TIVOPLUS_BLANK//db32be3yl2hko.cloudfront.net/11302/88885139/hls/playlist.m3u8?ads.xumo_channelId=88885139&amp;ads.caid=FuseShadesofBlackCanada&amp;ads.csid=tivo_ca_fuseshadesofblackcanada_ssai&amp;ads.coppa=0&amp;ads.provider_id=4032&amp;ads.content_producer_id=4032&amp;ads.content_producer=FuseShadesofBlackCanada&amp;ads.content_network=FuseShadesofBlackCanada&amp;ads.xumo_streamId=88885139&amp;ads.content_length=&amp;ads.content_language=en&amp;ads.content_category=IAB1-7&amp;ads.content_genre=Television&amp;ads.content_rating=tv-14&amp;ads.content_channel=ShadesofBlackCanad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</si>
  <si>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99000004</t>
  </si>
  <si>
    <t>https:TIVOPLUS_BLANK//db32be3yl2hko.cloudfront.net/11302/88885137/hls/playlist.m3u8?ads.xumo_channelId=88885137&amp;ads.caid=FuseOutTVProud&amp;ads.csid=tivo_us_fuseouttvproud_ssai&amp;ads.coppa=0&amp;ads.provider_id=4004&amp;ads.content_producer_id=4004&amp;ads.content_producer=FuseOutTVProud&amp;ads.content_network=FuseOutTVProud&amp;ads.xumo_streamId=88885137&amp;ads.content_length=&amp;ads.content_language=en&amp;ads.content_category=IAB1-7&amp;ads.content_genre=Television&amp;ads.content_rating=tv-14&amp;ads.content_channel=OutTVProu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</si>
  <si>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99000005</t>
  </si>
  <si>
    <t>FILMRASXU</t>
  </si>
  <si>
    <t>https:TIVOPLUS_BLANK//db32be3yl2hko.cloudfront.net/11302/88885126/hls/master.m3u8?ads.xumo_channelId=88885126&amp;ads.caid=FilmRiseCA&amp;ads.csid=tivo_ca_filmriseclassictv_ssai&amp;ads.coppa=0&amp;ads.provider_id=1082&amp;ads.content_producer_id=1082&amp;ads.content_producer=FilmRiseCA&amp;ads.content_network=FilmRiseCA&amp;ads.xumo_streamId=88885126&amp;ads.content_length=&amp;ads.content_language=en&amp;ads.content_category=IAB1-7&amp;ads.content_genre=Television&amp;ads.content_rating=tvpg&amp;ads.content_channel=FilmriseClassic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</si>
  <si>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99000006</t>
  </si>
  <si>
    <t>Hell’s Kitchen</t>
  </si>
  <si>
    <t>XUMO-Hell’s Kitchen</t>
  </si>
  <si>
    <t>https:TIVOPLUS_BLANK//db32be3yl2hko.cloudfront.net/11302/88885129/hls/master.m3u8?ads.xumo_channelId=88885129&amp;ads.caid=FilmRise&amp;ads.csid=tivo_us_hellskitchen_ssai&amp;ads.coppa=0&amp;ads.provider_id=260&amp;ads.content_producer_id=260&amp;ads.content_producer=FilmRise&amp;ads.content_network=FilmRise&amp;ads.xumo_streamId=88885129&amp;ads.content_length=&amp;ads.content_language=en&amp;ads.content_category=IAB17&amp;ads.content_genre=Television&amp;ads.content_rating=tv14&amp;ads.content_channel=HellsKitche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_ID%2526devlang%253D%2526platform%253DTIVOPLUS_PLATFORM%2526devmake%253DTIVOPLUS_DEVMAKE%2526devbrand%253D%2526devmake%253DTIVOPLUS_DEVMODEL%2526devmakedate%253D")</t>
  </si>
  <si>
    <t>99000007</t>
  </si>
  <si>
    <t>FORFLXU</t>
  </si>
  <si>
    <t>XUMO-Forensic Files</t>
  </si>
  <si>
    <t>https:TIVOPLUS_BLANK//db32be3yl2hko.cloudfront.net/11302/88885136/hls/master.m3u8?ads.xumo_channelId=88885136&amp;ads.caid=ForensicFiles&amp;ads.csid=tivo_ca_forensicfiles_ssai&amp;ads.coppa=0&amp;ads.provider_id=260&amp;ads.content_producer_id=260&amp;ads.content_producer=FilmRise&amp;ads.content_network=FilmRise&amp;ads.xumo_streamId=88885136&amp;ads.content_length=&amp;ads.content_language=en&amp;ads.content_category=IAB17&amp;ads.content_genre=Television&amp;ads.content_rating=tv14&amp;ads.content_channel=ForensicFil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</si>
  <si>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99000008</t>
  </si>
  <si>
    <t>https:TIVOPLUS_BLANK//db32be3yl2hko.cloudfront.net/11302/88885018/hls/master.m3u8?ads.xumo_channelId=88885018&amp;ads.caid=UnsolvedMysteries&amp;ads.csid=tivo_unsolvedmysteries_ssai&amp;ads.coppa=0&amp;ads.provider_id=260&amp;ads.content_producer_id=260&amp;ads.content_producer=FilmRise&amp;ads.content_network=FilmRise&amp;ads.xumo_streamId=88885018&amp;ads.content_length=&amp;ads.content_language=en&amp;ads.content_category=IAB17&amp;ads.content_genre=Television&amp;ads.content_rating=tv14&amp;ads.content_channel=UnsolvedMyser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</si>
  <si>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99000009</t>
  </si>
  <si>
    <t>https:TIVOPLUS_BLANK//db32be3yl2hko.cloudfront.net/11302/88885132/hls/master.m3u8?ads.xumo_channelId=88885132&amp;ads.caid=FilmRise&amp;ads.csid=tivo_us_untoldstoriesoftheer_ssai&amp;ads.coppa=0&amp;ads.provider_id=260&amp;ads.content_producer_id=260&amp;ads.content_producer=FilmRise&amp;ads.content_network=FilmRise&amp;ads.xumo_streamId=88885132&amp;ads.content_length=&amp;ads.content_language=en&amp;ads.content_category=IAB17&amp;ads.content_genre=Television&amp;ads.content_rating=tv14&amp;&amp;ads.content_channel=UntoldStoriesOfTheER&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</si>
  <si>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99000010</t>
  </si>
  <si>
    <t>Dr. G: Medical Examiner</t>
  </si>
  <si>
    <t>DRGXU</t>
  </si>
  <si>
    <t>XUMO-Dr. G: Medical Examiner</t>
  </si>
  <si>
    <t>https:TIVOPLUS_BLANK//db32be3yl2hko.cloudfront.net/11302/88885124/hls/master.m3u8?ads.xumo_channelId=88885124&amp;ads.caid=FilmRiseCA&amp;ads.csid=tivo_ca_drgmedicalexaminer_ssai&amp;ads.coppa=0&amp;ads.provider_id=1082&amp;ads.content_producer_id=1082&amp;ads.content_producer=FilmRiseCA&amp;ads.content_network=FilmRiseCA&amp;ads.xumo_streamId=88885124&amp;ads.content_length=&amp;ads.content_language=en&amp;ads.content_category=IAB17&amp;ads.content_genre=Television&amp;ads.content_rating=tv14&amp;ads.content_channel=DrGMedicalExaminer&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</si>
  <si>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99000011</t>
  </si>
  <si>
    <t>https:TIVOPLUS_BLANK//db32be3yl2hko.cloudfront.net/11302/88885135/hls/master.m3u8?ads.xumo_channelId=88885135&amp;ads.caid=Cheaters&amp;ads.csid=tivo_us_filmrisecheaters_ssai&amp;ads.coppa=0&amp;ads.provider_id=260&amp;ads.content_producer_id=260&amp;ads.content_producer=FilmRise&amp;ads.content_network=FilmRise&amp;ads.xumo_streamId=88885135&amp;ads.content_length=&amp;ads.content_language=en&amp;ads.content_category=IAB1-7&amp;ads.content_genre=Television&amp;ads.content_rating=tv14&amp;ads.content_channel=Cheater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</si>
  <si>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99000012</t>
  </si>
  <si>
    <t>99000013</t>
  </si>
  <si>
    <t>https:TIVOPLUS_BLANK//db32be3yl2hko.cloudfront.net/11302/88885134/hls/playlist.m3u8?ads.xumo_channelId=88885134&amp;ads.caid=PBSAntiquesRoadshowUS&amp;ads.csid=tivo_us_pbsantiquesroadshowus_ssai&amp;ads.coppa=0&amp;ads.provider_id=3861&amp;ads.content_producer_id=3861&amp;ads.content_producer=PBSAntiquesRoadshowUS&amp;ads.content_network=PBSAntiquesRoadshowUS&amp;ads.xumo_streamId=88885134&amp;ads.content_length=&amp;ads.content_language=en&amp;ads.content_category=IAB17&amp;ads.content_genre=Television&amp;ads.content_rating=tvpg&amp;ads.content_channel=AntiquesRoadsh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</si>
  <si>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99000014</t>
  </si>
  <si>
    <t>https:TIVOPLUS_BLANK//db32be3yl2hko.cloudfront.net/11302/88885133/hls/playlist.m3u8?ads.xumo_channelId=88885133&amp;ads.caid=PBSAntiquesRoadTrip&amp;ads.csid=tivo_us_pbsantiquesroadtrip_ssai&amp;ads.coppa=0&amp;ads.provider_id=4114&amp;ads.content_producer_id=4114&amp;ads.content_producer=PBSAntiquesRoadTrip&amp;ads.content_network=PBSAntiquesRoadTrip&amp;ads.xumo_streamId=88885133&amp;ads.content_length=&amp;ads.content_language=en&amp;ads.content_category=IAB1-7&amp;ads.content_genre=Television&amp;ads.content_rating=tv-pg&amp;ads.content_channel=AntiquesRoadTri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</si>
  <si>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99000015</t>
  </si>
  <si>
    <t>Billiards TV</t>
  </si>
  <si>
    <t>XUMO-Billiards TV</t>
  </si>
  <si>
    <t>https:TIVOPLUS_BLANK//db32be3yl2hko.cloudfront.net/11302/88885091/hls/billi.m3u8?ads.xumo_channelId=88885091a&amp;ads.caid=TripleBMediaBilliard&amp;ads.csid=tivo_triplebmediabilliard_ssai&amp;ads.coppa=0&amp;ads.provider_id=2728&amp;ads.content_producer_id=2728&amp;ads.content_producer=TripleBMediaBilliard&amp;ads.content_network=TripleBMediaBilliard&amp;ads.xumo_streamId=88885091&amp;ads.content_length=&amp;ads.content_language=en&amp;ads.content_category=IAB17&amp;ads.content_genre=Sports&amp;ads.content_rating=tv-pg&amp;ads.content_channel=TripleBMediaBilliar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</si>
  <si>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99000016</t>
  </si>
  <si>
    <t>https:TIVOPLUS_BLANK//db32be3yl2hko.cloudfront.net/11302/88885093/hls/aclco.m3u8?ads.xumo_channelId=88885093a&amp;ads.caid=TripleBMediaACLCornhole&amp;ads.csid=tivo_triplebmediaaclcornhole_ssai&amp;ads.coppa=0&amp;ads.provider_id=3483&amp;ads.content_producer_id=3483&amp;ads.content_producer=TripleBMediaACLCornhole&amp;ads.content_network=TripleBMediaACLCornhole&amp;ads.xumo_streamId=88885093&amp;ads.content_length=&amp;ads.content_language=en&amp;ads.content_category=IAB17&amp;ads.content_genre=Sports&amp;ads.content_rating=tv-pg&amp;ads.content_channel=ACLCornhol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</si>
  <si>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99000017</t>
  </si>
  <si>
    <t>https:TIVOPLUS_BLANK//db32be3yl2hko.cloudfront.net/11302/88885090/hls/playlist.m3u8?ads.xumo_channelId=88885090&amp;ads.caid=SPEEDVISION&amp;ads.csid=tivo_speedvision_ssai&amp;ads.coppa=0&amp;ads.provider_id=3973&amp;ads.content_producer_id=3973&amp;ads.content_producer=SPEEDVISION&amp;ads.content_network=SPEEDVISION&amp;ads.xumo_streamId=88885090&amp;ads.content_length=&amp;ads.content_language=en&amp;ads.content_category=IAB17&amp;ads.content_genre=Sports&amp;ads.content_rating=tvpg&amp;ads.content_channel=Speedviv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</si>
  <si>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99000018</t>
  </si>
  <si>
    <t>https:TIVOPLUS_BLANK//db32be3yl2hko.cloudfront.net/11302/88885092/hls/bxntv.m3u8?ads.xumo_channelId=88885092a&amp;ads.caid=TripleBMediaBoxingTV&amp;ads.csid=tivo_triplebmediaboxingtv_ssai&amp;ads.coppa=0&amp;ads.provider_id=3771&amp;ads.content_producer_id=3771&amp;ads.content_producer=TripleBMediaBoxingTV&amp;ads.content_network=TripleBMediaBoxingTV&amp;ads.xumo_streamId=88885092&amp;ads.content_length=&amp;ads.content_language=en&amp;ads.content_category=IAB17&amp;ads.content_genre=Sports&amp;ads.content_rating=tv-14&amp;ads.content_channel=TripleBMediaBoxing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</si>
  <si>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99000019</t>
  </si>
  <si>
    <t>https:TIVOPLUS_BLANK//db32be3yl2hko.cloudfront.net/11302/88885118/hls/master.m3u8?ads.xumo_channelId=88885118&amp;ads.caid=StingrayCMusicUS&amp;ads.csid=tivo_stingraycmusicus_ssai&amp;ads.coppa=0&amp;ads.provider_id=3922&amp;ads.content_producer_id=3922&amp;ads.content_producer=stingraycmusicus&amp;ads.content_network=stingraycmusicus&amp;ads.xumo_streamId=88885118&amp;ads.content_length=&amp;ads.content_language=en&amp;ads.content_category=IAB1-6&amp;ads.content_genre=Music&amp;ads.content_rating=tv-g&amp;ads.content_channel=StingrayCMusic&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</si>
  <si>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99000020</t>
  </si>
  <si>
    <t>https:TIVOPLUS_BLANK//db32be3yl2hko.cloudfront.net/11302/88885119/hls/master.m3u8?ads.xumo_channelId=88885119&amp;ads.caid=StingrayDJAZZ&amp;ads.csid=tivo_stingraydjazz_ssai&amp;ads.coppa=0&amp;ads.provider_id=3909&amp;ads.content_producer_id=3909&amp;ads.content_producer=StingrayDjazz&amp;ads.content_network=StingrayDjazz&amp;ads.xumo_streamId=88885119&amp;ads.content_length=&amp;ads.content_language=en&amp;ads.content_category=IAB1-6&amp;ads.content_genre=Music&amp;ads.content_rating=tv-g&amp;ads.content_channel=StingrayDJAZZ&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</si>
  <si>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99000021</t>
  </si>
  <si>
    <t>https:TIVOPLUS_BLANK//db32be3yl2hko.cloudfront.net/11302/88885120/hls/master.m3u8?ads.xumo_channelId=88885120&amp;ads.caid=StingrayHolidayscapes&amp;ads.csid=tivo_stingrayholidayscapes_ssai&amp;ads.coppa=0&amp;ads.provider_id=4001&amp;ads.content_producer_id=4001&amp;ads.content_producer=StingrayHolidayscapes&amp;ads.content_network=StingrayHolidayscapes&amp;ads.xumo_streamId=88885120&amp;ads.content_length=&amp;ads.content_language=en&amp;ads.content_category=IAB1-6&amp;ads.content_genre=Music&amp;ads.content_rating=tv-g&amp;ads.content_channel=StingrayHolidayscap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</si>
  <si>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99000022</t>
  </si>
  <si>
    <t>https:TIVOPLUS_BLANK//db32be3yl2hko.cloudfront.net/11302/88885057/hls/master.m3u8?ads.xumo_channelId=88885057&amp;ads.caid=StingrayZenlife&amp;ads.csid=tivo_stingrayzenlife_ssai&amp;ads.coppa=0&amp;ads.provider_id=3975&amp;ads.content_producer_id=3975&amp;ads.content_producer=StingrayZenlife&amp;ads.content_network=StingrayZenlife&amp;ads.xumo_streamId=88885057&amp;ads.content_length=&amp;ads.content_language=en&amp;ads.content_category=IAB1-6&amp;ads.content_genre=Music&amp;ads.content_rating=tv-g&amp;ads.content_channel=ZENLife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</si>
  <si>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99000023</t>
  </si>
  <si>
    <t>https:TIVOPLUS_BLANK//db32be3yl2hko.cloudfront.net/11302/88885123/hls/master.m3u8?ads.xumo_channelId=88885123&amp;ads.caid=UltimateTriviabyStingray&amp;ads.csid=tivo_ultimatetriviabystingray_ssai&amp;ads.coppa=0&amp;ads.provider_id=4000&amp;ads.content_producer_id=4000&amp;ads.content_producer=UltimateTriviabyStingray&amp;ads.content_network=UltimateTriviabyStingray&amp;ads.xumo_streamId=88885123&amp;ads.content_length=&amp;ads.content_language=en&amp;ads.content_category=IAB1-6&amp;ads.content_genre=Music&amp;ads.content_rating=tv-g&amp;ads.content_channel=UltimateTrivia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</si>
  <si>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99000024</t>
  </si>
  <si>
    <t>CTV News</t>
  </si>
  <si>
    <t>5e20b730f2f8d5003d739db7-6685c1a1b53e3bc0fd169e1d</t>
  </si>
  <si>
    <t>CTVNEWS</t>
  </si>
  <si>
    <t>Plex-CTV News</t>
  </si>
  <si>
    <t>98000000</t>
  </si>
  <si>
    <t>CBC News Explore</t>
  </si>
  <si>
    <t>5e20b730f2f8d5003d739db7-6403c7a95baf3d46d1103770</t>
  </si>
  <si>
    <t>CBCNEWEXPL</t>
  </si>
  <si>
    <t>Plex-CBC News Explore</t>
  </si>
  <si>
    <t>98000001</t>
  </si>
  <si>
    <t>News 12 New York</t>
  </si>
  <si>
    <t>5e20b730f2f8d5003d739db7-5fc6f3a62b6f7b002e77ffaa</t>
  </si>
  <si>
    <t>NEWS 12NY</t>
  </si>
  <si>
    <t>Plex-News 12 New York</t>
  </si>
  <si>
    <t>98000002</t>
  </si>
  <si>
    <t>Plex-Reuters TV</t>
  </si>
  <si>
    <t>98000003</t>
  </si>
  <si>
    <t>Newsmax2 TV</t>
  </si>
  <si>
    <t>5e20b730f2f8d5003d739db7-5fb81660b7ad2d002dcb7335</t>
  </si>
  <si>
    <t>NEWSMAX2TV</t>
  </si>
  <si>
    <t>Plex-Newsmax2 TV</t>
  </si>
  <si>
    <t>98000004</t>
  </si>
  <si>
    <t>USA TODAY</t>
  </si>
  <si>
    <t>5e20b730f2f8d5003d739db7-60df3e18541143002f3b8607</t>
  </si>
  <si>
    <t>USATDY</t>
  </si>
  <si>
    <t>Plex-USA TODAY</t>
  </si>
  <si>
    <t>98000005</t>
  </si>
  <si>
    <t>Cheddar</t>
  </si>
  <si>
    <t>5e20b730f2f8d5003d739db7-5f6b8e5900b0950040d0f2af</t>
  </si>
  <si>
    <t>CHEDR</t>
  </si>
  <si>
    <t>Plex-Cheddar</t>
  </si>
  <si>
    <t>98000006</t>
  </si>
  <si>
    <t>Yahoo Finance</t>
  </si>
  <si>
    <t>5e20b730f2f8d5003d739db7-5f170f01b898490041b49dd1</t>
  </si>
  <si>
    <t>YahooF</t>
  </si>
  <si>
    <t>Plex-Yahoo Finance</t>
  </si>
  <si>
    <t>98000007</t>
  </si>
  <si>
    <t>FilmRise Free Movies</t>
  </si>
  <si>
    <t>5e20b730f2f8d5003d739db7-65ddf33c7e7be0a1106cd1bb</t>
  </si>
  <si>
    <t>FLMRPL</t>
  </si>
  <si>
    <t>Plex-FilmRise Free Movies</t>
  </si>
  <si>
    <t>98000008</t>
  </si>
  <si>
    <t>FilmRise Made In Canada</t>
  </si>
  <si>
    <t>5e20b730f2f8d5003d739db7-65e9d0ad8fe4ef7053c3c873</t>
  </si>
  <si>
    <t>FILMMADECA</t>
  </si>
  <si>
    <t>Plex-FilmRise Made In Canada</t>
  </si>
  <si>
    <t>98000009</t>
  </si>
  <si>
    <t>Gravitas Movies</t>
  </si>
  <si>
    <t>5e20b730f2f8d5003d739db7-5efe1de7e0b3f5003f5d9f8e</t>
  </si>
  <si>
    <t>GRAMOV</t>
  </si>
  <si>
    <t>Plex-Gravitas Movies</t>
  </si>
  <si>
    <t>98000010</t>
  </si>
  <si>
    <t>Fresh Movies</t>
  </si>
  <si>
    <t>5e20b730f2f8d5003d739db7-65de8ca640b20047b79df1c9</t>
  </si>
  <si>
    <t>FRMOVIES</t>
  </si>
  <si>
    <t>Plex-Fresh Movies</t>
  </si>
  <si>
    <t>98000011</t>
  </si>
  <si>
    <t>Plex-Dove</t>
  </si>
  <si>
    <t>98000012</t>
  </si>
  <si>
    <t>5e20b730f2f8d5003d739db7-65ddf33acf4a43f7017f31c4</t>
  </si>
  <si>
    <t>FILMRACT</t>
  </si>
  <si>
    <t>Plex-FilmRise Action</t>
  </si>
  <si>
    <t>98000013</t>
  </si>
  <si>
    <t>Action Hollywood Movies</t>
  </si>
  <si>
    <t>5e20b730f2f8d5003d739db7-66be944f8711311880995280</t>
  </si>
  <si>
    <t>ACTMOV</t>
  </si>
  <si>
    <t>Plex-Action Hollywood Movies</t>
  </si>
  <si>
    <t>98000014</t>
  </si>
  <si>
    <t>Plex-Gravitas Adrenaline</t>
  </si>
  <si>
    <t>98000015</t>
  </si>
  <si>
    <t>24 Hour Free Movies</t>
  </si>
  <si>
    <t>5e20b730f2f8d5003d739db7-5fd115bab7ef8d002dcf181d</t>
  </si>
  <si>
    <t>24HRMOV</t>
  </si>
  <si>
    <t>Plex-24 Hour Free Movies</t>
  </si>
  <si>
    <t>98000016</t>
  </si>
  <si>
    <t>RCM</t>
  </si>
  <si>
    <t>5e20b730f2f8d5003d739db7-66bfb17c144c201b8b61c10d</t>
  </si>
  <si>
    <t>RCM TV</t>
  </si>
  <si>
    <t>Plex-RCM</t>
  </si>
  <si>
    <t>98000017</t>
  </si>
  <si>
    <t>Plex-Tribeca Channel</t>
  </si>
  <si>
    <t>98000018</t>
  </si>
  <si>
    <t>5e20b730f2f8d5003d739db7-673d2a870d39ac306d6f2ceb</t>
  </si>
  <si>
    <t>SPRKLILO</t>
  </si>
  <si>
    <t>Plex-Spark TV Light &amp; Love</t>
  </si>
  <si>
    <t>98000020</t>
  </si>
  <si>
    <t>Super Channel Hearties</t>
  </si>
  <si>
    <t>5e20b730f2f8d5003d739db7-657dd21dc7a367074887310a</t>
  </si>
  <si>
    <t>SUPHEART</t>
  </si>
  <si>
    <t>Plex-Super Channel Hearties</t>
  </si>
  <si>
    <t>98000021</t>
  </si>
  <si>
    <t>5e20b730f2f8d5003d739db7-614e286b2bac097ffd6fd6ab</t>
  </si>
  <si>
    <t>Plex-Documentary+</t>
  </si>
  <si>
    <t>98000023</t>
  </si>
  <si>
    <t>98000024</t>
  </si>
  <si>
    <t>Project Runway</t>
  </si>
  <si>
    <t>5e20b730f2f8d5003d739db7-66a2e57a0b91165254efdb4a</t>
  </si>
  <si>
    <t>PJTRWY</t>
  </si>
  <si>
    <t>Plex-Project Runway</t>
  </si>
  <si>
    <t>98000025</t>
  </si>
  <si>
    <t>McLeods Daughters</t>
  </si>
  <si>
    <t>Plex-McLeods Daughters</t>
  </si>
  <si>
    <t>98000026</t>
  </si>
  <si>
    <t>The Conners</t>
  </si>
  <si>
    <t>5e20b730f2f8d5003d739db7-6668b7a5e4f56766e556a415</t>
  </si>
  <si>
    <t>TCON</t>
  </si>
  <si>
    <t>Plex-The Conners</t>
  </si>
  <si>
    <t>98000027</t>
  </si>
  <si>
    <t>Baywatch</t>
  </si>
  <si>
    <t>5e20b730f2f8d5003d739db7-63e63f20abacad42ed3d1acf</t>
  </si>
  <si>
    <t>BAYWATCH</t>
  </si>
  <si>
    <t>Plex-Baywatch</t>
  </si>
  <si>
    <t>98000028</t>
  </si>
  <si>
    <t>Nashville</t>
  </si>
  <si>
    <t>5e20b730f2f8d5003d739db7-6087ff3ae99ff1002ce1465b</t>
  </si>
  <si>
    <t>NASHV</t>
  </si>
  <si>
    <t>Plex-Nashville</t>
  </si>
  <si>
    <t>98000029</t>
  </si>
  <si>
    <t>Nip/Tuck</t>
  </si>
  <si>
    <t>5e20b730f2f8d5003d739db7-66b13485a9ef8c41ec0841ac</t>
  </si>
  <si>
    <t>NIPTCK</t>
  </si>
  <si>
    <t>Plex-Nip/Tuck</t>
  </si>
  <si>
    <t>98000030</t>
  </si>
  <si>
    <t>Nash Bridges</t>
  </si>
  <si>
    <t>5e20b730f2f8d5003d739db7-6668b69889c051b3733f9b60</t>
  </si>
  <si>
    <t>NSGBRDG</t>
  </si>
  <si>
    <t>Plex-Nash Bridges</t>
  </si>
  <si>
    <t>98000031</t>
  </si>
  <si>
    <t>21 Jump Street</t>
  </si>
  <si>
    <t>5e20b730f2f8d5003d739db7-66f6b947515e742745f5ca34</t>
  </si>
  <si>
    <t>JUMPSTR</t>
  </si>
  <si>
    <t>Plex-21 Jump Street</t>
  </si>
  <si>
    <t>98000032</t>
  </si>
  <si>
    <t>Plex-Highway to Heaven</t>
  </si>
  <si>
    <t>98000033</t>
  </si>
  <si>
    <t>Three's Company</t>
  </si>
  <si>
    <t>5e20b730f2f8d5003d739db7-66a2dcfa0b91165254efdb42</t>
  </si>
  <si>
    <t>THREECO</t>
  </si>
  <si>
    <t>Plex-Three's Company</t>
  </si>
  <si>
    <t>98000034</t>
  </si>
  <si>
    <t>Primetime Soaps</t>
  </si>
  <si>
    <t>5e20b730f2f8d5003d739db7-66b13a1f4893b3d48c72db19</t>
  </si>
  <si>
    <t>PRMSPS</t>
  </si>
  <si>
    <t>Plex-Primetime Soaps</t>
  </si>
  <si>
    <t>98000035</t>
  </si>
  <si>
    <t>Hunter</t>
  </si>
  <si>
    <t>5e20b730f2f8d5003d739db7-66f6b6baac1a1890ef197a4b</t>
  </si>
  <si>
    <t>HUNTER</t>
  </si>
  <si>
    <t>Plex-Hunter</t>
  </si>
  <si>
    <t>98000036</t>
  </si>
  <si>
    <t>Non-Stop '90s</t>
  </si>
  <si>
    <t>5e20b730f2f8d5003d739db7-65bd5a538314c24e11553543</t>
  </si>
  <si>
    <t>NSTOP90</t>
  </si>
  <si>
    <t>Plex-Non-Stop '90s</t>
  </si>
  <si>
    <t>98000037</t>
  </si>
  <si>
    <t>Mr. Bean Live Action</t>
  </si>
  <si>
    <t>5e20b730f2f8d5003d739db7-671a924b79fce6628115432c</t>
  </si>
  <si>
    <t>MRBNLPL</t>
  </si>
  <si>
    <t>Plex-Mr. Bean Live Action</t>
  </si>
  <si>
    <t>98000038</t>
  </si>
  <si>
    <t>Plex-The Ed Sullivan Show</t>
  </si>
  <si>
    <t>98000039</t>
  </si>
  <si>
    <t>Plex-Johnny Carson TV</t>
  </si>
  <si>
    <t>98000040</t>
  </si>
  <si>
    <t>Plex-The Carol Burnett Show</t>
  </si>
  <si>
    <t>98000041</t>
  </si>
  <si>
    <t>FreeTV Drama Vault</t>
  </si>
  <si>
    <t>5e20b730f2f8d5003d739db7-63d84f7715431f0798dd6b66</t>
  </si>
  <si>
    <t>FREEDRMV</t>
  </si>
  <si>
    <t>Plex-FreeTV Drama Vault</t>
  </si>
  <si>
    <t>98000042</t>
  </si>
  <si>
    <t>Freebie TV</t>
  </si>
  <si>
    <t>5e20b730f2f8d5003d739db7-604bf68f499957002d574f45</t>
  </si>
  <si>
    <t>FREEBTV</t>
  </si>
  <si>
    <t>Plex-Freebie TV</t>
  </si>
  <si>
    <t>98000043</t>
  </si>
  <si>
    <t>5e20b730f2f8d5003d739db7-63d6fc71a9e88ee909e7ee23</t>
  </si>
  <si>
    <t>MIDMURPL</t>
  </si>
  <si>
    <t>Plex-Midsomer Murders</t>
  </si>
  <si>
    <t>Silent Witness|New Tricks</t>
  </si>
  <si>
    <t>5e20b730f2f8d5003d739db7-656235425dbccec83a87b645</t>
  </si>
  <si>
    <t>SILNTWITN</t>
  </si>
  <si>
    <t>Plex-Silent Witness|New Tricks</t>
  </si>
  <si>
    <t>98000045</t>
  </si>
  <si>
    <t>5e20b730f2f8d5003d739db7-626c1753ffda6789d20a452e</t>
  </si>
  <si>
    <t>COPSPLEX</t>
  </si>
  <si>
    <t>Plex-COPS</t>
  </si>
  <si>
    <t>98000047</t>
  </si>
  <si>
    <t>Plex-JAIL</t>
  </si>
  <si>
    <t>98000048</t>
  </si>
  <si>
    <t>Sheriffs: El Dorado County</t>
  </si>
  <si>
    <t>5e20b730f2f8d5003d739db7-6707dc42da81682f2d1e6846</t>
  </si>
  <si>
    <t>SRFELDOCO</t>
  </si>
  <si>
    <t>Plex-Sheriffs: El Dorado County</t>
  </si>
  <si>
    <t>98000049</t>
  </si>
  <si>
    <t>Plex-World's Wildest Police Videos</t>
  </si>
  <si>
    <t>98000050</t>
  </si>
  <si>
    <t>5e20b730f2f8d5003d739db7-6729199a7f55143b23b66c4d</t>
  </si>
  <si>
    <t>DGBTYHUN</t>
  </si>
  <si>
    <t>Plex-Dog the Bounty Hunter</t>
  </si>
  <si>
    <t>98000136</t>
  </si>
  <si>
    <t>The FBI Files</t>
  </si>
  <si>
    <t>5e20b730f2f8d5003d739db7-6582a024a90606db3c841b1b</t>
  </si>
  <si>
    <t>TFBIFIL</t>
  </si>
  <si>
    <t>Plex-The FBI Files</t>
  </si>
  <si>
    <t>98000051</t>
  </si>
  <si>
    <t>Women Behind Bars</t>
  </si>
  <si>
    <t>5e20b730f2f8d5003d739db7-6502891e8ebe90c9ed73f7a0</t>
  </si>
  <si>
    <t>WBEHBARS</t>
  </si>
  <si>
    <t>Plex-Women Behind Bars</t>
  </si>
  <si>
    <t>98000052</t>
  </si>
  <si>
    <t>Crime Scene TV</t>
  </si>
  <si>
    <t>5e20b730f2f8d5003d739db7-6615360a8423b8d7e61a099c</t>
  </si>
  <si>
    <t>CRMSCNTV</t>
  </si>
  <si>
    <t>Plex-Crime Scene TV</t>
  </si>
  <si>
    <t>98000053</t>
  </si>
  <si>
    <t>Real Crime</t>
  </si>
  <si>
    <t>5e20b730f2f8d5003d739db7-636d9d2d4ea1109a7d205a70</t>
  </si>
  <si>
    <t>RCRIME</t>
  </si>
  <si>
    <t>Plex-Real Crime</t>
  </si>
  <si>
    <t>98000055</t>
  </si>
  <si>
    <t>Total Crime</t>
  </si>
  <si>
    <t>5e20b730f2f8d5003d739db7-646c0cdcfb58444e4e1e262b</t>
  </si>
  <si>
    <t>TOTCRM</t>
  </si>
  <si>
    <t>Plex-Total Crime</t>
  </si>
  <si>
    <t>98000056</t>
  </si>
  <si>
    <t>5e20b730f2f8d5003d739db7-64e43b37200cd2f67473e0d4</t>
  </si>
  <si>
    <t>TRUECRNOW</t>
  </si>
  <si>
    <t>Plex-True Crime Now</t>
  </si>
  <si>
    <t>98000057</t>
  </si>
  <si>
    <t>Super Channel Uncovered</t>
  </si>
  <si>
    <t>5e20b730f2f8d5003d739db7-657dee4038169fe9de6571b8</t>
  </si>
  <si>
    <t>SUPUNCOV</t>
  </si>
  <si>
    <t>Plex-Super Channel Uncovered</t>
  </si>
  <si>
    <t>98000058</t>
  </si>
  <si>
    <t>5e20b730f2f8d5003d739db7-65ddf33acf4a43f7017f31c3</t>
  </si>
  <si>
    <t>FLMHOR</t>
  </si>
  <si>
    <t>Plex-FilmRise Horror</t>
  </si>
  <si>
    <t>98000059</t>
  </si>
  <si>
    <t>Plex-Screambox TV</t>
  </si>
  <si>
    <t>98000060</t>
  </si>
  <si>
    <t>Plex-Scream Factory TV</t>
  </si>
  <si>
    <t>98000061</t>
  </si>
  <si>
    <t>Plex-FrightFlix</t>
  </si>
  <si>
    <t>98000062</t>
  </si>
  <si>
    <t>Plex-Midnight Pulp</t>
  </si>
  <si>
    <t>98000063</t>
  </si>
  <si>
    <t>Watch it SCREAM</t>
  </si>
  <si>
    <t>Plex-Watch it SCREAM</t>
  </si>
  <si>
    <t>98000064</t>
  </si>
  <si>
    <t>Trailers From Hell</t>
  </si>
  <si>
    <t>5e20b730f2f8d5003d739db7-61d738b5a7b7c7f703418514</t>
  </si>
  <si>
    <t>TRFRHELL</t>
  </si>
  <si>
    <t>Plex-Trailers From Hell</t>
  </si>
  <si>
    <t>98000065</t>
  </si>
  <si>
    <t>Continuum</t>
  </si>
  <si>
    <t>5e20b730f2f8d5003d739db7-66ce3ef09ac0b1441b19ca2b</t>
  </si>
  <si>
    <t>CONTINUM</t>
  </si>
  <si>
    <t>Plex-Continuum</t>
  </si>
  <si>
    <t>98000066</t>
  </si>
  <si>
    <t>Plex-BBC Sci-Fi</t>
  </si>
  <si>
    <t>98000067</t>
  </si>
  <si>
    <t>Plex-Farscape</t>
  </si>
  <si>
    <t>98000068</t>
  </si>
  <si>
    <t>Z Nation</t>
  </si>
  <si>
    <t>5e20b730f2f8d5003d739db7-66ce3e009ac0b1441b19ca29</t>
  </si>
  <si>
    <t>ZNATION</t>
  </si>
  <si>
    <t>Plex-Z Nation</t>
  </si>
  <si>
    <t>98000069</t>
  </si>
  <si>
    <t>5e20b730f2f8d5003d739db7-675b42090074283b4ef1e563</t>
  </si>
  <si>
    <t>TOUPST</t>
  </si>
  <si>
    <t>Plex-The Outpost</t>
  </si>
  <si>
    <t>98000070</t>
  </si>
  <si>
    <t>Beyond Belief</t>
  </si>
  <si>
    <t>Plex-Beyond Belief</t>
  </si>
  <si>
    <t>98000071</t>
  </si>
  <si>
    <t>Classic Doctor Who</t>
  </si>
  <si>
    <t>5e20b730f2f8d5003d739db7-63068b870bbec3b06755a0ee</t>
  </si>
  <si>
    <t>CLDOCWO</t>
  </si>
  <si>
    <t>Plex-Classic Doctor Who</t>
  </si>
  <si>
    <t>98000073</t>
  </si>
  <si>
    <t>Ghost Hunters Channel</t>
  </si>
  <si>
    <t>5e20b730f2f8d5003d739db7-64e405b42b16ff56feb98444</t>
  </si>
  <si>
    <t>GHSTHC</t>
  </si>
  <si>
    <t>Plex-Ghost Hunters Channel</t>
  </si>
  <si>
    <t>98000074</t>
  </si>
  <si>
    <t>HauntTV</t>
  </si>
  <si>
    <t>5e20b730f2f8d5003d739db7-646c0794fb58444e4e1e2629</t>
  </si>
  <si>
    <t>HAUNTV</t>
  </si>
  <si>
    <t>Plex-HauntTV</t>
  </si>
  <si>
    <t>98000076</t>
  </si>
  <si>
    <t>Beyond Paranormal</t>
  </si>
  <si>
    <t>5e20b730f2f8d5003d739db7-64d2c6acb18b113e0c61012a</t>
  </si>
  <si>
    <t>BYDPRN</t>
  </si>
  <si>
    <t>Plex-Beyond Paranormal</t>
  </si>
  <si>
    <t>98000077</t>
  </si>
  <si>
    <t>Galxy TV</t>
  </si>
  <si>
    <t>5e20b730f2f8d5003d739db7-621672e42c2627c068e73ad8</t>
  </si>
  <si>
    <t>GALXYTV</t>
  </si>
  <si>
    <t>Plex-Galxy TV</t>
  </si>
  <si>
    <t>98000078</t>
  </si>
  <si>
    <t>5e20b730f2f8d5003d739db7-6227e0765e753e6288a86f2f</t>
  </si>
  <si>
    <t>Plex-Unidentified</t>
  </si>
  <si>
    <t>98000079</t>
  </si>
  <si>
    <t>Plex-Unexplained</t>
  </si>
  <si>
    <t>98000080</t>
  </si>
  <si>
    <t>Wild West TV</t>
  </si>
  <si>
    <t>5e20b730f2f8d5003d739db7-660df9e0e7dcb14697880bfb</t>
  </si>
  <si>
    <t>WILDWST</t>
  </si>
  <si>
    <t>Plex-Wild West TV</t>
  </si>
  <si>
    <t>98000081</t>
  </si>
  <si>
    <t>5e20b730f2f8d5003d739db7-66fd3a76216b603e031725fc</t>
  </si>
  <si>
    <t>WSTBND</t>
  </si>
  <si>
    <t>Plex-Western Bound</t>
  </si>
  <si>
    <t>98000082</t>
  </si>
  <si>
    <t>Plex-The Rifleman</t>
  </si>
  <si>
    <t>98000083</t>
  </si>
  <si>
    <t>Death Valley Days</t>
  </si>
  <si>
    <t>5e20b730f2f8d5003d739db7-6674b68af04cf4bb9233c916</t>
  </si>
  <si>
    <t>DTHVAL</t>
  </si>
  <si>
    <t>Plex-Death Valley Days</t>
  </si>
  <si>
    <t>98000084</t>
  </si>
  <si>
    <t>Wanted: Dead or Alive</t>
  </si>
  <si>
    <t>5e20b730f2f8d5003d739db7-61ddcc6023daf618ed44c29f</t>
  </si>
  <si>
    <t>WDALIV</t>
  </si>
  <si>
    <t>Plex-Wanted: Dead or Alive</t>
  </si>
  <si>
    <t>98000085</t>
  </si>
  <si>
    <t>Lone Star</t>
  </si>
  <si>
    <t>Plex-Lone Star</t>
  </si>
  <si>
    <t>98000086</t>
  </si>
  <si>
    <t>5e20b730f2f8d5003d739db7-5ef4e1b40d9ad000423c4430</t>
  </si>
  <si>
    <t>MAVBLKCIN</t>
  </si>
  <si>
    <t>Plex-Maverick Black Cinema</t>
  </si>
  <si>
    <t>98000087</t>
  </si>
  <si>
    <t>5e20b730f2f8d5003d739db7-622805c85e753e6288a86f31</t>
  </si>
  <si>
    <t>BLKPX</t>
  </si>
  <si>
    <t>Plex-BlackPix</t>
  </si>
  <si>
    <t>98000088</t>
  </si>
  <si>
    <t>5e20b730f2f8d5003d739db7-5ef11487d33ab9004048a1d9</t>
  </si>
  <si>
    <t>Plex-Revry</t>
  </si>
  <si>
    <t>98000089</t>
  </si>
  <si>
    <t>Plex-OUTtv Proud</t>
  </si>
  <si>
    <t>98000091</t>
  </si>
  <si>
    <t>CINEPRIDE</t>
  </si>
  <si>
    <t>5e20b730f2f8d5003d739db7-62167144ab2095ca85353ad6</t>
  </si>
  <si>
    <t>CINEPR</t>
  </si>
  <si>
    <t>Plex-CINEPRIDE</t>
  </si>
  <si>
    <t>98000092</t>
  </si>
  <si>
    <t>CBC Comedy</t>
  </si>
  <si>
    <t>5e20b730f2f8d5003d739db7-65b28dd28f05102bce4a7910</t>
  </si>
  <si>
    <t>CBCCOM</t>
  </si>
  <si>
    <t>Plex-CBC Comedy</t>
  </si>
  <si>
    <t>Hit Sitcoms</t>
  </si>
  <si>
    <t>5e20b730f2f8d5003d739db7-66b13b29a9ef8c41ec0841b0</t>
  </si>
  <si>
    <t>HITSIT</t>
  </si>
  <si>
    <t>Plex-Hit Sitcoms</t>
  </si>
  <si>
    <t>98000094</t>
  </si>
  <si>
    <t>5e20b730f2f8d5003d739db7-6685bff32deb7f424133b089</t>
  </si>
  <si>
    <t>CORGS</t>
  </si>
  <si>
    <t>Plex-Corner Gas</t>
  </si>
  <si>
    <t>98000095</t>
  </si>
  <si>
    <t>CTV Laughs</t>
  </si>
  <si>
    <t>5e20b730f2f8d5003d739db7-6685c10e2deb7f424133b08b</t>
  </si>
  <si>
    <t>CTVLAU</t>
  </si>
  <si>
    <t>Plex-CTV Laughs</t>
  </si>
  <si>
    <t>98000096</t>
  </si>
  <si>
    <t>Are We There Yet?</t>
  </si>
  <si>
    <t>5e20b730f2f8d5003d739db7-612919784f53e1002c9aa219</t>
  </si>
  <si>
    <t>AWTHY</t>
  </si>
  <si>
    <t>Plex-Are We There Yet?</t>
  </si>
  <si>
    <t>98000097</t>
  </si>
  <si>
    <t>Anger Management</t>
  </si>
  <si>
    <t>5e20b730f2f8d5003d739db7-6303ca568a01b5d4dae57d0e</t>
  </si>
  <si>
    <t>ANGMGMT</t>
  </si>
  <si>
    <t>Plex-Anger Management</t>
  </si>
  <si>
    <t>98000098</t>
  </si>
  <si>
    <t>Plex-BBC Comedy</t>
  </si>
  <si>
    <t>98000099</t>
  </si>
  <si>
    <t>Plex-Trailer Park Boys: The SwearNet Show</t>
  </si>
  <si>
    <t>98000100</t>
  </si>
  <si>
    <t>Plex-Hot Ones</t>
  </si>
  <si>
    <t>98000101</t>
  </si>
  <si>
    <t>Plex-Shout! Factory TV Stream</t>
  </si>
  <si>
    <t>98000102</t>
  </si>
  <si>
    <t>Plex-Comedy Dynamics</t>
  </si>
  <si>
    <t>98000103</t>
  </si>
  <si>
    <t>Plex-Humor Mill</t>
  </si>
  <si>
    <t>98000104</t>
  </si>
  <si>
    <t>Plex-Always Funny</t>
  </si>
  <si>
    <t>98000105</t>
  </si>
  <si>
    <t>5e20b730f2f8d5003d739db7-5f170d62b898490041b4936e</t>
  </si>
  <si>
    <t>FAILARM</t>
  </si>
  <si>
    <t>Plex-FailArmy</t>
  </si>
  <si>
    <t>98000106</t>
  </si>
  <si>
    <t>Funny Or Die, Inc.</t>
  </si>
  <si>
    <t>5e20b730f2f8d5003d739db7-63d08694ab0965e49583e3b2</t>
  </si>
  <si>
    <t>FUNRDIEI</t>
  </si>
  <si>
    <t>Plex-Funny Or Die, Inc.</t>
  </si>
  <si>
    <t>98000107</t>
  </si>
  <si>
    <t>Unspeakable</t>
  </si>
  <si>
    <t>5e20b730f2f8d5003d739db7-6674baf1a9c715b93ca6ca90</t>
  </si>
  <si>
    <t>UNSPEAK</t>
  </si>
  <si>
    <t>Plex-Unspeakable</t>
  </si>
  <si>
    <t>98000108</t>
  </si>
  <si>
    <t>Creator Television</t>
  </si>
  <si>
    <t>5e20b730f2f8d5003d739db7-67884bd6d37f2fd48d6220db</t>
  </si>
  <si>
    <t>CRATV</t>
  </si>
  <si>
    <t>Plex-Creator Television</t>
  </si>
  <si>
    <t>98000109</t>
  </si>
  <si>
    <t>MST3K</t>
  </si>
  <si>
    <t>5e20b730f2f8d5003d739db7-60d4eddbb2fdec002c141133</t>
  </si>
  <si>
    <t>Plex-MST3K</t>
  </si>
  <si>
    <t>98000111</t>
  </si>
  <si>
    <t>Mythical 24/7</t>
  </si>
  <si>
    <t>5e20b730f2f8d5003d739db7-650b5bb3f4b2d9579946a500</t>
  </si>
  <si>
    <t>MYTHICAL</t>
  </si>
  <si>
    <t>Plex-Mythical 24/7</t>
  </si>
  <si>
    <t>98000112</t>
  </si>
  <si>
    <t>Dr. Phil</t>
  </si>
  <si>
    <t>5e20b730f2f8d5003d739db7-66e4cbef38de9754b6b13e90</t>
  </si>
  <si>
    <t>DRPHIL</t>
  </si>
  <si>
    <t>Plex-Dr. Phil</t>
  </si>
  <si>
    <t>98000114</t>
  </si>
  <si>
    <t>Plex-Nosey</t>
  </si>
  <si>
    <t>98000115</t>
  </si>
  <si>
    <t>Plex-Judge Nosey</t>
  </si>
  <si>
    <t>98000116</t>
  </si>
  <si>
    <t>Plex-Judge Faith</t>
  </si>
  <si>
    <t>98000117</t>
  </si>
  <si>
    <t>Intervention</t>
  </si>
  <si>
    <t>5e20b730f2f8d5003d739db7-67291ed37f55143b23b66c51</t>
  </si>
  <si>
    <t>INTERPL</t>
  </si>
  <si>
    <t>Plex-Intervention</t>
  </si>
  <si>
    <t>98000118</t>
  </si>
  <si>
    <t>Plex-Cheaters</t>
  </si>
  <si>
    <t>98000119</t>
  </si>
  <si>
    <t>CTV Gets Real</t>
  </si>
  <si>
    <t>5e20b730f2f8d5003d739db7-673baa653686582f958dadf0</t>
  </si>
  <si>
    <t>CTVGTRL</t>
  </si>
  <si>
    <t>Plex-CTV Gets Real</t>
  </si>
  <si>
    <t>98000120</t>
  </si>
  <si>
    <t>Don't Tell The Bride</t>
  </si>
  <si>
    <t>5e20b730f2f8d5003d739db7-635847d0d3a668f1cafc1f9d</t>
  </si>
  <si>
    <t>DNTBRID</t>
  </si>
  <si>
    <t>Plex-Don't Tell The Bride</t>
  </si>
  <si>
    <t>98000122</t>
  </si>
  <si>
    <t>Love Stories TV</t>
  </si>
  <si>
    <t>5e20b730f2f8d5003d739db7-64e4351f200cd2f67473e0d2</t>
  </si>
  <si>
    <t>LOVSTPL</t>
  </si>
  <si>
    <t>Plex-Love Stories TV</t>
  </si>
  <si>
    <t>98000123</t>
  </si>
  <si>
    <t>Dance Moms</t>
  </si>
  <si>
    <t>5e20b730f2f8d5003d739db7-672917e07f55143b23b66c4b</t>
  </si>
  <si>
    <t>DNCMOMS</t>
  </si>
  <si>
    <t>Plex-Dance Moms</t>
  </si>
  <si>
    <t>98000124</t>
  </si>
  <si>
    <t>Little Women: LA</t>
  </si>
  <si>
    <t>5e20b730f2f8d5003d739db7-6729212fc1edbd1509fb9d13</t>
  </si>
  <si>
    <t>LTWLAPL</t>
  </si>
  <si>
    <t>Plex-Little Women: LA</t>
  </si>
  <si>
    <t>98000125</t>
  </si>
  <si>
    <t>Plex-So... Real</t>
  </si>
  <si>
    <t>98000126</t>
  </si>
  <si>
    <t>Love Quest</t>
  </si>
  <si>
    <t>5e20b730f2f8d5003d739db7-6515fa752ff655e77635c626</t>
  </si>
  <si>
    <t>LOQUEST</t>
  </si>
  <si>
    <t>Plex-Love Quest</t>
  </si>
  <si>
    <t>98000127</t>
  </si>
  <si>
    <t>Made In Hollywood</t>
  </si>
  <si>
    <t>5e20b730f2f8d5003d739db7-60db63d29ec966002c9ea6f0</t>
  </si>
  <si>
    <t>MDHOLWPL</t>
  </si>
  <si>
    <t>Plex-Made In Hollywood</t>
  </si>
  <si>
    <t>98000128</t>
  </si>
  <si>
    <t>Popstar! TV</t>
  </si>
  <si>
    <t>5e20b730f2f8d5003d739db7-5ef11487d33ab9004048a1d6</t>
  </si>
  <si>
    <t>POPSTRTV</t>
  </si>
  <si>
    <t>Plex-Popstar! TV</t>
  </si>
  <si>
    <t>98000129</t>
  </si>
  <si>
    <t>CTV Gridlock</t>
  </si>
  <si>
    <t>5e20b730f2f8d5003d739db7-6685c08ab53e3bc0fd169e1b</t>
  </si>
  <si>
    <t>CTVGRDLK</t>
  </si>
  <si>
    <t>Plex-CTV Gridlock</t>
  </si>
  <si>
    <t>98000130</t>
  </si>
  <si>
    <t>Ax Men</t>
  </si>
  <si>
    <t>5e20b730f2f8d5003d739db7-671bf11d572427bfa1eb7c51</t>
  </si>
  <si>
    <t>AX MEN</t>
  </si>
  <si>
    <t>Plex-Ax Men</t>
  </si>
  <si>
    <t>98000131</t>
  </si>
  <si>
    <t>The Wicked Tuna Channel</t>
  </si>
  <si>
    <t>5e20b730f2f8d5003d739db7-6623c335ed4918437ed56ec0</t>
  </si>
  <si>
    <t>WCKDTUNA</t>
  </si>
  <si>
    <t>Plex-The Wicked Tuna Channel</t>
  </si>
  <si>
    <t>98000132</t>
  </si>
  <si>
    <t>Ice Pilots NWT</t>
  </si>
  <si>
    <t>5e20b730f2f8d5003d739db7-666e1820ce73ed6023b55a11</t>
  </si>
  <si>
    <t>ICEPLPLX</t>
  </si>
  <si>
    <t>Plex-Ice Pilots NWT</t>
  </si>
  <si>
    <t>98000133</t>
  </si>
  <si>
    <t>Rig TV</t>
  </si>
  <si>
    <t>5e20b730f2f8d5003d739db7-66a2d97c94b6a49cb5054d77</t>
  </si>
  <si>
    <t>RIG TV</t>
  </si>
  <si>
    <t>Plex-Rig TV</t>
  </si>
  <si>
    <t>98000134</t>
  </si>
  <si>
    <t>Survivorman on Plex</t>
  </si>
  <si>
    <t>5e20b730f2f8d5003d739db7-65e89d8b982674772f6f1a55</t>
  </si>
  <si>
    <t>SURVPLEX</t>
  </si>
  <si>
    <t>Plex-Survivorman on Plex</t>
  </si>
  <si>
    <t>98000135</t>
  </si>
  <si>
    <t>American Pickers Channel</t>
  </si>
  <si>
    <t>5e20b730f2f8d5003d739db7-64879f0908027d8957214048</t>
  </si>
  <si>
    <t>AMPICKCH</t>
  </si>
  <si>
    <t>Plex-American Pickers Channel</t>
  </si>
  <si>
    <t>98000137</t>
  </si>
  <si>
    <t>Hardcore Pawn</t>
  </si>
  <si>
    <t>5e20b730f2f8d5003d739db7-65847c56d60830ce4d4f303a</t>
  </si>
  <si>
    <t>HCPAWN</t>
  </si>
  <si>
    <t>Plex-Hardcore Pawn</t>
  </si>
  <si>
    <t>98000138</t>
  </si>
  <si>
    <t>Operation Repo</t>
  </si>
  <si>
    <t>5e20b730f2f8d5003d739db7-6578e7b5eef129f30fb38df7</t>
  </si>
  <si>
    <t>OPRTREP</t>
  </si>
  <si>
    <t>Plex-Operation Repo</t>
  </si>
  <si>
    <t>98000139</t>
  </si>
  <si>
    <t>5e20b730f2f8d5003d739db7-63e63d26abacad42ed3d1acd</t>
  </si>
  <si>
    <t>PRIRGT</t>
  </si>
  <si>
    <t>Plex-The Price is Right</t>
  </si>
  <si>
    <t>98000140</t>
  </si>
  <si>
    <t>The Price is Right Drew Carey</t>
  </si>
  <si>
    <t>5e20b730f2f8d5003d739db7-66a2de240b91165254efdb44</t>
  </si>
  <si>
    <t>PRRIDRCA</t>
  </si>
  <si>
    <t>Plex-The Price is Right Drew Carey</t>
  </si>
  <si>
    <t>98000141</t>
  </si>
  <si>
    <t>Plex-Impossible - Quiz Show</t>
  </si>
  <si>
    <t>98000142</t>
  </si>
  <si>
    <t>Plex-BBC Game Shows</t>
  </si>
  <si>
    <t>98000143</t>
  </si>
  <si>
    <t>Deal Or No Deal</t>
  </si>
  <si>
    <t>5e20b730f2f8d5003d739db7-66855a2a714fe577eb7db920</t>
  </si>
  <si>
    <t>DLRNODL</t>
  </si>
  <si>
    <t>Plex-Deal Or No Deal</t>
  </si>
  <si>
    <t>98000144</t>
  </si>
  <si>
    <t>5e20b730f2f8d5003d739db7-66a2df930b91165254efdb46</t>
  </si>
  <si>
    <t>MAKEDLPL</t>
  </si>
  <si>
    <t>Plex-Let's Make a Deal</t>
  </si>
  <si>
    <t>98000145</t>
  </si>
  <si>
    <t>WipeoutXtra</t>
  </si>
  <si>
    <t>5e20b730f2f8d5003d739db7-6515fb621fc969615e69d16e</t>
  </si>
  <si>
    <t>WIPXTRA</t>
  </si>
  <si>
    <t>Plex-WipeoutXtra</t>
  </si>
  <si>
    <t>98000146</t>
  </si>
  <si>
    <t>Plex-Fear Factor</t>
  </si>
  <si>
    <t>98000147</t>
  </si>
  <si>
    <t>The Biggest Loser</t>
  </si>
  <si>
    <t>5e20b730f2f8d5003d739db7-6515ff231fc969615e69d170</t>
  </si>
  <si>
    <t>TBGLSR</t>
  </si>
  <si>
    <t>Plex-The Biggest Loser</t>
  </si>
  <si>
    <t>98000148</t>
  </si>
  <si>
    <t>Game Show Central</t>
  </si>
  <si>
    <t>5e20b730f2f8d5003d739db7-5eea605574085f0040ddc782</t>
  </si>
  <si>
    <t>GAMESHOW</t>
  </si>
  <si>
    <t>Plex-Game Show Central</t>
  </si>
  <si>
    <t>98000149</t>
  </si>
  <si>
    <t>Family Feud Classic</t>
  </si>
  <si>
    <t>5e20b730f2f8d5003d739db7-64b710b44612b1f48e9ad31a</t>
  </si>
  <si>
    <t>FAMFEUD</t>
  </si>
  <si>
    <t>Plex-Family Feud Classic</t>
  </si>
  <si>
    <t>98000150</t>
  </si>
  <si>
    <t>GameTVGO</t>
  </si>
  <si>
    <t>5e20b730f2f8d5003d739db7-64d2bdf1b18b113e0c610113</t>
  </si>
  <si>
    <t>GMTVGO</t>
  </si>
  <si>
    <t>Plex-GameTVGO</t>
  </si>
  <si>
    <t>98000151</t>
  </si>
  <si>
    <t>5e20b730f2f8d5003d739db7-650b60deb2413c46bf584d86</t>
  </si>
  <si>
    <t>Plex-History &amp; Warfare Now</t>
  </si>
  <si>
    <t>98000152</t>
  </si>
  <si>
    <t>5e20b730f2f8d5003d739db7-614398a08f30fa61e0da7c97</t>
  </si>
  <si>
    <t>TRUEHIST</t>
  </si>
  <si>
    <t>Plex-True History</t>
  </si>
  <si>
    <t>98000153</t>
  </si>
  <si>
    <t>History Hit</t>
  </si>
  <si>
    <t>5e20b730f2f8d5003d739db7-5f74cf83ffbe690040689f50</t>
  </si>
  <si>
    <t>HISHIT</t>
  </si>
  <si>
    <t>Plex-History Hit</t>
  </si>
  <si>
    <t>98000154</t>
  </si>
  <si>
    <t>Startalk TV</t>
  </si>
  <si>
    <t>5e20b730f2f8d5003d739db7-664292a80e0ec7b4ce5eb28c</t>
  </si>
  <si>
    <t>STRTLKTV</t>
  </si>
  <si>
    <t>Plex-Startalk TV</t>
  </si>
  <si>
    <t>98000155</t>
  </si>
  <si>
    <t>5e20b730f2f8d5003d739db7-635c61cc797a33fa4193cc93</t>
  </si>
  <si>
    <t>Plex-Space Science Now</t>
  </si>
  <si>
    <t>98000156</t>
  </si>
  <si>
    <t>Get.Factual</t>
  </si>
  <si>
    <t>5e20b730f2f8d5003d739db7-6699937717c9985deeb74e39</t>
  </si>
  <si>
    <t>GETFAC</t>
  </si>
  <si>
    <t>Plex-Get.Factual</t>
  </si>
  <si>
    <t>98000157</t>
  </si>
  <si>
    <t>Go Xplorer</t>
  </si>
  <si>
    <t>5e20b730f2f8d5003d739db7-666e16f9d91d13cb4c8cbb69</t>
  </si>
  <si>
    <t>GOXPLR</t>
  </si>
  <si>
    <t>Plex-Go Xplorer</t>
  </si>
  <si>
    <t>98000158</t>
  </si>
  <si>
    <t>Modern Marvels</t>
  </si>
  <si>
    <t>5e20b730f2f8d5003d739db7-671beef2128bc4121f80aeef</t>
  </si>
  <si>
    <t>MODMARVPL</t>
  </si>
  <si>
    <t>Plex-Modern Marvels</t>
  </si>
  <si>
    <t>98000159</t>
  </si>
  <si>
    <t>Popular Science</t>
  </si>
  <si>
    <t>5e20b730f2f8d5003d739db7-656fb850cb7e8e6a9bc3f36e</t>
  </si>
  <si>
    <t>PLRSCI</t>
  </si>
  <si>
    <t>Plex-Popular Science</t>
  </si>
  <si>
    <t>98000160</t>
  </si>
  <si>
    <t>The Mightiest by CTV</t>
  </si>
  <si>
    <t>5e20b730f2f8d5003d739db7-6685c23d2deb7f424133b08d</t>
  </si>
  <si>
    <t>MTSTCTV</t>
  </si>
  <si>
    <t>Plex-The Mightiest by CTV</t>
  </si>
  <si>
    <t>98000161</t>
  </si>
  <si>
    <t>TED</t>
  </si>
  <si>
    <t>5e20b730f2f8d5003d739db7-62ab5aabbb869dd0df6a3487</t>
  </si>
  <si>
    <t>TED TV</t>
  </si>
  <si>
    <t>Plex-TED</t>
  </si>
  <si>
    <t>98000162</t>
  </si>
  <si>
    <t>Robot Wars by Mech+</t>
  </si>
  <si>
    <t>5e20b730f2f8d5003d739db7-6470477fe536e0faaf10be9d</t>
  </si>
  <si>
    <t>RBWMECH</t>
  </si>
  <si>
    <t>Plex-Robot Wars by Mech+</t>
  </si>
  <si>
    <t>98000163</t>
  </si>
  <si>
    <t>The Martha Stewart Channel</t>
  </si>
  <si>
    <t>5e20b730f2f8d5003d739db7-672948f0297d4ea7584a2e13</t>
  </si>
  <si>
    <t>MRTSTWCH</t>
  </si>
  <si>
    <t>Plex-The Martha Stewart Channel</t>
  </si>
  <si>
    <t>98000164</t>
  </si>
  <si>
    <t>The Emeril Lagasse Channel</t>
  </si>
  <si>
    <t>5e20b730f2f8d5003d739db7-67294a601055ef3897c73477</t>
  </si>
  <si>
    <t>EMELAGCH</t>
  </si>
  <si>
    <t>Plex-The Emeril Lagasse Channel</t>
  </si>
  <si>
    <t>98000165</t>
  </si>
  <si>
    <t>5e20b730f2f8d5003d739db7-66311d1a707bae70101ec757</t>
  </si>
  <si>
    <t>TSTMDE</t>
  </si>
  <si>
    <t>Plex-Tastemade</t>
  </si>
  <si>
    <t>98000166</t>
  </si>
  <si>
    <t>Plex-BBC Food</t>
  </si>
  <si>
    <t>98000167</t>
  </si>
  <si>
    <t>Iron Chef</t>
  </si>
  <si>
    <t>5e20b730f2f8d5003d739db7-6707cfa5da81682f2d1e6837</t>
  </si>
  <si>
    <t>IRONCHPL</t>
  </si>
  <si>
    <t>Plex-Iron Chef</t>
  </si>
  <si>
    <t>98000168</t>
  </si>
  <si>
    <t>Cooking Panda</t>
  </si>
  <si>
    <t>5e20b730f2f8d5003d739db7-5f07e9fdf313eb0041bbecda</t>
  </si>
  <si>
    <t>COOKPAN</t>
  </si>
  <si>
    <t>Plex-Cooking Panda</t>
  </si>
  <si>
    <t>98000169</t>
  </si>
  <si>
    <t>Drool</t>
  </si>
  <si>
    <t>5e20b730f2f8d5003d739db7-66ea0e029502c5778b828d45</t>
  </si>
  <si>
    <t>DROOL</t>
  </si>
  <si>
    <t>Plex-Drool</t>
  </si>
  <si>
    <t>98000170</t>
  </si>
  <si>
    <t>Plex-BBC Home &amp; Garden</t>
  </si>
  <si>
    <t>98000171</t>
  </si>
  <si>
    <t>Gardening with Monty Don</t>
  </si>
  <si>
    <t>5e20b730f2f8d5003d739db7-63d6f9b67c3070b6e06e0aad</t>
  </si>
  <si>
    <t>GWMND</t>
  </si>
  <si>
    <t>Plex-Gardening with Monty Don</t>
  </si>
  <si>
    <t>98000172</t>
  </si>
  <si>
    <t>Property Brothers Channel</t>
  </si>
  <si>
    <t>5e20b730f2f8d5003d739db7-652857f46425fdb1f32d20dc</t>
  </si>
  <si>
    <t>PRPBCH</t>
  </si>
  <si>
    <t>Plex-Property Brothers Channel</t>
  </si>
  <si>
    <t>98000173</t>
  </si>
  <si>
    <t>Flipping Nation</t>
  </si>
  <si>
    <t>5e20b730f2f8d5003d739db7-671bf04b128bc4121f80aef1</t>
  </si>
  <si>
    <t>FLPNAT</t>
  </si>
  <si>
    <t>Plex-Flipping Nation</t>
  </si>
  <si>
    <t>98000174</t>
  </si>
  <si>
    <t>CTV @Home</t>
  </si>
  <si>
    <t>5e20b730f2f8d5003d739db7-6685c2e02deb7f424133b08f</t>
  </si>
  <si>
    <t>CTVHME</t>
  </si>
  <si>
    <t>Plex-CTV @Home</t>
  </si>
  <si>
    <t>98000175</t>
  </si>
  <si>
    <t>5e20b730f2f8d5003d739db7-646c0b34432016306ec0a086</t>
  </si>
  <si>
    <t>HOMEFU</t>
  </si>
  <si>
    <t>Plex-Homeful</t>
  </si>
  <si>
    <t>98000176</t>
  </si>
  <si>
    <t>5e20b730f2f8d5003d739db7-62e3232ca105dea9c400e9fe</t>
  </si>
  <si>
    <t>THSOLDHS</t>
  </si>
  <si>
    <t>Plex-This Old House</t>
  </si>
  <si>
    <t>98000177</t>
  </si>
  <si>
    <t>The Design Network</t>
  </si>
  <si>
    <t>5e20b730f2f8d5003d739db7-5f0641d3e8ffda004033b16e</t>
  </si>
  <si>
    <t>TDSNNET</t>
  </si>
  <si>
    <t>Plex-The Design Network</t>
  </si>
  <si>
    <t>98000178</t>
  </si>
  <si>
    <t>Life+Style</t>
  </si>
  <si>
    <t>5e20b730f2f8d5003d739db7-666e1bc2d91d13cb4c8cbb6f</t>
  </si>
  <si>
    <t>LIFESTPL</t>
  </si>
  <si>
    <t>Plex-Life+Style</t>
  </si>
  <si>
    <t>98000179</t>
  </si>
  <si>
    <t>Plex-PBS Antiques Roadshow</t>
  </si>
  <si>
    <t>98000180</t>
  </si>
  <si>
    <t>Plex-Antiques Road Trip</t>
  </si>
  <si>
    <t>98000181</t>
  </si>
  <si>
    <t>5e20b730f2f8d5003d739db7-630902bf0417b7074a4ad95c</t>
  </si>
  <si>
    <t>ANTROADSH</t>
  </si>
  <si>
    <t>Plex-Antiques Roadshow UK</t>
  </si>
  <si>
    <t>98000182</t>
  </si>
  <si>
    <t>Cirque du Soleil</t>
  </si>
  <si>
    <t>5e20b730f2f8d5003d739db7-67642f277c5e3b38af72dcdb</t>
  </si>
  <si>
    <t>CRDSOL</t>
  </si>
  <si>
    <t>Plex-Cirque du Soleil</t>
  </si>
  <si>
    <t>98000183</t>
  </si>
  <si>
    <t>More U</t>
  </si>
  <si>
    <t>5e20b730f2f8d5003d739db7-6112a9139894c8002c6cb87f</t>
  </si>
  <si>
    <t>MOREUPL</t>
  </si>
  <si>
    <t>Plex-More U</t>
  </si>
  <si>
    <t>98000185</t>
  </si>
  <si>
    <t>FashionTV</t>
  </si>
  <si>
    <t>5e20b730f2f8d5003d739db7-6490c01f3b3ce9e1aaad95be</t>
  </si>
  <si>
    <t>FASTV</t>
  </si>
  <si>
    <t>Plex-FashionTV</t>
  </si>
  <si>
    <t>98000186</t>
  </si>
  <si>
    <t>The Bob Ross Channel</t>
  </si>
  <si>
    <t>5e20b730f2f8d5003d739db7-5efe1de6e0b3f5003f5d9f88</t>
  </si>
  <si>
    <t>BOBRSS</t>
  </si>
  <si>
    <t>Plex-The Bob Ross Channel</t>
  </si>
  <si>
    <t>98000187</t>
  </si>
  <si>
    <t>Plex-5-Minute Crafts</t>
  </si>
  <si>
    <t>98000188</t>
  </si>
  <si>
    <t>Plex-CraftsyTV</t>
  </si>
  <si>
    <t>98000189</t>
  </si>
  <si>
    <t>Glewed TV</t>
  </si>
  <si>
    <t>5e20b730f2f8d5003d739db7-5eea605474085f0040ddc76d</t>
  </si>
  <si>
    <t>GLETV</t>
  </si>
  <si>
    <t>Plex-Glewed TV</t>
  </si>
  <si>
    <t>98000190</t>
  </si>
  <si>
    <t>Made It Myself TV</t>
  </si>
  <si>
    <t>5e20b730f2f8d5003d739db7-65b80306e5cf85050598aba4</t>
  </si>
  <si>
    <t>MADEMPL</t>
  </si>
  <si>
    <t>Plex-Made It Myself TV</t>
  </si>
  <si>
    <t>98000192</t>
  </si>
  <si>
    <t>Plex-The Boat Show</t>
  </si>
  <si>
    <t>98000193</t>
  </si>
  <si>
    <t>Plex-BBC Travel</t>
  </si>
  <si>
    <t>98000194</t>
  </si>
  <si>
    <t>Bon Voyage</t>
  </si>
  <si>
    <t>5e20b730f2f8d5003d739db7-666e10bece73ed6023b55a0d</t>
  </si>
  <si>
    <t>BONVOY</t>
  </si>
  <si>
    <t>Plex-Bon Voyage</t>
  </si>
  <si>
    <t>98000195</t>
  </si>
  <si>
    <t>Travel Escapes</t>
  </si>
  <si>
    <t>5e20b730f2f8d5003d739db7-64e437ba7ef2bf9f66b42615</t>
  </si>
  <si>
    <t>TRVLESC</t>
  </si>
  <si>
    <t>Plex-Travel Escapes</t>
  </si>
  <si>
    <t>98000196</t>
  </si>
  <si>
    <t>5e20b730f2f8d5003d739db7-650b5ea1b2413c46bf584d84</t>
  </si>
  <si>
    <t>MAGTVNPL</t>
  </si>
  <si>
    <t>Plex-MagellanTV NOW</t>
  </si>
  <si>
    <t>98000197</t>
  </si>
  <si>
    <t>Journy</t>
  </si>
  <si>
    <t>5e20b730f2f8d5003d739db7-61f0489a3f2259f988094ddb</t>
  </si>
  <si>
    <t>JOURNPL</t>
  </si>
  <si>
    <t>Plex-Journy</t>
  </si>
  <si>
    <t>98000198</t>
  </si>
  <si>
    <t>Wonder</t>
  </si>
  <si>
    <t>5e20b730f2f8d5003d739db7-5f74cf83ffbe690040689f4d</t>
  </si>
  <si>
    <t>WONDR</t>
  </si>
  <si>
    <t>Plex-Wonder</t>
  </si>
  <si>
    <t>98000199</t>
  </si>
  <si>
    <t>Waypoint TV</t>
  </si>
  <si>
    <t>5e20b730f2f8d5003d739db7-5fd115b8b7ef8d002dcf1817</t>
  </si>
  <si>
    <t>WAYPNT</t>
  </si>
  <si>
    <t>Plex-Waypoint TV</t>
  </si>
  <si>
    <t>98000200</t>
  </si>
  <si>
    <t>People are Awesome</t>
  </si>
  <si>
    <t>5e20b730f2f8d5003d739db7-5f0ff263d71dcb00449ec021</t>
  </si>
  <si>
    <t>PPLAWE</t>
  </si>
  <si>
    <t>Plex-People are Awesome</t>
  </si>
  <si>
    <t>98000201</t>
  </si>
  <si>
    <t>Evolution Earth</t>
  </si>
  <si>
    <t>5e20b730f2f8d5003d739db7-67291fdbc1edbd1509fb9d11</t>
  </si>
  <si>
    <t>EVLERT</t>
  </si>
  <si>
    <t>Plex-Evolution Earth</t>
  </si>
  <si>
    <t>98000202</t>
  </si>
  <si>
    <t>WeatherSpy</t>
  </si>
  <si>
    <t>5e20b730f2f8d5003d739db7-5f0ff266d71dcb00449ec030</t>
  </si>
  <si>
    <t>WETHRSPY</t>
  </si>
  <si>
    <t>Plex-WeatherSpy</t>
  </si>
  <si>
    <t>98000203</t>
  </si>
  <si>
    <t>5e20b730f2f8d5003d739db7-60a9d105d162b9002d05a60c</t>
  </si>
  <si>
    <t>Plex-GoUSA TV</t>
  </si>
  <si>
    <t>98000204</t>
  </si>
  <si>
    <t>5e20b730f2f8d5003d739db7-5f170d61b898490041b49369</t>
  </si>
  <si>
    <t>TPTCOL</t>
  </si>
  <si>
    <t>Plex-The Pet Collective</t>
  </si>
  <si>
    <t>98000205</t>
  </si>
  <si>
    <t>Plex-Real Wild</t>
  </si>
  <si>
    <t>98000206</t>
  </si>
  <si>
    <t>Plex-WildEarth</t>
  </si>
  <si>
    <t>98000207</t>
  </si>
  <si>
    <t>Go Wild</t>
  </si>
  <si>
    <t>5e20b730f2f8d5003d739db7-6615360a8423b8d7e61a099b</t>
  </si>
  <si>
    <t>GOWILD</t>
  </si>
  <si>
    <t>Plex-Go Wild</t>
  </si>
  <si>
    <t>98000208</t>
  </si>
  <si>
    <t>Plex-Top Gear</t>
  </si>
  <si>
    <t>98000209</t>
  </si>
  <si>
    <t>Motorvision TV</t>
  </si>
  <si>
    <t>5e20b730f2f8d5003d739db7-603fb593a99efc002dbf90e4</t>
  </si>
  <si>
    <t>MOTVISPL</t>
  </si>
  <si>
    <t>Plex-Motorvision TV</t>
  </si>
  <si>
    <t>98000210</t>
  </si>
  <si>
    <t>Plex-Motorsport.tv</t>
  </si>
  <si>
    <t>98000211</t>
  </si>
  <si>
    <t>Plex-Fifth Gear (UK)</t>
  </si>
  <si>
    <t>98000212</t>
  </si>
  <si>
    <t>SPEEDVISION</t>
  </si>
  <si>
    <t>5e20b730f2f8d5003d739db7-6349ed0eb1adc4cfa571fd37</t>
  </si>
  <si>
    <t>SPDVS</t>
  </si>
  <si>
    <t>Plex-SPEEDVISION</t>
  </si>
  <si>
    <t>98000213</t>
  </si>
  <si>
    <t>Monster Jam</t>
  </si>
  <si>
    <t>5e20b730f2f8d5003d739db7-6615885e1eabecf2c9d56495</t>
  </si>
  <si>
    <t>MONSJPL</t>
  </si>
  <si>
    <t>Plex-Monster Jam</t>
  </si>
  <si>
    <t>98000214</t>
  </si>
  <si>
    <t>Plex-Racing America</t>
  </si>
  <si>
    <t>98000215</t>
  </si>
  <si>
    <t>Plex-MAVTV Select</t>
  </si>
  <si>
    <t>98000216</t>
  </si>
  <si>
    <t>Plex-Choppertown</t>
  </si>
  <si>
    <t>98000217</t>
  </si>
  <si>
    <t>NHRA TV</t>
  </si>
  <si>
    <t>5e20b730f2f8d5003d739db7-60aeb5cd87f9b1002ce12323</t>
  </si>
  <si>
    <t>Plex-NHRA TV</t>
  </si>
  <si>
    <t>98000218</t>
  </si>
  <si>
    <t>5e20b730f2f8d5003d739db7-666292508dfc36b8c8a399ca</t>
  </si>
  <si>
    <t>Plex-FIFA+</t>
  </si>
  <si>
    <t>98000219</t>
  </si>
  <si>
    <t>5e20b730f2f8d5003d739db7-6334a8e48a7b2a349d903b8c</t>
  </si>
  <si>
    <t>BILLIARD</t>
  </si>
  <si>
    <t>Plex-Billiard TV</t>
  </si>
  <si>
    <t>98000220</t>
  </si>
  <si>
    <t>The World Poker Tour</t>
  </si>
  <si>
    <t>5e20b730f2f8d5003d739db7-5f6b8e7900b0950040d0f2b2</t>
  </si>
  <si>
    <t>WPOKRTR</t>
  </si>
  <si>
    <t>Plex-The World Poker Tour</t>
  </si>
  <si>
    <t>98000221</t>
  </si>
  <si>
    <t>Tennis+</t>
  </si>
  <si>
    <t>5e20b730f2f8d5003d739db7-6761f91555e174e95ccc4e4c</t>
  </si>
  <si>
    <t>TENNIS +</t>
  </si>
  <si>
    <t>Plex-Tennis+</t>
  </si>
  <si>
    <t>98000222</t>
  </si>
  <si>
    <t>Plex-PickleTV</t>
  </si>
  <si>
    <t>98000223</t>
  </si>
  <si>
    <t>Plex-Women's Sports Network</t>
  </si>
  <si>
    <t>98000224</t>
  </si>
  <si>
    <t>DP World Tour</t>
  </si>
  <si>
    <t>5e20b730f2f8d5003d739db7-67858517d3749c9bdd4d2ecf</t>
  </si>
  <si>
    <t>DPWLDTR</t>
  </si>
  <si>
    <t>Plex-DP World Tour</t>
  </si>
  <si>
    <t>98000225</t>
  </si>
  <si>
    <t>Plex-PokerGO</t>
  </si>
  <si>
    <t>98000227</t>
  </si>
  <si>
    <t>Plex-Poker Night TV</t>
  </si>
  <si>
    <t>98000228</t>
  </si>
  <si>
    <t>5e20b730f2f8d5003d739db7-6490e78518a55242eea95999</t>
  </si>
  <si>
    <t>SPRTGRD</t>
  </si>
  <si>
    <t>Plex-SportsGrid</t>
  </si>
  <si>
    <t>98000229</t>
  </si>
  <si>
    <t>Plex-Wired2Fish</t>
  </si>
  <si>
    <t>98000230</t>
  </si>
  <si>
    <t>TSN The Ocho</t>
  </si>
  <si>
    <t>5e20b730f2f8d5003d739db7-6685bf522deb7f424133b087</t>
  </si>
  <si>
    <t>TSNOCHO</t>
  </si>
  <si>
    <t>Plex-TSN The Ocho</t>
  </si>
  <si>
    <t>98000231</t>
  </si>
  <si>
    <t>Plex-Court Sports Network</t>
  </si>
  <si>
    <t>98000232</t>
  </si>
  <si>
    <t>5e20b730f2f8d5003d739db7-66ccae1a78822c7edc4b6df1</t>
  </si>
  <si>
    <t>UFC PLEX</t>
  </si>
  <si>
    <t>Plex-UFC</t>
  </si>
  <si>
    <t>98000233</t>
  </si>
  <si>
    <t>5e20b730f2f8d5003d739db7-643f0ecd76de2b4015ae6c01</t>
  </si>
  <si>
    <t>PFLMMA</t>
  </si>
  <si>
    <t>Plex-PFL MMA</t>
  </si>
  <si>
    <t>98000234</t>
  </si>
  <si>
    <t>Fite 24/7</t>
  </si>
  <si>
    <t>5e20b730f2f8d5003d739db7-62c8a2d2d774648bcc76a116</t>
  </si>
  <si>
    <t>FITE247</t>
  </si>
  <si>
    <t>Plex-Fite 24/7</t>
  </si>
  <si>
    <t>98000236</t>
  </si>
  <si>
    <t>CombaTV</t>
  </si>
  <si>
    <t>5e20b730f2f8d5003d739db7-63f0ca427b78030ed9990309</t>
  </si>
  <si>
    <t>COMBTV</t>
  </si>
  <si>
    <t>Plex-CombaTV</t>
  </si>
  <si>
    <t>98000237</t>
  </si>
  <si>
    <t>GLORY Kickboxing</t>
  </si>
  <si>
    <t>5e20b730f2f8d5003d739db7-63f914bffe2c3d32e1a7929f</t>
  </si>
  <si>
    <t>GLRYKCK</t>
  </si>
  <si>
    <t>Plex-GLORY Kickboxing</t>
  </si>
  <si>
    <t>98000238</t>
  </si>
  <si>
    <t>Hard Knocks</t>
  </si>
  <si>
    <t>5e20b730f2f8d5003d739db7-5fd115bdb7ef8d002dcf1820</t>
  </si>
  <si>
    <t>HRDKNKS</t>
  </si>
  <si>
    <t>Plex-Hard Knocks</t>
  </si>
  <si>
    <t>98000240</t>
  </si>
  <si>
    <t>ONE Championship TV</t>
  </si>
  <si>
    <t>5e20b730f2f8d5003d739db7-6785867ad3749c9bdd4d2ed1</t>
  </si>
  <si>
    <t>ONECHMP</t>
  </si>
  <si>
    <t>Plex-ONE Championship TV</t>
  </si>
  <si>
    <t>98000241</t>
  </si>
  <si>
    <t>Cricket Gold</t>
  </si>
  <si>
    <t>5e20b730f2f8d5003d739db7-65e0c8c6d899afe817b9d224</t>
  </si>
  <si>
    <t>CKTGLD</t>
  </si>
  <si>
    <t>Plex-Cricket Gold</t>
  </si>
  <si>
    <t>98000242</t>
  </si>
  <si>
    <t>Willow Sports</t>
  </si>
  <si>
    <t>5e20b730f2f8d5003d739db7-66fbf9cf128ab3f65b259bcb</t>
  </si>
  <si>
    <t>WILLSP</t>
  </si>
  <si>
    <t>Plex-Willow Sports</t>
  </si>
  <si>
    <t>98000243</t>
  </si>
  <si>
    <t>TNA Wrestling Channel</t>
  </si>
  <si>
    <t>5e20b730f2f8d5003d739db7-606605549dbfca002d2ae873</t>
  </si>
  <si>
    <t>TNAWR</t>
  </si>
  <si>
    <t>Plex-TNA Wrestling Channel</t>
  </si>
  <si>
    <t>98000244</t>
  </si>
  <si>
    <t>Plex-PursuitUP</t>
  </si>
  <si>
    <t>98000245</t>
  </si>
  <si>
    <t>FTF Sports</t>
  </si>
  <si>
    <t>5e20b730f2f8d5003d739db7-605a309dc5acdc002c7a20aa</t>
  </si>
  <si>
    <t>FTFSP</t>
  </si>
  <si>
    <t>Plex-FTF Sports</t>
  </si>
  <si>
    <t>98000246</t>
  </si>
  <si>
    <t>5e20b730f2f8d5003d739db7-62ffc5cfa6cad6f2991745c2</t>
  </si>
  <si>
    <t>Plex-FUEL TV</t>
  </si>
  <si>
    <t>98000247</t>
  </si>
  <si>
    <t>Plex-Surfer</t>
  </si>
  <si>
    <t>98000248</t>
  </si>
  <si>
    <t>Plex-SLOPES</t>
  </si>
  <si>
    <t>98000249</t>
  </si>
  <si>
    <t>Lift Ticket</t>
  </si>
  <si>
    <t>5e20b730f2f8d5003d739db7-62280162c9f485cc7afe8c46</t>
  </si>
  <si>
    <t>LFTCKPL</t>
  </si>
  <si>
    <t>Plex-Lift Ticket</t>
  </si>
  <si>
    <t>98000250</t>
  </si>
  <si>
    <t>Plex-Strongman Champions</t>
  </si>
  <si>
    <t>98000251</t>
  </si>
  <si>
    <t>XFC TV</t>
  </si>
  <si>
    <t>5e20b730f2f8d5003d739db7-621670feab2095ca85353ad4</t>
  </si>
  <si>
    <t>Plex-XFC TV</t>
  </si>
  <si>
    <t>98000252</t>
  </si>
  <si>
    <t>Pac-12 Insider</t>
  </si>
  <si>
    <t>5e20b730f2f8d5003d739db7-646c0dfbfb58444e4e1e262d</t>
  </si>
  <si>
    <t>PAC12INSI</t>
  </si>
  <si>
    <t>Plex-Pac-12 Insider</t>
  </si>
  <si>
    <t>98000253</t>
  </si>
  <si>
    <t>NitroCircusTV</t>
  </si>
  <si>
    <t>5e20b730f2f8d5003d739db7-656fb665cb7e8e6a9bc3f36c</t>
  </si>
  <si>
    <t>NITCIR</t>
  </si>
  <si>
    <t>Plex-NitroCircusTV</t>
  </si>
  <si>
    <t>98000254</t>
  </si>
  <si>
    <t>PLL Network</t>
  </si>
  <si>
    <t>5e20b730f2f8d5003d739db7-66fbfd67bde73c589ab2af42</t>
  </si>
  <si>
    <t>PLLNET</t>
  </si>
  <si>
    <t>Plex-PLL Network</t>
  </si>
  <si>
    <t>98000255</t>
  </si>
  <si>
    <t>Unbeaten</t>
  </si>
  <si>
    <t>5e20b730f2f8d5003d739db7-633239caa6615514fb78ecf3</t>
  </si>
  <si>
    <t>UNBEATN</t>
  </si>
  <si>
    <t>Plex-Unbeaten</t>
  </si>
  <si>
    <t>98000256</t>
  </si>
  <si>
    <t>CampusLore Sports</t>
  </si>
  <si>
    <t>5e20b730f2f8d5003d739db7-6216ae22c3bbca2de8704f65</t>
  </si>
  <si>
    <t>CAMPLRSP</t>
  </si>
  <si>
    <t>Plex-CampusLore Sports</t>
  </si>
  <si>
    <t>98000257</t>
  </si>
  <si>
    <t>Plex-RetroCrush</t>
  </si>
  <si>
    <t>98000258</t>
  </si>
  <si>
    <t>Animation+</t>
  </si>
  <si>
    <t>5e20b730f2f8d5003d739db7-674f6a6cf44561420465f9f3</t>
  </si>
  <si>
    <t>ANIMA+</t>
  </si>
  <si>
    <t>Plex-Animation+</t>
  </si>
  <si>
    <t>98000259</t>
  </si>
  <si>
    <t>Dungeon TV</t>
  </si>
  <si>
    <t>5e20b730f2f8d5003d739db7-6216723e2c2627c068e73ad4</t>
  </si>
  <si>
    <t>DUNTV</t>
  </si>
  <si>
    <t>Plex-Dungeon TV</t>
  </si>
  <si>
    <t>98000260</t>
  </si>
  <si>
    <t>Plex-BABY SHARK TV</t>
  </si>
  <si>
    <t>98000263</t>
  </si>
  <si>
    <t>Kidoodle TV</t>
  </si>
  <si>
    <t>Plex-Kidoodle TV</t>
  </si>
  <si>
    <t>98000264</t>
  </si>
  <si>
    <t>Plex-Transformers</t>
  </si>
  <si>
    <t>98000265</t>
  </si>
  <si>
    <t>Plex-Power Rangers</t>
  </si>
  <si>
    <t>98000266</t>
  </si>
  <si>
    <t>Plex-Sonic TV</t>
  </si>
  <si>
    <t>98000267</t>
  </si>
  <si>
    <t>Sonic The Hedgehog</t>
  </si>
  <si>
    <t>5e20b730f2f8d5003d739db7-6615522e50e81fa51eb0df60</t>
  </si>
  <si>
    <t>SONHDGE</t>
  </si>
  <si>
    <t>Plex-Sonic The Hedgehog</t>
  </si>
  <si>
    <t>98000268</t>
  </si>
  <si>
    <t>Strawberry Shortcake</t>
  </si>
  <si>
    <t>5e20b730f2f8d5003d739db7-6615522e50e81fa51eb0df62</t>
  </si>
  <si>
    <t>STWSHCK</t>
  </si>
  <si>
    <t>Plex-Strawberry Shortcake</t>
  </si>
  <si>
    <t>98000269</t>
  </si>
  <si>
    <t>Teletubbies</t>
  </si>
  <si>
    <t>5e20b730f2f8d5003d739db7-6615522e50e81fa51eb0df61</t>
  </si>
  <si>
    <t>TELETUBS</t>
  </si>
  <si>
    <t>Plex-Teletubbies</t>
  </si>
  <si>
    <t>98000270</t>
  </si>
  <si>
    <t>pocket.watch game-on</t>
  </si>
  <si>
    <t>Plex-pocket.watch game-on</t>
  </si>
  <si>
    <t>98000271</t>
  </si>
  <si>
    <t>Plex-Ryan and Friends</t>
  </si>
  <si>
    <t>98000272</t>
  </si>
  <si>
    <t>5e20b730f2f8d5003d739db7-5f123330eca6a20040b328e8</t>
  </si>
  <si>
    <t>TGJR</t>
  </si>
  <si>
    <t>Plex-TG Junior</t>
  </si>
  <si>
    <t>98000273</t>
  </si>
  <si>
    <t>Mr. Bean</t>
  </si>
  <si>
    <t>5e20b730f2f8d5003d739db7-66a2e7fe94b6a49cb5054d7b</t>
  </si>
  <si>
    <t>MRBNPL</t>
  </si>
  <si>
    <t>Plex-Mr. Bean</t>
  </si>
  <si>
    <t>98000274</t>
  </si>
  <si>
    <t>Camp Spoopy</t>
  </si>
  <si>
    <t>5e20b730f2f8d5003d739db7-6164a963766ab4f9f57e81b1</t>
  </si>
  <si>
    <t>CAMSPO</t>
  </si>
  <si>
    <t>Plex-Camp Spoopy</t>
  </si>
  <si>
    <t>98000275</t>
  </si>
  <si>
    <t>123GO!</t>
  </si>
  <si>
    <t>5e20b730f2f8d5003d739db7-63eecb32ac23d1ee072087cb</t>
  </si>
  <si>
    <t>Plex-123GO!</t>
  </si>
  <si>
    <t>98000276</t>
  </si>
  <si>
    <t>Brat TV</t>
  </si>
  <si>
    <t>5e20b730f2f8d5003d739db7-63d6f6c5a9e88ee909e7ee1f</t>
  </si>
  <si>
    <t>BRATV</t>
  </si>
  <si>
    <t>Plex-Brat TV</t>
  </si>
  <si>
    <t>98000277</t>
  </si>
  <si>
    <t>5e20b730f2f8d5003d739db7-618ab2f275913b296fbe56dd</t>
  </si>
  <si>
    <t>EDDIWON</t>
  </si>
  <si>
    <t>Plex-Eddie's Wonderland</t>
  </si>
  <si>
    <t>98000278</t>
  </si>
  <si>
    <t>Ninja Kidz TV</t>
  </si>
  <si>
    <t>5e20b730f2f8d5003d739db7-627ec46a92d8e6a705784bd1</t>
  </si>
  <si>
    <t>NINJKID</t>
  </si>
  <si>
    <t>Plex-Ninja Kidz TV</t>
  </si>
  <si>
    <t>98000279</t>
  </si>
  <si>
    <t>Plex-Toony Planet</t>
  </si>
  <si>
    <t>98000280</t>
  </si>
  <si>
    <t>Watch it Kid</t>
  </si>
  <si>
    <t>5e20b730f2f8d5003d739db7-621672612c2627c068e73ad6</t>
  </si>
  <si>
    <t>WATCHKID</t>
  </si>
  <si>
    <t>Plex-Watch it Kid</t>
  </si>
  <si>
    <t>98000281</t>
  </si>
  <si>
    <t>5e20b730f2f8d5003d739db7-5f12332eeca6a20040b328e5</t>
  </si>
  <si>
    <t>SKWAD TV</t>
  </si>
  <si>
    <t>Plex-SKWAD</t>
  </si>
  <si>
    <t>98000282</t>
  </si>
  <si>
    <t>5e20b730f2f8d5003d739db7-5eea605574085f0040ddc794</t>
  </si>
  <si>
    <t>TNGGLS</t>
  </si>
  <si>
    <t>Plex-Toon Goggles</t>
  </si>
  <si>
    <t>98000283</t>
  </si>
  <si>
    <t>Noovo Cinéma</t>
  </si>
  <si>
    <t>5e20b730f2f8d5003d739db7-668d3d9c164d5df264c08d2d</t>
  </si>
  <si>
    <t>NOOVCIN</t>
  </si>
  <si>
    <t>Plex-Noovo Cinéma</t>
  </si>
  <si>
    <t>98000284</t>
  </si>
  <si>
    <t>Ça c’est drôle</t>
  </si>
  <si>
    <t>5e20b730f2f8d5003d739db7-668d3ca7164d5df264c08d2b</t>
  </si>
  <si>
    <t>C4DROLE</t>
  </si>
  <si>
    <t>Plex-Ça c’est drôle</t>
  </si>
  <si>
    <t>98000285</t>
  </si>
  <si>
    <t>Les débatteurs Noovo</t>
  </si>
  <si>
    <t>5e20b730f2f8d5003d739db7-668d3bc6aa19f3bf5ee4fd1a</t>
  </si>
  <si>
    <t>DEBNOPL</t>
  </si>
  <si>
    <t>Plex-Les débatteurs Noovo</t>
  </si>
  <si>
    <t>98000286</t>
  </si>
  <si>
    <t>Euronews Español</t>
  </si>
  <si>
    <t>5e20b730f2f8d5003d739db7-60089d97f682a3002c34829d</t>
  </si>
  <si>
    <t>EUROESP</t>
  </si>
  <si>
    <t>Plex-Euronews Español</t>
  </si>
  <si>
    <t>98000287</t>
  </si>
  <si>
    <t>Plex-Novelisima</t>
  </si>
  <si>
    <t>98000019</t>
  </si>
  <si>
    <t>Plex-El Conflicto TV</t>
  </si>
  <si>
    <t>98000289</t>
  </si>
  <si>
    <t>Plex-Nosey Escándalos</t>
  </si>
  <si>
    <t>98000290</t>
  </si>
  <si>
    <t>Plex-Always Funny en Español</t>
  </si>
  <si>
    <t>98000291</t>
  </si>
  <si>
    <t>C4 en Alerta</t>
  </si>
  <si>
    <t>5e20b730f2f8d5003d739db7-65b1568052aa31b8f64da064</t>
  </si>
  <si>
    <t>C4ENAL</t>
  </si>
  <si>
    <t>Plex-C4 en Alerta</t>
  </si>
  <si>
    <t>98000292</t>
  </si>
  <si>
    <t>beIN Sports Xtra en Español</t>
  </si>
  <si>
    <t>5e20b730f2f8d5003d739db7-64a8903d273b89c4e7396553</t>
  </si>
  <si>
    <t>BESPXRES</t>
  </si>
  <si>
    <t>Plex-beIN Sports Xtra en Español</t>
  </si>
  <si>
    <t>98000293</t>
  </si>
  <si>
    <t>The World Poker Tour (Spanish)</t>
  </si>
  <si>
    <t>5e20b730f2f8d5003d739db7-656fa24bdbcce28c3a417415</t>
  </si>
  <si>
    <t>TWLDPKR</t>
  </si>
  <si>
    <t>Plex-The World Poker Tour (Spanish)</t>
  </si>
  <si>
    <t>98000294</t>
  </si>
  <si>
    <t>Ideas En 5 Minutos</t>
  </si>
  <si>
    <t>5e20b730f2f8d5003d739db7-64a355697d24564fba37bab8</t>
  </si>
  <si>
    <t>IDEAPL</t>
  </si>
  <si>
    <t>Plex-Ideas En 5 Minutos</t>
  </si>
  <si>
    <t>98000295</t>
  </si>
  <si>
    <t>Pitufo TV</t>
  </si>
  <si>
    <t>5e20b730f2f8d5003d739db7-639ba57d3f4612cc150a5723</t>
  </si>
  <si>
    <t>PITUFOTV</t>
  </si>
  <si>
    <t>Plex-Pitufo TV</t>
  </si>
  <si>
    <t>98000296</t>
  </si>
  <si>
    <t>Plex-Desi Play TV</t>
  </si>
  <si>
    <t>98000297</t>
  </si>
  <si>
    <t>Plex-Shemaroo Bollywood</t>
  </si>
  <si>
    <t>98000298</t>
  </si>
  <si>
    <t>Zee BollyWorld</t>
  </si>
  <si>
    <t>5e20b730f2f8d5003d739db7-678287e75fe5e4eb1e030c65</t>
  </si>
  <si>
    <t>ZEEBLWD</t>
  </si>
  <si>
    <t>Plex-Zee BollyWorld</t>
  </si>
  <si>
    <t>98000299</t>
  </si>
  <si>
    <t>Rakuten Viki</t>
  </si>
  <si>
    <t>5e20b730f2f8d5003d739db7-60d4edd8b2fdec002c14112f</t>
  </si>
  <si>
    <t>RAKUTVK</t>
  </si>
  <si>
    <t>Plex-Rakuten Viki</t>
  </si>
  <si>
    <t>98000300</t>
  </si>
  <si>
    <t>Plex-Aliwko</t>
  </si>
  <si>
    <t>98000301</t>
  </si>
  <si>
    <t>OnDemandChina</t>
  </si>
  <si>
    <t>5e20b730f2f8d5003d739db7-60d4edd7b2fdec002c14112b</t>
  </si>
  <si>
    <t>ONDMNCH</t>
  </si>
  <si>
    <t>Plex-OnDemandChina</t>
  </si>
  <si>
    <t>98000302</t>
  </si>
  <si>
    <t>NEW K.MOVIES</t>
  </si>
  <si>
    <t>5e20b730f2f8d5003d739db7-60d4eddab2fdec002c141131</t>
  </si>
  <si>
    <t>NEWKMOV</t>
  </si>
  <si>
    <t>Plex-NEW K.MOVIES</t>
  </si>
  <si>
    <t>98000303</t>
  </si>
  <si>
    <t>Plex-AsianCrush</t>
  </si>
  <si>
    <t>98000304</t>
  </si>
  <si>
    <t>Plex-TVB Pearl Drama</t>
  </si>
  <si>
    <t>98000305</t>
  </si>
  <si>
    <t>Plex-Wu Tang Collection</t>
  </si>
  <si>
    <t>98000306</t>
  </si>
  <si>
    <t>Movieitaly Channel</t>
  </si>
  <si>
    <t>5e20b730f2f8d5003d739db7-65d90ec99c7a6da8c3ce57eb</t>
  </si>
  <si>
    <t>MOVITPL</t>
  </si>
  <si>
    <t>Plex-Movieitaly Channel</t>
  </si>
  <si>
    <t>98000307</t>
  </si>
  <si>
    <t>AfroLandTV</t>
  </si>
  <si>
    <t>Plex-AfroLandTV</t>
  </si>
  <si>
    <t>98000308</t>
  </si>
  <si>
    <t>Plex-Nolly Africa HD</t>
  </si>
  <si>
    <t>98000309</t>
  </si>
  <si>
    <t>Unity in Black by kweliTV</t>
  </si>
  <si>
    <t>5e20b730f2f8d5003d739db7-666357257ce166787145c6ab</t>
  </si>
  <si>
    <t>UNBLKKW</t>
  </si>
  <si>
    <t>Plex-Unity in Black by kweliTV</t>
  </si>
  <si>
    <t>98000310</t>
  </si>
  <si>
    <t>MHz Now</t>
  </si>
  <si>
    <t>5e20b730f2f8d5003d739db7-611152a48f945c002c40021a</t>
  </si>
  <si>
    <t>MHZNWPL</t>
  </si>
  <si>
    <t>Plex-MHz Now</t>
  </si>
  <si>
    <t>98000311</t>
  </si>
  <si>
    <t>Euronews Deutsch</t>
  </si>
  <si>
    <t>5e20b730f2f8d5003d739db7-6245efe9f137de43897ea1ae</t>
  </si>
  <si>
    <t>EURODUES</t>
  </si>
  <si>
    <t>Plex-Euronews Deutsch</t>
  </si>
  <si>
    <t>98000312</t>
  </si>
  <si>
    <t>Euronews Italiano</t>
  </si>
  <si>
    <t>5e20b730f2f8d5003d739db7-6245f13093b402a3d1097789</t>
  </si>
  <si>
    <t>EUROITL</t>
  </si>
  <si>
    <t>Plex-Euronews Italiano</t>
  </si>
  <si>
    <t>98000313</t>
  </si>
  <si>
    <t>Euronews Portuguese</t>
  </si>
  <si>
    <t>5e20b730f2f8d5003d739db7-6245cd154f27f4e9c76d67e9</t>
  </si>
  <si>
    <t>EUROPOR</t>
  </si>
  <si>
    <t>Plex-Euronews Portuguese</t>
  </si>
  <si>
    <t>98000314</t>
  </si>
  <si>
    <t>AXS TV Now</t>
  </si>
  <si>
    <t>5e20b730f2f8d5003d739db7-606605549dbfca002d2ae875</t>
  </si>
  <si>
    <t>AXSTVNW</t>
  </si>
  <si>
    <t>Plex-AXS TV Now</t>
  </si>
  <si>
    <t>Plex-Music Legends</t>
  </si>
  <si>
    <t>98000317</t>
  </si>
  <si>
    <t>Plex-Qwest TV</t>
  </si>
  <si>
    <t>98000318</t>
  </si>
  <si>
    <t>TRACE UK</t>
  </si>
  <si>
    <t>5e20b730f2f8d5003d739db7-66be8cd4871131188099527e</t>
  </si>
  <si>
    <t>TRCUK</t>
  </si>
  <si>
    <t>Plex-TRACE UK</t>
  </si>
  <si>
    <t>98000320</t>
  </si>
  <si>
    <t>Plex-TRACE Urban</t>
  </si>
  <si>
    <t>98000321</t>
  </si>
  <si>
    <t>Plex-TRACE Brazuca</t>
  </si>
  <si>
    <t>98000322</t>
  </si>
  <si>
    <t>Plex-TRACE Latina</t>
  </si>
  <si>
    <t>98000323</t>
  </si>
  <si>
    <t>NEW K-POP</t>
  </si>
  <si>
    <t>5e20b730f2f8d5003d739db7-60d4edd7b2fdec002c14112d</t>
  </si>
  <si>
    <t>NEWKPOP</t>
  </si>
  <si>
    <t>Plex-NEW K-POP</t>
  </si>
  <si>
    <t>98000324</t>
  </si>
  <si>
    <t>YG TV</t>
  </si>
  <si>
    <t>5e20b730f2f8d5003d739db7-60d4ede2b2fdec002c14113b</t>
  </si>
  <si>
    <t>Plex-YG TV</t>
  </si>
  <si>
    <t>98000325</t>
  </si>
  <si>
    <t>party tyme karaoke</t>
  </si>
  <si>
    <t>5e20b730f2f8d5003d739db7-5eea605674085f0040ddc7ac</t>
  </si>
  <si>
    <t>PTYTMKA</t>
  </si>
  <si>
    <t>Plex-party tyme karaoke</t>
  </si>
  <si>
    <t>98000326</t>
  </si>
  <si>
    <t>Radio-Canada INFO</t>
  </si>
  <si>
    <t>5e20b730f2f8d5003d739db7-65b28dd28f05102bce4a790f</t>
  </si>
  <si>
    <t>RADCANIN</t>
  </si>
  <si>
    <t>Plex-Radio-Canada INFO</t>
  </si>
  <si>
    <t>98000327</t>
  </si>
  <si>
    <t>XUMO PlayURL</t>
  </si>
  <si>
    <t>TMIS Platform (mATV)</t>
  </si>
  <si>
    <t>TMIS Unmanaged Streaming Devices</t>
  </si>
  <si>
    <t>5f68f53eb1e5800007390bf8v</t>
  </si>
  <si>
    <t>https:TIVOPLUS_BLANK//db32be3yl2hko.cloudfront.net/11302/88885014/hls/elec_en.m3u8?ads.xumo_channelId=88885014&amp;ads.caid=ElectricNow&amp;ads.csid=tivo_electricentertainment_ssai&amp;ads.coppa=0&amp;ads.provider_id=1091&amp;ads.content_producer_id=1091&amp;ads.content_producer=ElectricEntertainment&amp;ads.content_network=ElectricEntertainment&amp;ads.xumo_streamId=88885014&amp;ads.content_length=&amp;ads.content_language=en&amp;ads.content_category=IAB1-5&amp;ads.content_genre=Movies&amp;ads.content_rating=mpaa-r&amp;ads.content_channel=ElectricN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odel%253DTIVOPLUS_DEVMODEL%2526devmakedate%253D</t>
  </si>
  <si>
    <t>https:TIVOPLUS_BLANK//db32be3yl2hko.cloudfront.net/11302/88885128/hls/playlist.m3u8?ads.xumo_channelId=88885128&amp;ads.caid=BlueAntMediaHauntTV&amp;ads.csid=tivo_us_blueantmediahaunttv_ssai&amp;ads.coppa=0&amp;ads.provider_id=4172&amp;ads.content_producer_id=4172&amp;ads.content_producer=BlueAntMediaHauntTV&amp;ads.content_network=BlueAntMediaHauntTV&amp;ads.xumo_streamId=88885128&amp;ads.content_length=&amp;ads.content_language=en&amp;ads.content_category=IAB1-7&amp;ads.content_genre=Television&amp;ads.content_rating=tv-14&amp;ads.content_channel=Haunt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</si>
  <si>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88885076/hls/master.m3u8?ads.xumo_channelId=88885076&amp;ads.caid=Heartland&amp;ads.csid=tivo_heartland_ssai&amp;ads.coppa=0&amp;ads.provider_id=260&amp;ads.content_producer_id=260&amp;ads.content_producer=FilmRise&amp;ads.content_network=FilmRise&amp;ads.xumo_streamId=88885076&amp;ads.content_length=&amp;ads.content_language=en&amp;ads.content_category=IAB17&amp;ads.content_genre=Television&amp;ads.content_rating=tvpg&amp;ads.content_channel=Heartland&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</si>
  <si>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88885127/hls/master.m3u8?ads.xumo_channelId=88885127&amp;ads.caid=FilmRise&amp;ads.csid=tivo_us_filmrisewestern_ssai&amp;ads.coppa=0&amp;ads.provider_id=260&amp;ads.content_producer_id=260&amp;ads.content_producer=FilmRise&amp;ads.content_network=FilmRise&amp;ads.xumo_streamId=88885127&amp;ads.content_length=&amp;ads.content_language=en&amp;ads.content_category=IAB1-7&amp;ads.content_genre=Television&amp;ads.content_rating=tv-pg&amp;ads.content_channel=FilmRiseWester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</si>
  <si>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88885081/hls/playlist.m3u8?ads.xumo_channelId=88885081&amp;ads.caid=CircleMediaTV&amp;ads.csid=tivo_circlemediatv_ssai&amp;ads.coppa=0&amp;ads.provider_id=2046&amp;ads.content_producer_id=2046&amp;ads.content_producer=CircleMediaTV&amp;ads.content_network=CircleMediaTV&amp;ads.xumo_streamId=88885081&amp;ads.content_length=&amp;ads.content_language=en&amp;ads.content_category=&amp;ads.content_genre=&amp;ads.content_rating=&amp;ads.content_channel=Circle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</si>
  <si>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88885132/hls/master.m3u8?ads.xumo_channelId=88885132&amp;ads.caid=FilmRise&amp;ads.csid=tivo_us_untoldstoriesoftheer_ssai&amp;ads.coppa=0&amp;ads.provider_id=260&amp;ads.content_producer_id=260&amp;ads.content_producer=FilmRise&amp;ads.content_network=FilmRise&amp;ads.xumo_streamId=88885132&amp;ads.content_length=&amp;ads.content_language=en&amp;ads.content_category=IAB1-7&amp;ads.content_genre=Television&amp;ads.content_rating=tv14&amp;ads.content_channel=UntoldStoriesOfTheER&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</si>
  <si>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88885135/hls/master.m3u8?ads.xumo_channelId=88885135&amp;ads.caid=Cheaters&amp;ads.csid=tivo_us_filmrisecheaters_ssai&amp;ads.coppa=0&amp;ads.provider_id=260&amp;ads.content_producer_id=260&amp;ads.content_producer=FilmRise&amp;ads.content_network=FilmRise&amp;ads.xumo_streamId=88885135&amp;ads.content_length=&amp;ads.content_language=en&amp;ads.content_category=IAB17&amp;ads.content_genre=Television&amp;ads.content_rating=tv-14&amp;ads.content_channel=Cheater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</si>
  <si>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88885129/hls/master.m3u8?ads.xumo_channelId=88885129&amp;ads.caid=FilmRise&amp;ads.csid=tivo_us_hellskitchen_ssai&amp;ads.coppa=0&amp;ads.provider_id=260&amp;ads.content_producer_id=260&amp;ads.content_producer=FilmRise&amp;ads.content_network=FilmRise&amp;ads.xumo_streamId=88885129&amp;ads.content_length=&amp;ads.content_language=en&amp;ads.content_category=IAB1-7&amp;ads.content_genre=Television&amp;ads.content_rating=tv-14&amp;ads.content_channel=HellsKitche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</si>
  <si>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88885103/hls/playlist.m3u8?ads.xumo_channelId=88885103&amp;ads.caid=FreemantleJamieOliver&amp;ads.csid=tivo_freemantlejamieoliver_ssai&amp;ads.coppa=0&amp;ads.provider_id=3811&amp;ads.content_producer_id=3811&amp;ads.content_producer=FreemantleJamieOliver&amp;ads.content_network=FreemantleJamieOliver&amp;ads.xumo_streamId=88885103&amp;ads.content_length=&amp;ads.content_language=en&amp;ads.content_category=IAB8&amp;ads.content_genre=Food %2526Drink&amp;ads.content_rating=tvpg&amp;ads.content_channel=TheJamieOliverChannel&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</si>
  <si>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88885134/hls/playlist.m3u8?ads.xumo_channelId=88885134&amp;ads.caid=PBSAntiquesRoadshowUS&amp;ads.csid=tivo_us_pbsantiquesroadshowus_ssai&amp;ads.coppa=0&amp;ads.provider_id=3861&amp;ads.content_producer_id=3861&amp;ads.content_producer=PBSAntiquesRoadshowUS&amp;ads.content_network=PBSAntiquesRoadshowUS&amp;ads.xumo_streamId=88885134&amp;ads.content_length=&amp;ads.content_language=en&amp;ads.content_category=IAB17&amp;ads.content_genre=Television&amp;ads.content_rating=tvpg&amp;ads.content_channel=AntiquesRoadShow&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</si>
  <si>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88885133/hls/playlist.m3u8?ads.xumo_channelId=88885133&amp;ads.caid=PBSAntiquesRoadTrip&amp;ads.csid=tivo_us_pbsantiquesroadtrip_ssai&amp;ads.coppa=0&amp;ads.provider_id=4114&amp;ads.content_producer_id=4114&amp;ads.content_producer=PBSAntiquesRoadTrip&amp;ads.content_network=PBSAntiquesRoadTrip&amp;ads.xumo_streamId=88885133&amp;ads.content_length=&amp;ads.content_language=en&amp;ads.content_category=IAB1-7&amp;ads.content_genre=Television&amp;ads.content_rating=tvpg&amp;ads.content_channel=AntiquesRoadTri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</si>
  <si>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 TIVOPLUS_BLANK //db32be3yl2hko.cloudfront.net/11302/88885104/hls/playlist.m3u8?ads.xumo_channelId=88885104&amp;ads.caid=Homeful&amp;ads.csid=tivo_homeful_ssai&amp;ads.coppa=0&amp;ads.provider_id=3477&amp;ads.content_producer_id=3477&amp;ads.content_producer=Homeful&amp;ads.content_network=Homeful&amp;ads.xumo_streamId=88885104&amp;ads.content_length=&amp;ads.content_language=en&amp;ads.content_category=&amp;ads.content_genre=&amp;ads.content_rating=&amp;ads.content_channel=Homeful&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</si>
  <si>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88885087/hls/playlist.m3u8?ads.xumo_channelId=88885087&amp;ads.caid=PBSNature&amp;ads.csid=tivo_pbsnature_ssai&amp;ads.coppa=0&amp;ads.provider_id=3849&amp;ads.content_producer_id=3849&amp;ads.content_producer=PBSNature&amp;ads.content_network=PBSNature&amp;ads.xumo_streamId=88885087&amp;ads.content_length=&amp;ads.content_language=en&amp;ads.content_category=IAB1-7&amp;ads.content_genre=Television&amp;ads.content_rating=tv-g&amp;ads.content_channel=PBSNatu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</si>
  <si>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88885106/hls/master.m3u8?ads.xumo_channelId=88885106&amp;ads.caid=LoveNature&amp;ads.csid=tivo_lovenature_ssai&amp;ads.coppa=0&amp;ads.provider_id=1852&amp;ads.content_producer_id=1852&amp;ads.content_producer=LoveNature&amp;ads.content_network=LoveNature&amp;ads.xumo_streamId=88885106&amp;ads.content_length=&amp;ads.content_language=en&amp;ads.content_category=&amp;ads.content_genre=&amp;ads.content_rating=tvpg&amp;ads.content_channel=lovenatur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</si>
  <si>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88885090/hls/playlist.m3u8?ads.xumo_channelId=88885090&amp;ads.caid=SPEEDVISION&amp;ads.csid=tivo_speedvision_ssai&amp;ads.coppa=0&amp;ads.provider_id=3973&amp;ads.content_producer_id=3973&amp;ads.content_producer=SPEEDVISION&amp;ads.content_network=SPEEDVISION&amp;ads.xumo_streamId=88885090&amp;ads.content_length=&amp;ads.content_language=en&amp;ads.content_category=IAB17&amp;ads.content_genre=Sports&amp;ads.content_rating=tvpg&amp;ads.content_channel=Speedvision&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</si>
  <si>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88885089/hls/playlist.m3u8?ads.xumo_channelId=88885089&amp;ads.caid=ProFightersLeagueMMA&amp;ads.csid=tivo_profightersleaguemma_ssai&amp;ads.coppa=0&amp;ads.provider_id=3852&amp;ads.content_producer_id=3852&amp;ads.content_producer=ProFightersLeagueMMA&amp;ads.content_network=ProFightersLeagueMMA&amp;ads.xumo_streamId=88885089&amp;ads.content_length=&amp;ads.content_language=en&amp;ads.content_category=IAB17&amp;ads.content_genre=Sports&amp;ads.content_rating=tv-14&amp;ads.content_channel=PFLMM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</si>
  <si>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88885092/hls/bxntv.m3u8?ads.xumo_channelId=88885092a&amp;ads.caid=TripleBMediaBoxingTV&amp;ads.csid=tivo_triplebmediaboxingtv_ssai&amp;ads.coppa=0&amp;ads.provider_id=3771&amp;ads.content_producer_id=3771&amp;ads.content_producer=TripleBMediaBoxingTV&amp;ads.content_network=TripleBMediaBoxingTV&amp;ads.xumo_streamId=88885092&amp;ads.content_length=&amp;ads.content_language=en&amp;ads.content_category=IAB17&amp;ads.content_genre=Sports&amp;ads.content_rating=tv-14 &amp;ads.content_channel=TripleBMediaBoxingTV&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</si>
  <si>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Stingray</t>
  </si>
  <si>
    <t>https:TIVOPLUS_BLANK//db32be3yl2hko.cloudfront.net/11302/88885122/hls/master.m3u8?ads.xumo_channelId=88885122&amp;ads.caid=StingrayQello&amp;ads.csid=tivo_stingrayqello_ssai&amp;ads.coppa=0&amp;ads.provider_id=187&amp;ads.content_producer_id=187&amp;ads.content_producer=Stingray&amp;ads.content_network=Stingray&amp;ads.xumo_streamId=88885122&amp;ads.content_length=&amp;ads.content_language=en&amp;ads.content_category=IAB1-6&amp;ads.content_genre=Music&amp;ads.content_rating=tv-g&amp;ads.content_channel=QelloConcertsbyStingra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</si>
  <si>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88885065/hls/master.m3u8?ads.xumo_channelId=88885065&amp;ads.caid=StingrayHitlist&amp;ads.csid=tivo_stingrayhitlist_ssai&amp;ads.coppa=0&amp;ads.provider_id=1858&amp;ads.content_producer_id=1858&amp;ads.content_producer=StingrayHitlist&amp;ads.content_network=StingrayHitlist&amp;ads.xumo_streamId=88885065&amp;ads.content_length=&amp;ads.content_language=en&amp;ads.content_category=IAB1-6&amp;ads.content_genre=Music&amp;ads.content_rating=tv-g&amp;ads.content_channel=StingrayHitList&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</si>
  <si>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88885063/hls/master.m3u8?ads.xumo_channelId=88885063&amp;ads.caid=StingrayGreatestHits&amp;ads.csid=tivo_stingraygreatesthits_ssai&amp;ads.coppa=0&amp;ads.provider_id=1857&amp;ads.content_producer_id=1857&amp;ads.content_producer=StingrayGreatestHits&amp;ads.content_network=StingrayGreatestHits&amp;ads.xumo_streamId=88885063&amp;ads.content_length=&amp;ads.content_language=en&amp;ads.content_category=IAB1-6&amp;ads.content_genre=Music&amp;ads.content_rating=tv-g&amp;ads.content_channel=StingrayGreatestHit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</si>
  <si>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88885058/hls/master.m3u8?ads.xumo_channelId=88885058&amp;ads.caid=Stingray2000sUS&amp;ads.csid=tivo_stingray2000sus_ssai&amp;ads.coppa=0&amp;ads.provider_id=3756&amp;ads.content_producer_id=3756&amp;ads.content_producer=Stingray2000sUS&amp;ads.content_network=Stingray2000sUS&amp;ads.xumo_streamId=88885058&amp;ads.content_length=&amp;ads.content_language=en&amp;ads.content_category=IAB1-6&amp;ads.content_genre=Music&amp;ads.content_rating=tv-g&amp;ads.content_channel=Stingray2000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</si>
  <si>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88885067/hls/master.m3u8?ads.xumo_channelId=88885067&amp;ads.caid=Stingray90sUS&amp;ads.csid=tivo_stingray90sus_ssai&amp;ads.coppa=0&amp;ads.provider_id=3790&amp;ads.content_producer_id=3790&amp;ads.content_producer=Stingray90sUS&amp;ads.content_network=Stingray90sUS&amp;ads.xumo_streamId=88885067&amp;ads.content_length=&amp;ads.content_language=en&amp;ads.content_category=IAB1-6&amp;ads.content_genre=Music&amp;ads.content_rating=tv-g&amp;ads.content_channel=StingrayNothingbutthe90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</si>
  <si>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88885069/hls/master.m3u8?ads.xumo_channelId=88885069&amp;ads.caid=StingrayEverything80s&amp;ads.csid=tivo_stingrayeverything80s_ssai&amp;ads.coppa=0&amp;ads.provider_id=2184&amp;ads.content_producer_id=2184&amp;ads.content_producer=StingrayEverything80s&amp;ads.content_network=StingrayEverything80s&amp;ads.xumo_streamId=88885069&amp;ads.content_length=&amp;ads.content_language=en&amp;ads.content_category=IAB1-6&amp;ads.content_genre=Music&amp;ads.content_rating=tv-g&amp;ads.content_channel=StingrayRememberthe80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</si>
  <si>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88885059/hls/master.m3u8?ads.xumo_channelId=88885059&amp;ads.caid=StingrayClassicRock&amp;ads.csid=tivo_stingrayclassicrock_ssai&amp;ads.coppa=0&amp;ads.provider_id=1856&amp;ads.content_producer_id=1856&amp;ads.content_producer=StingrayClassicRock&amp;ads.content_network=StingrayClassicRock&amp;ads.xumo_streamId=88885059&amp;ads.content_length=&amp;ads.content_language=en&amp;ads.content_category=IAB1-6&amp;ads.content_genre=Music&amp;ads.content_rating=tv-g&amp;ads.content_channel=StingrayClassicRock&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</si>
  <si>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88885066/hls/master.m3u8?ads.xumo_channelId=88885066&amp;ads.caid=StingrayHotCountry&amp;ads.csid=tivo_stingrayhotcountry_ssai&amp;ads.coppa=0&amp;ads.provider_id=1859&amp;ads.content_producer_id=1859&amp;ads.content_producer=StingrayHotCountry&amp;ads.content_network=StingrayHotCountry&amp;ads.xumo_streamId=88885066&amp;ads.content_length=&amp;ads.content_language=en&amp;ads.content_category=IAB1-6&amp;ads.content_genre=Music&amp;ads.content_rating=tv-g&amp;ads.content_channel=StingrayHotCountry&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</si>
  <si>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88885064/hls/master.m3u8?ads.xumo_channelId=88885064&amp;ads.caid=StingrayHipHop&amp;ads.csid=tivo_stingrayhiphop_ssai&amp;ads.coppa=0&amp;ads.provider_id=3195&amp;ads.content_producer_id=3195&amp;ads.content_producer=StingrayHipHop&amp;ads.content_network=StingrayHipHop&amp;ads.xumo_streamId=88885064&amp;ads.content_length=&amp;ads.content_language=en&amp;ads.content_category=IAB1-6&amp;ads.content_genre=Music&amp;ads.content_rating=tv-g&amp;ads.content_channel=StingrayHipHo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</si>
  <si>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88885068/hls/master.m3u8?ads.xumo_channelId=88885068&amp;ads.caid=StingrayPopAdult&amp;ads.csid=tivo_stingraypopadult_ssai&amp;ads.coppa=0&amp;ads.provider_id=3197&amp;ads.content_producer_id=3197&amp;ads.content_producer=StingrayPopAdult&amp;ads.content_network=StingrayPopAdult&amp;ads.xumo_streamId=88885068&amp;ads.content_length=&amp;ads.content_language=en&amp;ads.content_category=IAB1-6&amp;ads.content_genre=Music&amp;ads.content_rating=tv-g&amp;ads.content_channel=StingrayPopAdult&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</si>
  <si>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88885121/hls/master.m3u8?ads.xumo_channelId=88885121&amp;ads.caid=StingrayKaraoke&amp;ads.csid=tivo_stingraykaraoke_ssai&amp;ads.coppa=0&amp;ads.provider_id=1824&amp;ads.content_producer_id=1824&amp;ads.content_producer=StingrayKaraoke&amp;ads.content_network=StingrayKaraoke&amp;ads.xumo_streamId=88885121&amp;ads.content_length=&amp;ads.content_language=en&amp;ads.content_category=IAB1-6&amp;ads.content_genre=Music&amp;ads.content_rating=tv-g&amp;ads.content_channel=StingrayKaraok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</si>
  <si>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88885117/hls/master.m3u8?ads.xumo_channelId=88885117&amp;ads.caid=StingrayClassica&amp;ads.csid=tivo_stingrayclassica_ssai&amp;ads.coppa=0&amp;ads.provider_id=3920&amp;ads.content_producer_id=3920&amp;ads.content_producer=stingrayclassicaus&amp;ads.content_network=stingrayclassicaus&amp;ads.xumo_streamId=88885117&amp;ads.content_length=&amp;ads.content_language=en&amp;ads.content_category=IAB1-6&amp;ads.content_genre=Music&amp;ads.content_rating=tv-g&amp;ads.content_channel=StingrayClassic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</si>
  <si>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88885070/hls/master.m3u8?ads.xumo_channelId=88885070&amp;ads.caid=StingraySmoothJazz&amp;ads.csid=tivo_stingraysmoothjazz_ssai&amp;ads.coppa=0&amp;ads.provider_id=3538&amp;ads.content_producer_id=3538&amp;ads.content_producer=StingraySmoothJazz&amp;ads.content_network=StingraySmoothJazz&amp;ads.xumo_streamId=88885070&amp;ads.content_length=&amp;ads.content_language=en&amp;ads.content_category=IAB1-6&amp;ads.content_genre=Music&amp;ads.content_rating=tv-g&amp;ads.content_channel=StingraySmoothJazz&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</si>
  <si>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88885071/hls/master.m3u8?ads.xumo_channelId=88885071&amp;ads.caid=StingraySoulStorm&amp;ads.csid=tivo_stingraysoulstorm_ssai&amp;ads.coppa=0&amp;ads.provider_id=1860&amp;ads.content_producer_id=1860&amp;ads.content_producer=StingraySoulStorm&amp;ads.content_network=StingraySoulStorm&amp;ads.xumo_streamId=88885071&amp;ads.content_length=&amp;ads.content_language=en&amp;ads.content_category=IAB1-6&amp;ads.content_genre=Music&amp;ads.content_rating=tv-g&amp;ads.content_channel=StingraySoulStorm&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</si>
  <si>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88885060/hls/master.m3u8?ads.xumo_channelId=88885060&amp;ads.caid=StingrayEasyListening&amp;ads.csid=tivo_stingrayeasylistening_ssai&amp;ads.coppa=0&amp;ads.provider_id=3539&amp;ads.content_producer_id=3539&amp;ads.content_producer=StingrayEasyListening&amp;ads.content_network=StingrayEasyListening&amp;ads.xumo_streamId=88885060&amp;ads.content_length=&amp;ads.content_language=en&amp;ads.content_category=IAB1-6&amp;ads.content_genre=Music&amp;ads.content_rating=tv-g&amp;ads.content_channel=StingrayEasyListening&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</si>
  <si>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88885086/hls/master.m3u8?ads.xumo_channelId=88885086&amp;ads.caid=StingrayNaturescape&amp;ads.csid=tivo_stingraynaturescape_ssai&amp;ads.coppa=0&amp;ads.provider_id=188&amp;ads.content_producer_id=188&amp;ads.content_producer=StingrayAmbiance&amp;ads.content_network=StingrayAmbiance&amp;ads.xumo_streamId=88885086&amp;ads.content_length=&amp;ads.content_language=en&amp;ads.content_category=IAB1-6&amp;ads.content_genre=Music&amp;ads.content_rating=tv-g&amp;ads.content_channel=StingrayNaturescape&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</si>
  <si>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88885072/hls/master.m3u8?ads.xumo_channelId=88885072&amp;ads.caid=StingraySpa&amp;ads.csid=tivo_stingrayspa_ssai&amp;ads.coppa=0&amp;ads.provider_id=3537&amp;ads.content_producer_id=3537&amp;ads.content_producer=StingraySpa&amp;ads.content_network=StingraySpa&amp;ads.xumo_streamId=88885072&amp;ads.content_length=&amp;ads.content_language=en&amp;ads.content_category=IAB1-6&amp;ads.content_genre=Music&amp;ads.content_rating=tv-g&amp;ads.content_channel=StingraySPA&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</si>
  <si>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88885061/hls/master.m3u8?ads.xumo_channelId=88885061&amp;ads.caid=StingrayEuroHitsUS&amp;ads.csid=tivo_stingrayeurohitsus_ssai&amp;ads.coppa=0&amp;ads.provider_id=3781&amp;ads.content_producer_id=3781&amp;ads.content_producer=StingrayEuroHitsUS&amp;ads.content_network=StingrayEuroHitsUS&amp;ads.xumo_streamId=88885061&amp;ads.content_length=&amp;ads.content_language=en&amp;ads.content_category=IAB1-6&amp;ads.content_genre=Music&amp;ads.content_rating=tv-g&amp;ads.content_channel=StingrayEuroHit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</si>
  <si>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88885073/hls/master.m3u8?ads.xumo_channelId=88885073&amp;ads.caid=StingrayKPopUS&amp;ads.csid=tivo_stingraykpopus_ssai&amp;ads.coppa=0&amp;ads.provider_id=3761&amp;ads.content_producer_id=3761&amp;ads.content_producer=StingrayKPopUS&amp;ads.content_network=StingrayKPopUS&amp;ads.xumo_streamId=88885073&amp;ads.content_length=&amp;ads.content_language=en&amp;ads.content_category=IAB1-6&amp;ads.content_genre=Music&amp;ads.content_rating=tv-g&amp;ads.content_channel=StingrayTodaysKPop&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</si>
  <si>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ttps:TIVOPLUS_BLANK//db32be3yl2hko.cloudfront.net/11302/88885062/hls/master.m3u8?ads.xumo_channelId=88885062&amp;ads.caid=StingrayExitosdelMomento&amp;ads.csid=tivo_stingrayexitosdelmomento_ssai&amp;ads.coppa=0&amp;ads.provider_id=3196&amp;ads.content_producer_id=3196&amp;ads.content_producer=StingrayExitosdelMomento&amp;ads.content_network=StingrayExitosdelMomento&amp;ads.xumo_streamId=88885062&amp;ads.content_length=&amp;ads.content_language=en&amp;ads.content_category=IAB1-6&amp;ads.content_genre=Music&amp;ads.content_rating=tv-g&amp;ads.content_channel=StingrayExitosdelmomento&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</si>
  <si>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5fc70600598c41002da3dd43</t>
  </si>
  <si>
    <t>Plex Local News</t>
  </si>
  <si>
    <t>https:TIVOPLUS_BLANK//db32be3yl2hko.cloudfront.net/11302/88885018/hls/master.m3u8?ads.xumo_channelId=88885018&amp;ads.caid=UnsolvedMysteries&amp;ads.csid=tivo_unsolvedmysteries_ssai&amp;ads.coppa=0&amp;ads.provider_id=260&amp;ads.content_producer_id=260&amp;ads.content_producer=FilmRise&amp;ads.content_network=FilmRise&amp;ads.xumo_streamId=88885018&amp;ads.content_length=&amp;ads.content_language=en&amp;ads.content_category=IAB17&amp;ads.content_genre=Television&amp;ads.content_rating=tv14&amp;&amp;ads.content_channel=UnsolvedMyseries&amp;ads.app_name=TIVOPLUS_APPNAME&amp;ads.app_version=TIVOPLUS_APP_VERSION&amp;ads.app_bundle=tivo.entertainment&amp;ads.did=TIVOPLUS_DEV_ID&amp;ads.did_type=TIVOPLUS_DEV_TYPE&amp;ads.is_lat=TIVOPLUS_DEV_LAT&amp;ads.us_privacy=TIVOPLUS_USPRIVACY&amp;ads.gdpr=&amp;ads.gdpr_consent=&amp;ads.app_domain=tivo.com&amp;ads.device_type=TIVOPLUS_OPENRTB_DEVTYPE&amp;ads.app_store_url=&amp;ads.tivo_kvps=partnername%253DXumo%2526mvpd%253DTIVOPLUS_MVPD%2526adunittype%253DTIVOPLUS_ADUNIT_TYPE%2526sz%253D1920x1080%2526contenttype%253DLinear%2526uxloc%253DInapp%2526apptype%253DEntertainment%2526videotype%253Dmidroll%2526devcountry%253D%2526usid%253DTIVOPLUS_USERSESSION_ID%2526devlang%253D%2526platform%253DTIVOPLUS_PLATFORM%2526devmake%253DTIVOPLUS_DEVMAKE%2526devbrand%253D%2526devmake%253DTIVOPLUS_DEVMODEL%2526devmakedate%253D</t>
  </si>
  <si>
    <t>=HYPERLINK("http://motorsport.tv/";"Motorsport.tv")</t>
  </si>
  <si>
    <t>operator_name</t>
  </si>
  <si>
    <t>operator_id</t>
  </si>
  <si>
    <t>region</t>
  </si>
  <si>
    <t>start_channel</t>
  </si>
  <si>
    <t>start_channel_offset</t>
  </si>
  <si>
    <t>lineup_size</t>
  </si>
  <si>
    <t>xumo_partner_id</t>
  </si>
  <si>
    <t>plutotv_range</t>
  </si>
  <si>
    <t>xumo_range</t>
  </si>
  <si>
    <t>plex_range</t>
  </si>
  <si>
    <t>mso_service_ids</t>
  </si>
  <si>
    <t>alt_name</t>
  </si>
  <si>
    <t>Eastlink</t>
  </si>
  <si>
    <t>tivo:pt.5161</t>
  </si>
  <si>
    <t>CA</t>
  </si>
  <si>
    <t>Mediacom-Dev</t>
  </si>
  <si>
    <t>tivo:pt.5163</t>
  </si>
  <si>
    <t>US</t>
  </si>
  <si>
    <t>Secv</t>
  </si>
  <si>
    <t>tivo:pt.5057</t>
  </si>
  <si>
    <t>Blue Ridge-Dev</t>
  </si>
  <si>
    <t>tivo:pt.5174</t>
  </si>
  <si>
    <t>Cincinnati Bell</t>
  </si>
  <si>
    <t>tivo:pt.5199</t>
  </si>
  <si>
    <t>altafiber</t>
  </si>
  <si>
    <t>Cincinnati Bell-Dev</t>
  </si>
  <si>
    <t>tivo:pt.5202</t>
  </si>
  <si>
    <t>SECV-DEV</t>
  </si>
  <si>
    <t>tivo:pt.5211</t>
  </si>
  <si>
    <t>Atlantic Broadband</t>
  </si>
  <si>
    <t>tivo:pt.4400</t>
  </si>
  <si>
    <t>Breezeline</t>
  </si>
  <si>
    <t>Blue Stream-Dev</t>
  </si>
  <si>
    <t>tivo:pt.5221</t>
  </si>
  <si>
    <t>BlueStream</t>
  </si>
  <si>
    <t>tivo:pt.5220</t>
  </si>
  <si>
    <t>Armstrong - Dev</t>
  </si>
  <si>
    <t>tivo:pt.5230</t>
  </si>
  <si>
    <t>midco</t>
  </si>
  <si>
    <t>tivo:pt.4203</t>
  </si>
  <si>
    <t>Hotwire-Dev</t>
  </si>
  <si>
    <t>tivo:pt.5315</t>
  </si>
  <si>
    <t>astound</t>
  </si>
  <si>
    <t>tivo:pt.4616</t>
  </si>
  <si>
    <t>Hotwire</t>
  </si>
  <si>
    <t>tivo:pt.5314</t>
  </si>
  <si>
    <t>Blue Ridge</t>
  </si>
  <si>
    <t>tivo:pt.4486</t>
  </si>
  <si>
    <t>Mediacom</t>
  </si>
  <si>
    <t>tivo:pt.4177</t>
  </si>
  <si>
    <t>Armstrong</t>
  </si>
  <si>
    <t>tivo:pt.4618</t>
  </si>
  <si>
    <t>CableCo11</t>
  </si>
  <si>
    <t>tivo:pt.5051</t>
  </si>
  <si>
    <t>Astound-Dev</t>
  </si>
  <si>
    <t>CableCo3</t>
  </si>
  <si>
    <t>Midoco-Dev</t>
  </si>
  <si>
    <t>Eastlink-Dev</t>
  </si>
  <si>
    <t>Atlantic Broadband Dev</t>
  </si>
  <si>
    <t>TMIS US</t>
  </si>
  <si>
    <t>tmis_us</t>
  </si>
  <si>
    <t>TMIS CA</t>
  </si>
  <si>
    <t>tmis_ca</t>
  </si>
  <si>
    <t>Row</t>
  </si>
  <si>
    <t>Txt</t>
  </si>
  <si>
    <t>Total_Audit_Flag</t>
  </si>
  <si>
    <t>Column1</t>
  </si>
  <si>
    <t>Total Channels That need attention!!</t>
  </si>
  <si>
    <t>Total Channels ADDED  that need to be resolved</t>
  </si>
  <si>
    <t>Total Channels REMOVED that need to be resolved</t>
  </si>
  <si>
    <t>IPTV-SA Created:9/23/2025</t>
  </si>
  <si>
    <t>IPTV US Added - unresolved</t>
  </si>
  <si>
    <t>IPTV US Removed - unresolved</t>
  </si>
  <si>
    <t>IPTV US Total Changes</t>
  </si>
  <si>
    <t>IPTV CA Added - unresolved</t>
  </si>
  <si>
    <t>IPTV CA Removed - unresolved</t>
  </si>
  <si>
    <t>IPTV CA Total Changes</t>
  </si>
  <si>
    <t>TMIS US Added- unresolved</t>
  </si>
  <si>
    <t>TMIS US Removed - unresolved</t>
  </si>
  <si>
    <t>TMIS US Total Changes</t>
  </si>
  <si>
    <t>TMIS CA Added- unresolved</t>
  </si>
  <si>
    <t>TMIS CA Removed - unresolved</t>
  </si>
  <si>
    <t>TMIS CA Total Changes</t>
  </si>
  <si>
    <t>Customer Success Usage ONLY. Do not modify unless you speak with Hayley - hayley.fletcher@xperi.com. This sheet is used to flag changes to the master. If there are any pending notifications, an email will be sent with the report. Once customers have been notified, please update the "State." Example, if "Please Notify" is set for Removed_Notified, then after customer have been notified change the state of the channel to Vacant to resolve it. Likewise, if the Add_Notified is set to "Please Notify" then udate the State to "Active" to resolve the fact that it is now in use.</t>
  </si>
  <si>
    <t>IPTV_US_Ch_Num</t>
  </si>
  <si>
    <t>IPTV_US_Ch_Name</t>
  </si>
  <si>
    <t>IPTV_US_Ch_State</t>
  </si>
  <si>
    <t>IPTV_US_Removed</t>
  </si>
  <si>
    <t>IPTV_US_Ch_Add</t>
  </si>
  <si>
    <t>_....._</t>
  </si>
  <si>
    <t>IPTV_CA_Ch_Num</t>
  </si>
  <si>
    <t>IPTV_CA_Ch_Name</t>
  </si>
  <si>
    <t>IPTV_CA_Ch_State</t>
  </si>
  <si>
    <t>IPTV_CA_Removed</t>
  </si>
  <si>
    <t>IPTV_CA_Add</t>
  </si>
  <si>
    <t>___----____</t>
  </si>
  <si>
    <t>TMIS_US_Ch_Num</t>
  </si>
  <si>
    <t>TMIS_US_Ch_Name</t>
  </si>
  <si>
    <t>TMIS_US_Ch_State</t>
  </si>
  <si>
    <t>TMIS_US_Removed</t>
  </si>
  <si>
    <t>TMIS_US_Ch_Add</t>
  </si>
  <si>
    <t>_....._2</t>
  </si>
  <si>
    <t>TMIS_CA_Ch_Num</t>
  </si>
  <si>
    <t>TMIS_CA_Ch_Name</t>
  </si>
  <si>
    <t>TMIS_CA_Ch_State</t>
  </si>
  <si>
    <t>TMIS_CA_Removed</t>
  </si>
  <si>
    <t>TMIS_CA_Add</t>
  </si>
  <si>
    <t>Active</t>
  </si>
  <si>
    <t>-</t>
  </si>
  <si>
    <t>Vacant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</si>
</sst>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Calibri"/>
      <family val="2"/>
    </font>
    <font>
      <sz val="11"/>
      <color theme="1"/>
      <name val="Calibri"/>
      <family val="2"/>
    </font>
    <font>
      <sz val="8"/>
      <name val="Aptos Narrow"/>
      <family val="2"/>
      <scheme val="minor"/>
    </font>
    <font>
      <sz val="11"/>
      <color rgb="FF000000"/>
      <name val="Calibri"/>
      <family val="2"/>
    </font>
    <font>
      <sz val="11"/>
      <name val="Calibri"/>
      <family val="2"/>
    </font>
    <font>
      <sz val="11"/>
      <color rgb="FF172B4D"/>
      <name val="Calibri"/>
      <family val="2"/>
    </font>
    <font>
      <sz val="11"/>
      <color theme="1"/>
      <name val="Calibri"/>
    </font>
    <font>
      <sz val="12"/>
      <color theme="3" tint="0.499984740745262"/>
      <name val="Aptos Narrow"/>
      <family val="2"/>
      <scheme val="minor"/>
    </font>
    <font>
      <sz val="14"/>
      <color theme="1"/>
      <name val="Aptos Narrow"/>
      <family val="2"/>
      <scheme val="minor"/>
    </font>
    <font>
      <sz val="18"/>
      <color theme="1"/>
      <name val="Aptos Narrow"/>
      <family val="2"/>
      <scheme val="minor"/>
    </font>
    <font>
      <sz val="24"/>
      <color theme="9"/>
      <name val="Aptos Narrow"/>
      <family val="2"/>
      <scheme val="minor"/>
    </font>
    <font>
      <sz val="26"/>
      <color theme="9"/>
      <name val="Aptos Narrow"/>
      <family val="2"/>
      <scheme val="minor"/>
    </font>
    <font>
      <b/>
      <sz val="11"/>
      <color theme="0"/>
      <name val="Aptos Narrow"/>
      <family val="2"/>
      <scheme val="minor"/>
    </font>
    <font>
      <sz val="11"/>
      <color theme="2" tint="-9.9978637043366805E-2"/>
      <name val="Aptos Narrow"/>
      <family val="2"/>
      <scheme val="minor"/>
    </font>
    <font>
      <b/>
      <sz val="11"/>
      <color theme="1"/>
      <name val="Aptos Narrow"/>
      <family val="2"/>
      <scheme val="minor"/>
    </font>
    <font>
      <sz val="11"/>
      <color theme="0"/>
      <name val="Aptos Narrow"/>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1"/>
        <bgColor indexed="64"/>
      </patternFill>
    </fill>
    <fill>
      <patternFill patternType="solid">
        <fgColor theme="1"/>
        <bgColor theme="1"/>
      </patternFill>
    </fill>
    <fill>
      <patternFill patternType="solid">
        <fgColor theme="2" tint="-9.9978637043366805E-2"/>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rgb="FF000000"/>
      </top>
      <bottom style="medium">
        <color indexed="64"/>
      </bottom>
      <diagonal/>
    </border>
    <border>
      <left/>
      <right style="thin">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theme="1"/>
      </left>
      <right style="thin">
        <color theme="1"/>
      </right>
      <top style="thin">
        <color theme="1"/>
      </top>
      <bottom/>
      <diagonal/>
    </border>
  </borders>
  <cellStyleXfs count="1">
    <xf numFmtId="0" fontId="0" fillId="0" borderId="0"/>
  </cellStyleXfs>
  <cellXfs count="83">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2" fillId="0" borderId="8" xfId="0" applyFont="1" applyBorder="1" applyAlignment="1">
      <alignment horizontal="center" vertical="center"/>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5" xfId="0" quotePrefix="1" applyFont="1" applyBorder="1" applyAlignment="1">
      <alignment horizontal="center" vertical="center"/>
    </xf>
    <xf numFmtId="0" fontId="2" fillId="0" borderId="1" xfId="0" quotePrefix="1" applyFont="1" applyBorder="1" applyAlignment="1">
      <alignment horizontal="center" vertical="center"/>
    </xf>
    <xf numFmtId="0" fontId="2" fillId="0" borderId="5" xfId="0" applyFont="1" applyBorder="1" applyAlignment="1">
      <alignment horizontal="center"/>
    </xf>
    <xf numFmtId="0" fontId="2" fillId="0" borderId="1" xfId="0" applyFont="1" applyBorder="1" applyAlignment="1">
      <alignment horizontal="center"/>
    </xf>
    <xf numFmtId="49" fontId="2" fillId="0" borderId="1" xfId="0" applyNumberFormat="1" applyFont="1" applyBorder="1" applyAlignment="1">
      <alignment horizontal="center"/>
    </xf>
    <xf numFmtId="49" fontId="4" fillId="0" borderId="1" xfId="0" applyNumberFormat="1" applyFont="1" applyBorder="1" applyAlignment="1">
      <alignment horizontal="center"/>
    </xf>
    <xf numFmtId="0" fontId="2" fillId="0" borderId="4" xfId="0" applyFont="1" applyBorder="1" applyAlignment="1">
      <alignment horizontal="center"/>
    </xf>
    <xf numFmtId="49" fontId="2" fillId="0" borderId="4" xfId="0" applyNumberFormat="1" applyFont="1" applyBorder="1" applyAlignment="1">
      <alignment horizontal="center"/>
    </xf>
    <xf numFmtId="0" fontId="2" fillId="0" borderId="2" xfId="0" applyFont="1" applyBorder="1"/>
    <xf numFmtId="0" fontId="2" fillId="0" borderId="1" xfId="0" applyFont="1" applyBorder="1"/>
    <xf numFmtId="0" fontId="5" fillId="0" borderId="1" xfId="0" applyFont="1" applyBorder="1"/>
    <xf numFmtId="0" fontId="2" fillId="0" borderId="4" xfId="0" applyFont="1" applyBorder="1"/>
    <xf numFmtId="0" fontId="2" fillId="0" borderId="5" xfId="0" applyFont="1" applyBorder="1"/>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left"/>
    </xf>
    <xf numFmtId="0" fontId="2" fillId="0" borderId="1" xfId="0" applyFont="1" applyBorder="1" applyAlignment="1">
      <alignment horizontal="left"/>
    </xf>
    <xf numFmtId="11" fontId="2" fillId="0" borderId="1" xfId="0" applyNumberFormat="1" applyFont="1" applyBorder="1" applyAlignment="1">
      <alignment horizontal="left"/>
    </xf>
    <xf numFmtId="0" fontId="2" fillId="0" borderId="4" xfId="0" applyFont="1" applyBorder="1" applyAlignment="1">
      <alignment horizontal="left"/>
    </xf>
    <xf numFmtId="49" fontId="2" fillId="0" borderId="5" xfId="0" applyNumberFormat="1" applyFont="1" applyBorder="1" applyAlignment="1">
      <alignment horizontal="center"/>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left" vertical="center" wrapText="1"/>
    </xf>
    <xf numFmtId="0" fontId="6" fillId="0" borderId="9" xfId="0" applyFont="1" applyBorder="1" applyAlignment="1">
      <alignment horizontal="center" wrapText="1"/>
    </xf>
    <xf numFmtId="0" fontId="2" fillId="0" borderId="1" xfId="0" applyFont="1" applyBorder="1" applyAlignment="1">
      <alignment horizontal="center" vertical="center" wrapText="1"/>
    </xf>
    <xf numFmtId="0" fontId="4" fillId="0" borderId="3" xfId="0" applyFont="1" applyBorder="1" applyAlignment="1">
      <alignment horizontal="center"/>
    </xf>
    <xf numFmtId="0" fontId="2" fillId="0" borderId="6" xfId="0" applyFont="1" applyBorder="1"/>
    <xf numFmtId="0" fontId="1" fillId="0" borderId="1" xfId="0" applyFont="1" applyBorder="1" applyAlignment="1">
      <alignment horizontal="left" vertical="center"/>
    </xf>
    <xf numFmtId="0" fontId="7" fillId="0" borderId="1" xfId="0" applyFont="1" applyBorder="1" applyAlignment="1">
      <alignment horizontal="center"/>
    </xf>
    <xf numFmtId="0" fontId="2" fillId="0" borderId="0" xfId="0" applyFont="1"/>
    <xf numFmtId="0" fontId="4" fillId="0" borderId="4" xfId="0" applyFont="1" applyBorder="1" applyAlignment="1">
      <alignment horizontal="center"/>
    </xf>
    <xf numFmtId="0" fontId="4" fillId="0" borderId="11" xfId="0" applyFont="1" applyBorder="1" applyAlignment="1">
      <alignment horizontal="center"/>
    </xf>
    <xf numFmtId="0" fontId="4" fillId="0" borderId="6" xfId="0" applyFont="1" applyBorder="1" applyAlignment="1">
      <alignment horizontal="center"/>
    </xf>
    <xf numFmtId="0" fontId="7" fillId="0" borderId="0" xfId="0" applyFont="1" applyAlignment="1">
      <alignment horizontal="center"/>
    </xf>
    <xf numFmtId="0" fontId="0" fillId="0" borderId="0" xfId="0" applyAlignment="1">
      <alignment horizontal="center"/>
    </xf>
    <xf numFmtId="0" fontId="9" fillId="4" borderId="18" xfId="0" applyFont="1" applyFill="1" applyBorder="1" applyAlignment="1">
      <alignment wrapText="1"/>
    </xf>
    <xf numFmtId="0" fontId="10" fillId="4" borderId="18" xfId="0" applyFont="1" applyFill="1" applyBorder="1" applyAlignment="1">
      <alignment wrapText="1"/>
    </xf>
    <xf numFmtId="0" fontId="0" fillId="5" borderId="0" xfId="0" applyFill="1"/>
    <xf numFmtId="0" fontId="13" fillId="6" borderId="0" xfId="0" applyFont="1" applyFill="1" applyAlignment="1">
      <alignment horizontal="center"/>
    </xf>
    <xf numFmtId="0" fontId="12" fillId="4" borderId="20" xfId="0" applyFont="1" applyFill="1" applyBorder="1" applyAlignment="1">
      <alignment horizontal="center" wrapText="1"/>
    </xf>
    <xf numFmtId="0" fontId="9" fillId="2" borderId="18" xfId="0" applyFont="1" applyFill="1" applyBorder="1" applyAlignment="1">
      <alignment wrapText="1"/>
    </xf>
    <xf numFmtId="0" fontId="11" fillId="2" borderId="20" xfId="0" applyFont="1" applyFill="1" applyBorder="1" applyAlignment="1">
      <alignment horizontal="center" wrapText="1"/>
    </xf>
    <xf numFmtId="0" fontId="11" fillId="4" borderId="19" xfId="0" applyFont="1" applyFill="1" applyBorder="1" applyAlignment="1">
      <alignment horizontal="center" wrapText="1"/>
    </xf>
    <xf numFmtId="0" fontId="0" fillId="7" borderId="0" xfId="0" applyFill="1"/>
    <xf numFmtId="0" fontId="15" fillId="5" borderId="21" xfId="0" applyFont="1" applyFill="1" applyBorder="1"/>
    <xf numFmtId="1" fontId="14" fillId="0" borderId="0" xfId="0" applyNumberFormat="1" applyFont="1"/>
    <xf numFmtId="0" fontId="0" fillId="0" borderId="0" xfId="0" applyAlignment="1">
      <alignment horizontal="left"/>
    </xf>
    <xf numFmtId="0" fontId="6" fillId="0" borderId="9" xfId="0" applyFont="1" applyBorder="1" applyAlignment="1">
      <alignment horizontal="center"/>
    </xf>
    <xf numFmtId="0" fontId="6" fillId="0" borderId="10" xfId="0" applyFont="1" applyBorder="1" applyAlignment="1">
      <alignment horizontal="center"/>
    </xf>
    <xf numFmtId="0" fontId="0" fillId="3" borderId="0" xfId="0" applyFill="1"/>
    <xf numFmtId="0" fontId="0" fillId="8" borderId="0" xfId="0" applyFill="1"/>
    <xf numFmtId="0" fontId="16" fillId="8" borderId="0" xfId="0" applyFont="1" applyFill="1"/>
    <xf numFmtId="0" fontId="16" fillId="5" borderId="0" xfId="0" applyFont="1" applyFill="1"/>
    <xf numFmtId="0" fontId="16" fillId="9" borderId="0" xfId="0" applyFont="1" applyFill="1"/>
    <xf numFmtId="0" fontId="0" fillId="9" borderId="0" xfId="0" applyFill="1"/>
    <xf numFmtId="0" fontId="16" fillId="3" borderId="0" xfId="0" applyFont="1" applyFill="1"/>
    <xf numFmtId="0" fontId="0" fillId="2" borderId="0" xfId="0" applyFill="1" applyAlignment="1">
      <alignment horizontal="center"/>
    </xf>
    <xf numFmtId="0" fontId="0" fillId="2" borderId="0" xfId="0" applyFill="1"/>
    <xf numFmtId="0" fontId="8" fillId="10" borderId="0" xfId="0" applyFont="1" applyFill="1" applyAlignment="1">
      <alignment horizontal="left" vertical="center" wrapText="1"/>
    </xf>
    <xf numFmtId="0" fontId="0" fillId="10" borderId="0" xfId="0" applyFill="1"/>
    <xf numFmtId="0" fontId="0" fillId="10" borderId="0" xfId="0" applyFill="1" applyAlignment="1">
      <alignment vertical="center"/>
    </xf>
    <xf numFmtId="0" fontId="0" fillId="10" borderId="0" xfId="0" applyFill="1" applyAlignment="1">
      <alignment horizontal="center"/>
    </xf>
    <xf numFmtId="0" fontId="15" fillId="0" borderId="0" xfId="0" applyFont="1"/>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8" fillId="4" borderId="12" xfId="0" applyFont="1" applyFill="1" applyBorder="1" applyAlignment="1">
      <alignment horizontal="left" vertical="center" wrapText="1"/>
    </xf>
    <xf numFmtId="0" fontId="8" fillId="4" borderId="13" xfId="0" applyFont="1" applyFill="1" applyBorder="1" applyAlignment="1">
      <alignment horizontal="left" vertical="center" wrapText="1"/>
    </xf>
    <xf numFmtId="0" fontId="8" fillId="4" borderId="14" xfId="0" applyFont="1" applyFill="1" applyBorder="1" applyAlignment="1">
      <alignment horizontal="left" vertical="center" wrapText="1"/>
    </xf>
    <xf numFmtId="0" fontId="8" fillId="4" borderId="15" xfId="0" applyFont="1" applyFill="1" applyBorder="1" applyAlignment="1">
      <alignment horizontal="left" vertical="center" wrapText="1"/>
    </xf>
    <xf numFmtId="0" fontId="8" fillId="4" borderId="16" xfId="0" applyFont="1" applyFill="1" applyBorder="1" applyAlignment="1">
      <alignment horizontal="left" vertical="center" wrapText="1"/>
    </xf>
    <xf numFmtId="0" fontId="8" fillId="4" borderId="17" xfId="0" applyFont="1" applyFill="1" applyBorder="1" applyAlignment="1">
      <alignment horizontal="left" vertical="center" wrapText="1"/>
    </xf>
  </cellXfs>
  <cellStyles count="1">
    <cellStyle name="Normal" xfId="0" builtinId="0"/>
  </cellStyles>
  <dxfs count="30">
    <dxf>
      <font>
        <b val="0"/>
        <i val="0"/>
        <strike val="0"/>
        <condense val="0"/>
        <extend val="0"/>
        <outline val="0"/>
        <shadow val="0"/>
        <u val="none"/>
        <vertAlign val="baseline"/>
        <sz val="14"/>
        <color theme="1"/>
        <name val="Aptos Narrow"/>
        <family val="2"/>
        <scheme val="minor"/>
      </font>
      <fill>
        <patternFill patternType="solid">
          <fgColor indexed="64"/>
          <bgColor theme="0" tint="-0.14999847407452621"/>
        </patternFill>
      </fill>
      <alignment horizontal="general" vertical="bottom" textRotation="0" wrapText="1" indent="0" justifyLastLine="0" shrinkToFit="0" readingOrder="0"/>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26"/>
        <color theme="9"/>
        <name val="Aptos Narrow"/>
        <family val="2"/>
        <scheme val="minor"/>
      </font>
      <fill>
        <patternFill patternType="solid">
          <fgColor indexed="64"/>
          <bgColor theme="0" tint="-4.9989318521683403E-2"/>
        </patternFill>
      </fill>
      <alignment horizontal="center" vertical="bottom" textRotation="0" wrapText="1" indent="0" justifyLastLine="0" shrinkToFit="0" readingOrder="0"/>
      <border diagonalUp="0" diagonalDown="0">
        <left/>
        <right/>
        <top style="medium">
          <color rgb="FF000000"/>
        </top>
        <bottom style="medium">
          <color rgb="FF000000"/>
        </bottom>
        <vertical/>
        <horizontal/>
      </border>
    </dxf>
    <dxf>
      <font>
        <b val="0"/>
        <i val="0"/>
        <strike val="0"/>
        <condense val="0"/>
        <extend val="0"/>
        <outline val="0"/>
        <shadow val="0"/>
        <u val="none"/>
        <vertAlign val="baseline"/>
        <sz val="18"/>
        <color theme="1"/>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theme="2" tint="-9.9978637043366805E-2"/>
        <name val="Aptos Narrow"/>
        <family val="2"/>
        <scheme val="minor"/>
      </font>
      <numFmt numFmtId="1" formatCode="0"/>
    </dxf>
    <dxf>
      <font>
        <color theme="1"/>
      </font>
    </dxf>
    <dxf>
      <numFmt numFmtId="0" formatCode="General"/>
    </dxf>
    <dxf>
      <numFmt numFmtId="0" formatCode="General"/>
    </dxf>
    <dxf>
      <numFmt numFmtId="0" formatCode="General"/>
    </dxf>
    <dxf>
      <numFmt numFmtId="0" formatCode="General"/>
    </dxf>
    <dxf>
      <fill>
        <patternFill patternType="solid">
          <fgColor indexed="64"/>
          <bgColor theme="0" tint="-0.14999847407452621"/>
        </patternFill>
      </fill>
    </dxf>
    <dxf>
      <numFmt numFmtId="0" formatCode="General"/>
    </dxf>
    <dxf>
      <numFmt numFmtId="0" formatCode="General"/>
    </dxf>
    <dxf>
      <numFmt numFmtId="0" formatCode="General"/>
    </dxf>
    <dxf>
      <numFmt numFmtId="0" formatCode="General"/>
    </dxf>
    <dxf>
      <fill>
        <patternFill patternType="solid">
          <fgColor indexed="64"/>
          <bgColor theme="0" tint="-0.14999847407452621"/>
        </patternFill>
      </fill>
    </dxf>
    <dxf>
      <numFmt numFmtId="0" formatCode="General"/>
    </dxf>
    <dxf>
      <fill>
        <patternFill patternType="solid">
          <fgColor indexed="64"/>
          <bgColor theme="0" tint="-0.14999847407452621"/>
        </patternFill>
      </fill>
      <alignment horizontal="center" vertical="bottom" textRotation="0" wrapText="0" indent="0" justifyLastLine="0" shrinkToFit="0" readingOrder="0"/>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color rgb="FF9C0006"/>
      </font>
      <fill>
        <patternFill patternType="solid">
          <bgColor theme="2"/>
        </patternFill>
      </fill>
    </dxf>
    <dxf>
      <font>
        <color rgb="FF9C0006"/>
      </font>
      <fill>
        <patternFill>
          <bgColor rgb="FFFFC7CE"/>
        </patternFill>
      </fill>
    </dxf>
    <dxf>
      <font>
        <b/>
        <i val="0"/>
        <color rgb="FF9C0006"/>
      </font>
      <fill>
        <patternFill patternType="solid">
          <bgColor theme="2"/>
        </patternFill>
      </fill>
    </dxf>
    <dxf>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A3F637-8EA8-47F5-ABD7-44DD630977FB}" name="CS_Chan_State" displayName="CS_Chan_State" ref="A10:W1504" totalsRowShown="0">
  <autoFilter ref="A10:W1504" xr:uid="{C5A3F637-8EA8-47F5-ABD7-44DD630977FB}"/>
  <tableColumns count="23">
    <tableColumn id="1" xr3:uid="{98E575F9-64CC-42C7-91A4-25E78A933F5E}" name="IPTV_US_Ch_Num">
      <calculatedColumnFormula>'IPTV US'!A2</calculatedColumnFormula>
    </tableColumn>
    <tableColumn id="2" xr3:uid="{FBF98B56-3CB8-47C0-96C8-C895338062AF}" name="IPTV_US_Ch_Name">
      <calculatedColumnFormula>T('IPTV US'!B2)</calculatedColumnFormula>
    </tableColumn>
    <tableColumn id="3" xr3:uid="{E22E804E-F63C-4AC4-9AB6-46CD119BE664}" name="IPTV_US_Ch_State"/>
    <tableColumn id="4" xr3:uid="{C2D029D2-88A7-4E2F-8EAE-CDE658D88573}" name="IPTV_US_Removed" dataDxfId="18">
      <calculatedColumnFormula>IF(C11="Active",IF(B11="","Please Notify - Channel Removed",""),"")</calculatedColumnFormula>
    </tableColumn>
    <tableColumn id="5" xr3:uid="{3E34C0FF-303C-42E8-852C-FE9D98C8ACEA}" name="IPTV_US_Ch_Add" dataDxfId="17">
      <calculatedColumnFormula>IF(C11="Vacant",IF(B11="","","Please Notify - Channel Added"),"")</calculatedColumnFormula>
    </tableColumn>
    <tableColumn id="6" xr3:uid="{8E4008EA-EAE5-4FC5-8321-A86A72495E17}" name="_....._" dataDxfId="16"/>
    <tableColumn id="7" xr3:uid="{3EDDE927-0074-4098-BE13-19334F1E831F}" name="IPTV_CA_Ch_Num">
      <calculatedColumnFormula>'IPTV CA'!A2</calculatedColumnFormula>
    </tableColumn>
    <tableColumn id="8" xr3:uid="{DA93EF62-0984-4AC1-A1D4-E8EF581C31CF}" name="IPTV_CA_Ch_Name">
      <calculatedColumnFormula>T('IPTV CA'!B2)</calculatedColumnFormula>
    </tableColumn>
    <tableColumn id="9" xr3:uid="{0D837D84-15F0-4FDD-8B40-FEA829CE598F}" name="IPTV_CA_Ch_State"/>
    <tableColumn id="10" xr3:uid="{6930A635-BBC1-430D-9908-D0402A9B9DD0}" name="IPTV_CA_Removed" dataDxfId="15">
      <calculatedColumnFormula>IF(I11="Active",IF(H11="","Please Notify - Channel Removed",""),"")</calculatedColumnFormula>
    </tableColumn>
    <tableColumn id="11" xr3:uid="{5FF704A0-2035-41AC-99E8-9011372B02D2}" name="IPTV_CA_Add">
      <calculatedColumnFormula>IF(I11="Vacant",IF(H11="","","Please Notify - Channel Added"),"")</calculatedColumnFormula>
    </tableColumn>
    <tableColumn id="24" xr3:uid="{52F68286-2B52-4B15-8788-63C1E531DD86}" name="___----____" dataDxfId="14"/>
    <tableColumn id="12" xr3:uid="{9435EA0B-20D0-44D5-B0D1-0FD9CF3BBB5A}" name="TMIS_US_Ch_Num" dataDxfId="13">
      <calculatedColumnFormula>'TMIS US'!A2</calculatedColumnFormula>
    </tableColumn>
    <tableColumn id="13" xr3:uid="{D1CF38BA-8442-45BE-9F9F-7EBFFB31AA3F}" name="TMIS_US_Ch_Name" dataDxfId="12">
      <calculatedColumnFormula>T('TMIS US'!B2)</calculatedColumnFormula>
    </tableColumn>
    <tableColumn id="14" xr3:uid="{290343FC-3505-4B0D-AE3A-3F6A90A72DC3}" name="TMIS_US_Ch_State"/>
    <tableColumn id="15" xr3:uid="{8C32D1F5-2714-416E-9D31-5C08BBF3EC95}" name="TMIS_US_Removed" dataDxfId="11">
      <calculatedColumnFormula>IF(O11="Active",IF(N11="","Please Notify - Channel Removed",""),"")</calculatedColumnFormula>
    </tableColumn>
    <tableColumn id="16" xr3:uid="{69B71519-398F-424F-9FA7-99EF044FD134}" name="TMIS_US_Ch_Add" dataDxfId="10">
      <calculatedColumnFormula>IF(O11="Vacant",IF(N11="","","Please Notify - Channel Added"),"")</calculatedColumnFormula>
    </tableColumn>
    <tableColumn id="17" xr3:uid="{4EEF500C-EDCD-41D5-9D41-81D5962D8C0A}" name="_....._2" dataDxfId="9"/>
    <tableColumn id="18" xr3:uid="{E26836DF-B434-4B25-9603-5836F8C158FA}" name="TMIS_CA_Ch_Num" dataDxfId="8">
      <calculatedColumnFormula>'TMIS CA'!A2</calculatedColumnFormula>
    </tableColumn>
    <tableColumn id="19" xr3:uid="{AA99F300-F2FB-4CD9-BA33-34F83BD1AB1C}" name="TMIS_CA_Ch_Name" dataDxfId="7">
      <calculatedColumnFormula>T('TMIS CA'!B2)</calculatedColumnFormula>
    </tableColumn>
    <tableColumn id="20" xr3:uid="{1ACA2644-3393-4850-B0B6-33ABC24AAF68}" name="TMIS_CA_Ch_State"/>
    <tableColumn id="21" xr3:uid="{A83DCA31-E54E-4D04-9426-73C440D0BAC6}" name="TMIS_CA_Removed" dataDxfId="6">
      <calculatedColumnFormula>IF(U11="Active",IF(T11="","Please Notify - Channel Removed",""),"")</calculatedColumnFormula>
    </tableColumn>
    <tableColumn id="22" xr3:uid="{A6931DA7-5A23-40CE-8ECC-7ACA81AA04A1}" name="TMIS_CA_Add" dataDxfId="5">
      <calculatedColumnFormula>IF(U11="Vacant",IF(T11="","","Please Notify - Channel Added"),"")</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9A3050-721E-4EE8-88D8-CF35A3D34091}" name="TakedownAudit" displayName="TakedownAudit" ref="A1:D2" totalsRowShown="0" headerRowDxfId="4">
  <autoFilter ref="A1:D2" xr:uid="{F09A3050-721E-4EE8-88D8-CF35A3D34091}"/>
  <tableColumns count="4">
    <tableColumn id="1" xr3:uid="{51F3D284-1967-407D-8252-AB7DF7771D62}" name="Row" dataDxfId="3"/>
    <tableColumn id="2" xr3:uid="{9716607E-E042-4671-BC06-F632A3A57B54}" name="Txt" dataDxfId="2"/>
    <tableColumn id="3" xr3:uid="{13737C6D-49B5-43D2-BD8A-17FE8AA9DA22}" name="Total_Audit_Flag" dataDxfId="1">
      <calculatedColumnFormula>E2+G2</calculatedColumnFormula>
    </tableColumn>
    <tableColumn id="4" xr3:uid="{0364C699-AA51-4B8F-ADE3-B6842F3BC1E9}" name="Column1"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7412F-F54F-4723-81F0-1A31C503954B}">
  <dimension ref="A1:AD998"/>
  <sheetViews>
    <sheetView topLeftCell="F1" zoomScaleNormal="100" workbookViewId="0">
      <pane ySplit="1" topLeftCell="A117" activePane="bottomLeft" state="frozen"/>
      <selection pane="bottomLeft" activeCell="H140" sqref="H140"/>
      <selection activeCell="H1" sqref="H1"/>
    </sheetView>
  </sheetViews>
  <sheetFormatPr defaultColWidth="8.5703125" defaultRowHeight="15"/>
  <cols>
    <col min="1" max="1" width="12.85546875" style="3" bestFit="1" customWidth="1"/>
    <col min="2" max="2" width="31.42578125" style="3" customWidth="1"/>
    <col min="3" max="3" width="14.42578125" style="3" customWidth="1"/>
    <col min="4" max="4" width="16.85546875" style="3" customWidth="1"/>
    <col min="5" max="7" width="21.42578125" style="3" customWidth="1"/>
    <col min="8" max="8" width="33.42578125" style="8" customWidth="1"/>
    <col min="9" max="9" width="32.5703125" style="8" customWidth="1"/>
    <col min="10" max="10" width="21.5703125" style="3" customWidth="1"/>
    <col min="11" max="11" width="30.42578125" style="3" customWidth="1"/>
    <col min="12" max="12" width="35.42578125" style="36" customWidth="1"/>
    <col min="13" max="13" width="32.5703125" style="3" customWidth="1"/>
    <col min="14" max="14" width="23.85546875" style="3" customWidth="1"/>
    <col min="15" max="15" width="19" style="3" bestFit="1" customWidth="1"/>
    <col min="16" max="16" width="43.140625" style="3" customWidth="1"/>
    <col min="17" max="17" width="36.42578125" style="3" bestFit="1" customWidth="1"/>
    <col min="18" max="16384" width="8.5703125" style="3"/>
  </cols>
  <sheetData>
    <row r="1" spans="1:17" s="2" customFormat="1" ht="30">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2" t="s">
        <v>15</v>
      </c>
      <c r="Q1" s="2" t="s">
        <v>16</v>
      </c>
    </row>
    <row r="2" spans="1:17" s="4" customFormat="1">
      <c r="A2" s="14">
        <v>10101</v>
      </c>
      <c r="B2" s="13" t="s">
        <v>17</v>
      </c>
      <c r="C2" s="13" t="s">
        <v>18</v>
      </c>
      <c r="D2" s="4" t="s">
        <v>19</v>
      </c>
      <c r="E2" s="13">
        <v>100371</v>
      </c>
      <c r="F2" s="13">
        <v>9010079773</v>
      </c>
      <c r="G2" s="13">
        <v>427517053</v>
      </c>
      <c r="H2" s="27" t="s">
        <v>20</v>
      </c>
      <c r="I2" s="27" t="s">
        <v>21</v>
      </c>
      <c r="J2" s="4" t="s">
        <v>22</v>
      </c>
      <c r="K2" s="31" t="s">
        <v>17</v>
      </c>
      <c r="L2" s="24"/>
      <c r="N2" s="11" t="s">
        <v>23</v>
      </c>
      <c r="O2" s="4" t="s">
        <v>24</v>
      </c>
      <c r="P2" s="37" t="s">
        <v>25</v>
      </c>
    </row>
    <row r="3" spans="1:17">
      <c r="A3" s="14">
        <v>10102</v>
      </c>
      <c r="B3" s="14" t="s">
        <v>26</v>
      </c>
      <c r="C3" s="14" t="s">
        <v>18</v>
      </c>
      <c r="D3" s="4" t="s">
        <v>19</v>
      </c>
      <c r="E3" s="14">
        <v>100582</v>
      </c>
      <c r="F3" s="14">
        <v>9192516135</v>
      </c>
      <c r="G3" s="14">
        <v>429861982</v>
      </c>
      <c r="H3" s="28" t="s">
        <v>27</v>
      </c>
      <c r="I3" s="28" t="s">
        <v>28</v>
      </c>
      <c r="J3" s="3" t="s">
        <v>29</v>
      </c>
      <c r="K3" s="15" t="s">
        <v>26</v>
      </c>
      <c r="L3" s="25"/>
      <c r="N3" s="12" t="s">
        <v>30</v>
      </c>
      <c r="O3" s="4" t="s">
        <v>24</v>
      </c>
      <c r="P3" s="37" t="s">
        <v>25</v>
      </c>
    </row>
    <row r="4" spans="1:17">
      <c r="A4" s="14">
        <v>10103</v>
      </c>
      <c r="B4" s="14"/>
      <c r="C4" s="14" t="s">
        <v>18</v>
      </c>
      <c r="E4" s="14"/>
      <c r="F4" s="14"/>
      <c r="G4" s="14"/>
      <c r="H4" s="28"/>
      <c r="I4" s="28"/>
      <c r="L4" s="25"/>
    </row>
    <row r="5" spans="1:17">
      <c r="A5" s="14">
        <v>10104</v>
      </c>
      <c r="B5" s="14" t="s">
        <v>31</v>
      </c>
      <c r="C5" s="14" t="s">
        <v>18</v>
      </c>
      <c r="D5" s="4" t="s">
        <v>19</v>
      </c>
      <c r="E5" s="14">
        <v>100432</v>
      </c>
      <c r="F5" s="14">
        <v>9010105410</v>
      </c>
      <c r="G5" s="14">
        <v>427517050</v>
      </c>
      <c r="H5" s="28" t="s">
        <v>32</v>
      </c>
      <c r="I5" s="28" t="s">
        <v>33</v>
      </c>
      <c r="J5" s="3" t="s">
        <v>34</v>
      </c>
      <c r="K5" s="15" t="s">
        <v>31</v>
      </c>
      <c r="L5" s="25"/>
      <c r="N5" s="12" t="s">
        <v>35</v>
      </c>
      <c r="O5" s="4" t="s">
        <v>24</v>
      </c>
      <c r="P5" s="37" t="s">
        <v>25</v>
      </c>
    </row>
    <row r="6" spans="1:17">
      <c r="A6" s="14">
        <v>10105</v>
      </c>
      <c r="B6" s="14"/>
      <c r="C6" s="14" t="s">
        <v>18</v>
      </c>
      <c r="E6" s="14"/>
      <c r="F6" s="14"/>
      <c r="G6" s="14"/>
      <c r="H6" s="28"/>
      <c r="I6" s="28"/>
      <c r="L6" s="25"/>
    </row>
    <row r="7" spans="1:17">
      <c r="A7" s="14">
        <v>10106</v>
      </c>
      <c r="B7" s="14"/>
      <c r="C7" s="14" t="s">
        <v>18</v>
      </c>
      <c r="E7" s="14"/>
      <c r="F7" s="14"/>
      <c r="G7" s="14"/>
      <c r="H7" s="28"/>
      <c r="I7" s="28"/>
      <c r="L7" s="25"/>
    </row>
    <row r="8" spans="1:17">
      <c r="A8" s="14">
        <v>10107</v>
      </c>
      <c r="B8" s="14"/>
      <c r="C8" s="14" t="s">
        <v>18</v>
      </c>
      <c r="E8" s="14"/>
      <c r="F8" s="14"/>
      <c r="G8" s="14"/>
      <c r="H8" s="28"/>
      <c r="I8" s="28"/>
      <c r="L8" s="25"/>
    </row>
    <row r="9" spans="1:17">
      <c r="A9" s="14">
        <v>10108</v>
      </c>
      <c r="B9" s="14"/>
      <c r="C9" s="14" t="s">
        <v>18</v>
      </c>
      <c r="E9" s="14"/>
      <c r="F9" s="14"/>
      <c r="G9" s="14"/>
      <c r="H9" s="28"/>
      <c r="I9" s="28"/>
      <c r="L9" s="25"/>
    </row>
    <row r="10" spans="1:17">
      <c r="A10" s="14">
        <v>10109</v>
      </c>
      <c r="B10" s="14"/>
      <c r="C10" s="14" t="s">
        <v>18</v>
      </c>
      <c r="E10" s="14"/>
      <c r="F10" s="14"/>
      <c r="G10" s="14"/>
      <c r="H10" s="28"/>
      <c r="I10" s="28"/>
      <c r="L10" s="25"/>
    </row>
    <row r="11" spans="1:17">
      <c r="A11" s="14">
        <v>10110</v>
      </c>
      <c r="B11" s="14"/>
      <c r="C11" s="14" t="s">
        <v>18</v>
      </c>
      <c r="E11" s="14"/>
      <c r="F11" s="14"/>
      <c r="G11" s="14"/>
      <c r="H11" s="28"/>
      <c r="I11" s="28"/>
      <c r="L11" s="25"/>
    </row>
    <row r="12" spans="1:17">
      <c r="A12" s="14">
        <v>10111</v>
      </c>
      <c r="B12" s="14" t="s">
        <v>36</v>
      </c>
      <c r="C12" s="14" t="s">
        <v>18</v>
      </c>
      <c r="D12" s="4" t="s">
        <v>19</v>
      </c>
      <c r="E12" s="14">
        <v>100417</v>
      </c>
      <c r="F12" s="14">
        <v>9010098841</v>
      </c>
      <c r="G12" s="14">
        <v>427517061</v>
      </c>
      <c r="H12" s="28" t="s">
        <v>37</v>
      </c>
      <c r="I12" s="28" t="s">
        <v>38</v>
      </c>
      <c r="J12" s="3" t="s">
        <v>39</v>
      </c>
      <c r="K12" s="15" t="s">
        <v>36</v>
      </c>
      <c r="L12" s="25"/>
      <c r="N12" s="15" t="s">
        <v>40</v>
      </c>
      <c r="O12" s="4" t="s">
        <v>24</v>
      </c>
      <c r="P12" s="37" t="s">
        <v>25</v>
      </c>
    </row>
    <row r="13" spans="1:17">
      <c r="A13" s="14">
        <v>10112</v>
      </c>
      <c r="B13" s="14" t="s">
        <v>41</v>
      </c>
      <c r="C13" s="14" t="s">
        <v>18</v>
      </c>
      <c r="D13" s="4" t="s">
        <v>19</v>
      </c>
      <c r="E13" s="14">
        <v>37159</v>
      </c>
      <c r="F13" s="14">
        <v>312864873</v>
      </c>
      <c r="G13" s="14">
        <v>235665557</v>
      </c>
      <c r="H13" s="28" t="s">
        <v>42</v>
      </c>
      <c r="I13" s="28" t="s">
        <v>43</v>
      </c>
      <c r="J13" s="3" t="s">
        <v>44</v>
      </c>
      <c r="K13" s="15" t="s">
        <v>41</v>
      </c>
      <c r="L13" s="25"/>
      <c r="N13" s="15" t="s">
        <v>45</v>
      </c>
      <c r="O13" s="4" t="s">
        <v>24</v>
      </c>
      <c r="P13" s="37" t="s">
        <v>25</v>
      </c>
    </row>
    <row r="14" spans="1:17">
      <c r="A14" s="14">
        <v>10113</v>
      </c>
      <c r="B14" s="14"/>
      <c r="C14" s="14" t="s">
        <v>18</v>
      </c>
      <c r="E14" s="14"/>
      <c r="F14" s="14"/>
      <c r="G14" s="14"/>
      <c r="H14" s="28"/>
      <c r="I14" s="28"/>
      <c r="L14" s="25"/>
    </row>
    <row r="15" spans="1:17">
      <c r="A15" s="14">
        <v>10114</v>
      </c>
      <c r="B15" s="14"/>
      <c r="C15" s="14" t="s">
        <v>18</v>
      </c>
      <c r="E15" s="14"/>
      <c r="F15" s="14"/>
      <c r="G15" s="14"/>
      <c r="H15" s="28"/>
      <c r="I15" s="28"/>
      <c r="L15" s="25"/>
    </row>
    <row r="16" spans="1:17">
      <c r="A16" s="14">
        <v>10115</v>
      </c>
      <c r="B16" s="14"/>
      <c r="C16" s="14" t="s">
        <v>18</v>
      </c>
      <c r="E16" s="14"/>
      <c r="F16" s="14"/>
      <c r="G16" s="14"/>
      <c r="H16" s="28"/>
      <c r="I16" s="28"/>
      <c r="L16" s="25"/>
    </row>
    <row r="17" spans="1:16">
      <c r="A17" s="14">
        <v>10116</v>
      </c>
      <c r="B17" s="14"/>
      <c r="C17" s="14" t="s">
        <v>18</v>
      </c>
      <c r="E17" s="14"/>
      <c r="F17" s="14"/>
      <c r="G17" s="14"/>
      <c r="H17" s="28"/>
      <c r="I17" s="28"/>
      <c r="L17" s="25"/>
    </row>
    <row r="18" spans="1:16">
      <c r="A18" s="14">
        <v>10117</v>
      </c>
      <c r="B18" s="14" t="s">
        <v>46</v>
      </c>
      <c r="C18" s="14" t="s">
        <v>18</v>
      </c>
      <c r="D18" s="4" t="s">
        <v>19</v>
      </c>
      <c r="E18" s="14">
        <v>109771</v>
      </c>
      <c r="F18" s="14">
        <v>14580966827</v>
      </c>
      <c r="G18" s="14">
        <v>499315358</v>
      </c>
      <c r="H18" s="28" t="s">
        <v>47</v>
      </c>
      <c r="I18" s="28" t="s">
        <v>48</v>
      </c>
      <c r="J18" s="3" t="s">
        <v>49</v>
      </c>
      <c r="K18" s="15" t="s">
        <v>46</v>
      </c>
      <c r="L18" s="25"/>
      <c r="N18" s="15" t="s">
        <v>50</v>
      </c>
      <c r="O18" s="4" t="s">
        <v>51</v>
      </c>
      <c r="P18" s="37" t="s">
        <v>25</v>
      </c>
    </row>
    <row r="19" spans="1:16">
      <c r="A19" s="14">
        <v>10118</v>
      </c>
      <c r="B19" s="14" t="s">
        <v>52</v>
      </c>
      <c r="C19" s="14" t="s">
        <v>18</v>
      </c>
      <c r="D19" s="4" t="s">
        <v>19</v>
      </c>
      <c r="E19" s="14">
        <v>100370</v>
      </c>
      <c r="F19" s="14">
        <v>9010079772</v>
      </c>
      <c r="G19" s="14">
        <v>427517072</v>
      </c>
      <c r="H19" s="28" t="s">
        <v>53</v>
      </c>
      <c r="I19" s="28" t="s">
        <v>54</v>
      </c>
      <c r="J19" s="3" t="s">
        <v>55</v>
      </c>
      <c r="K19" s="15" t="s">
        <v>52</v>
      </c>
      <c r="L19" s="25"/>
      <c r="N19" s="15" t="s">
        <v>56</v>
      </c>
      <c r="O19" s="4" t="s">
        <v>51</v>
      </c>
      <c r="P19" s="37" t="s">
        <v>25</v>
      </c>
    </row>
    <row r="20" spans="1:16">
      <c r="A20" s="14">
        <v>10119</v>
      </c>
      <c r="B20" s="14" t="s">
        <v>57</v>
      </c>
      <c r="C20" s="14" t="s">
        <v>18</v>
      </c>
      <c r="D20" s="4" t="s">
        <v>19</v>
      </c>
      <c r="E20" s="14">
        <v>100400</v>
      </c>
      <c r="F20" s="14">
        <v>9010089140</v>
      </c>
      <c r="G20" s="14">
        <v>427517024</v>
      </c>
      <c r="H20" s="28" t="s">
        <v>58</v>
      </c>
      <c r="I20" s="28" t="s">
        <v>59</v>
      </c>
      <c r="J20" s="3" t="s">
        <v>60</v>
      </c>
      <c r="K20" s="15" t="s">
        <v>57</v>
      </c>
      <c r="L20" s="25"/>
      <c r="N20" s="15" t="s">
        <v>61</v>
      </c>
      <c r="O20" s="4" t="s">
        <v>51</v>
      </c>
      <c r="P20" s="37" t="s">
        <v>25</v>
      </c>
    </row>
    <row r="21" spans="1:16">
      <c r="A21" s="14">
        <v>10120</v>
      </c>
      <c r="B21" s="14" t="s">
        <v>62</v>
      </c>
      <c r="C21" s="14" t="s">
        <v>18</v>
      </c>
      <c r="D21" s="4" t="s">
        <v>19</v>
      </c>
      <c r="E21" s="14">
        <v>100364</v>
      </c>
      <c r="F21" s="14">
        <v>9010077077</v>
      </c>
      <c r="G21" s="14">
        <v>427517054</v>
      </c>
      <c r="H21" s="28" t="s">
        <v>63</v>
      </c>
      <c r="I21" s="28" t="s">
        <v>64</v>
      </c>
      <c r="J21" s="3" t="s">
        <v>65</v>
      </c>
      <c r="K21" s="15" t="s">
        <v>62</v>
      </c>
      <c r="L21" s="25"/>
      <c r="N21" s="15" t="s">
        <v>66</v>
      </c>
      <c r="O21" s="4" t="s">
        <v>51</v>
      </c>
      <c r="P21" s="37" t="s">
        <v>25</v>
      </c>
    </row>
    <row r="22" spans="1:16">
      <c r="A22" s="14">
        <v>10121</v>
      </c>
      <c r="B22" s="14" t="s">
        <v>67</v>
      </c>
      <c r="C22" s="14" t="s">
        <v>18</v>
      </c>
      <c r="D22" s="4" t="s">
        <v>19</v>
      </c>
      <c r="E22" s="14">
        <v>100408</v>
      </c>
      <c r="F22" s="14">
        <v>9010092582</v>
      </c>
      <c r="G22" s="14">
        <v>427517034</v>
      </c>
      <c r="H22" s="28" t="s">
        <v>68</v>
      </c>
      <c r="I22" s="28" t="s">
        <v>69</v>
      </c>
      <c r="J22" s="3" t="s">
        <v>70</v>
      </c>
      <c r="K22" s="15" t="s">
        <v>67</v>
      </c>
      <c r="L22" s="25"/>
      <c r="N22" s="15" t="s">
        <v>71</v>
      </c>
      <c r="O22" s="4" t="s">
        <v>51</v>
      </c>
      <c r="P22" s="37" t="s">
        <v>25</v>
      </c>
    </row>
    <row r="23" spans="1:16">
      <c r="A23" s="14">
        <v>10122</v>
      </c>
      <c r="B23" s="14" t="s">
        <v>72</v>
      </c>
      <c r="C23" s="14" t="s">
        <v>18</v>
      </c>
      <c r="D23" s="4" t="s">
        <v>19</v>
      </c>
      <c r="E23" s="14">
        <v>100416</v>
      </c>
      <c r="F23" s="14">
        <v>9010098708</v>
      </c>
      <c r="G23" s="14">
        <v>427517019</v>
      </c>
      <c r="H23" s="28" t="s">
        <v>73</v>
      </c>
      <c r="I23" s="28" t="s">
        <v>74</v>
      </c>
      <c r="J23" s="3" t="s">
        <v>75</v>
      </c>
      <c r="K23" s="15" t="s">
        <v>72</v>
      </c>
      <c r="L23" s="25"/>
      <c r="N23" s="15" t="s">
        <v>76</v>
      </c>
      <c r="O23" s="4" t="s">
        <v>51</v>
      </c>
      <c r="P23" s="37" t="s">
        <v>25</v>
      </c>
    </row>
    <row r="24" spans="1:16">
      <c r="A24" s="14">
        <v>10123</v>
      </c>
      <c r="B24" s="14" t="s">
        <v>77</v>
      </c>
      <c r="C24" s="14" t="s">
        <v>18</v>
      </c>
      <c r="D24" s="4" t="s">
        <v>19</v>
      </c>
      <c r="E24" s="14">
        <v>100413</v>
      </c>
      <c r="F24" s="14">
        <v>9010096138</v>
      </c>
      <c r="G24" s="14">
        <v>427517067</v>
      </c>
      <c r="H24" s="28" t="s">
        <v>78</v>
      </c>
      <c r="I24" s="28" t="s">
        <v>79</v>
      </c>
      <c r="J24" s="3" t="s">
        <v>80</v>
      </c>
      <c r="K24" s="15" t="s">
        <v>77</v>
      </c>
      <c r="L24" s="25"/>
      <c r="N24" s="15" t="s">
        <v>81</v>
      </c>
      <c r="O24" s="4" t="s">
        <v>51</v>
      </c>
      <c r="P24" s="37" t="s">
        <v>25</v>
      </c>
    </row>
    <row r="25" spans="1:16">
      <c r="A25" s="14">
        <v>10124</v>
      </c>
      <c r="B25" s="14" t="s">
        <v>82</v>
      </c>
      <c r="C25" s="14" t="s">
        <v>18</v>
      </c>
      <c r="D25" s="4" t="s">
        <v>19</v>
      </c>
      <c r="E25" s="14">
        <v>100405</v>
      </c>
      <c r="F25" s="14">
        <v>9010089821</v>
      </c>
      <c r="G25" s="14">
        <v>427517068</v>
      </c>
      <c r="H25" s="28" t="s">
        <v>83</v>
      </c>
      <c r="I25" s="28" t="s">
        <v>84</v>
      </c>
      <c r="J25" s="3" t="s">
        <v>85</v>
      </c>
      <c r="K25" s="15" t="s">
        <v>82</v>
      </c>
      <c r="L25" s="25"/>
      <c r="N25" s="15" t="s">
        <v>86</v>
      </c>
      <c r="O25" s="4" t="s">
        <v>51</v>
      </c>
      <c r="P25" s="37" t="s">
        <v>25</v>
      </c>
    </row>
    <row r="26" spans="1:16">
      <c r="A26" s="14">
        <v>10125</v>
      </c>
      <c r="B26" s="14" t="s">
        <v>87</v>
      </c>
      <c r="C26" s="14" t="s">
        <v>18</v>
      </c>
      <c r="D26" s="4" t="s">
        <v>19</v>
      </c>
      <c r="E26" s="14">
        <v>100406</v>
      </c>
      <c r="F26" s="14">
        <v>9010092184</v>
      </c>
      <c r="G26" s="14">
        <v>427517040</v>
      </c>
      <c r="H26" s="28" t="s">
        <v>88</v>
      </c>
      <c r="I26" s="28" t="s">
        <v>89</v>
      </c>
      <c r="J26" s="3" t="s">
        <v>90</v>
      </c>
      <c r="K26" s="15" t="s">
        <v>87</v>
      </c>
      <c r="L26" s="25"/>
      <c r="N26" s="15" t="s">
        <v>91</v>
      </c>
      <c r="O26" s="4" t="s">
        <v>51</v>
      </c>
      <c r="P26" s="37" t="s">
        <v>25</v>
      </c>
    </row>
    <row r="27" spans="1:16">
      <c r="A27" s="14">
        <v>10126</v>
      </c>
      <c r="B27" s="14" t="s">
        <v>92</v>
      </c>
      <c r="C27" s="14" t="s">
        <v>18</v>
      </c>
      <c r="D27" s="4" t="s">
        <v>19</v>
      </c>
      <c r="E27" s="14">
        <v>100407</v>
      </c>
      <c r="F27" s="14">
        <v>9010092350</v>
      </c>
      <c r="G27" s="14">
        <v>427517073</v>
      </c>
      <c r="H27" s="28" t="s">
        <v>93</v>
      </c>
      <c r="I27" s="28" t="s">
        <v>94</v>
      </c>
      <c r="J27" s="3" t="s">
        <v>95</v>
      </c>
      <c r="K27" s="15" t="s">
        <v>92</v>
      </c>
      <c r="L27" s="25"/>
      <c r="N27" s="15" t="s">
        <v>96</v>
      </c>
      <c r="O27" s="4" t="s">
        <v>51</v>
      </c>
      <c r="P27" s="37" t="s">
        <v>25</v>
      </c>
    </row>
    <row r="28" spans="1:16">
      <c r="A28" s="14">
        <v>10127</v>
      </c>
      <c r="B28" s="14"/>
      <c r="C28" s="14" t="s">
        <v>18</v>
      </c>
      <c r="E28" s="14"/>
      <c r="F28" s="14"/>
      <c r="G28" s="14"/>
      <c r="H28" s="28"/>
      <c r="I28" s="28"/>
      <c r="L28" s="25"/>
    </row>
    <row r="29" spans="1:16">
      <c r="A29" s="14">
        <v>10128</v>
      </c>
      <c r="B29" s="14" t="s">
        <v>97</v>
      </c>
      <c r="C29" s="14" t="s">
        <v>18</v>
      </c>
      <c r="D29" s="4" t="s">
        <v>19</v>
      </c>
      <c r="E29" s="14">
        <v>100412</v>
      </c>
      <c r="F29" s="14">
        <v>9010094694</v>
      </c>
      <c r="G29" s="14">
        <v>427571159</v>
      </c>
      <c r="H29" s="28" t="s">
        <v>98</v>
      </c>
      <c r="I29" s="28" t="s">
        <v>99</v>
      </c>
      <c r="J29" s="3" t="s">
        <v>100</v>
      </c>
      <c r="K29" s="15" t="s">
        <v>97</v>
      </c>
      <c r="L29" s="25"/>
      <c r="N29" s="15" t="s">
        <v>101</v>
      </c>
      <c r="O29" s="4" t="s">
        <v>51</v>
      </c>
      <c r="P29" s="37" t="s">
        <v>25</v>
      </c>
    </row>
    <row r="30" spans="1:16">
      <c r="A30" s="14">
        <v>10129</v>
      </c>
      <c r="B30" s="14" t="s">
        <v>102</v>
      </c>
      <c r="C30" s="14" t="s">
        <v>18</v>
      </c>
      <c r="D30" s="4" t="s">
        <v>19</v>
      </c>
      <c r="E30" s="14">
        <v>100414</v>
      </c>
      <c r="F30" s="14">
        <v>9010098650</v>
      </c>
      <c r="G30" s="14">
        <v>427517026</v>
      </c>
      <c r="H30" s="28" t="s">
        <v>103</v>
      </c>
      <c r="I30" s="28" t="s">
        <v>104</v>
      </c>
      <c r="J30" s="3" t="s">
        <v>105</v>
      </c>
      <c r="K30" s="15" t="s">
        <v>102</v>
      </c>
      <c r="L30" s="25"/>
      <c r="N30" s="15" t="s">
        <v>106</v>
      </c>
      <c r="O30" s="4" t="s">
        <v>51</v>
      </c>
      <c r="P30" s="37" t="s">
        <v>25</v>
      </c>
    </row>
    <row r="31" spans="1:16">
      <c r="A31" s="14">
        <v>10130</v>
      </c>
      <c r="B31" s="14" t="s">
        <v>107</v>
      </c>
      <c r="C31" s="14" t="s">
        <v>18</v>
      </c>
      <c r="D31" s="4" t="s">
        <v>19</v>
      </c>
      <c r="E31" s="14">
        <v>100399</v>
      </c>
      <c r="F31" s="14">
        <v>9010089139</v>
      </c>
      <c r="G31" s="14">
        <v>427517006</v>
      </c>
      <c r="H31" s="28" t="s">
        <v>108</v>
      </c>
      <c r="I31" s="28" t="s">
        <v>109</v>
      </c>
      <c r="J31" s="3" t="s">
        <v>110</v>
      </c>
      <c r="K31" s="15" t="s">
        <v>107</v>
      </c>
      <c r="L31" s="25"/>
      <c r="N31" s="15" t="s">
        <v>111</v>
      </c>
      <c r="O31" s="4" t="s">
        <v>51</v>
      </c>
      <c r="P31" s="37" t="s">
        <v>25</v>
      </c>
    </row>
    <row r="32" spans="1:16">
      <c r="A32" s="14">
        <v>10131</v>
      </c>
      <c r="B32" s="14" t="s">
        <v>112</v>
      </c>
      <c r="C32" s="14" t="s">
        <v>18</v>
      </c>
      <c r="D32" s="4" t="s">
        <v>19</v>
      </c>
      <c r="E32" s="14">
        <v>101607</v>
      </c>
      <c r="F32" s="14">
        <v>10158522042</v>
      </c>
      <c r="G32" s="14">
        <v>442803426</v>
      </c>
      <c r="H32" s="28" t="s">
        <v>113</v>
      </c>
      <c r="I32" s="28" t="s">
        <v>114</v>
      </c>
      <c r="J32" s="3" t="s">
        <v>115</v>
      </c>
      <c r="K32" s="15" t="s">
        <v>112</v>
      </c>
      <c r="L32" s="25"/>
      <c r="N32" s="15" t="s">
        <v>116</v>
      </c>
      <c r="O32" s="4" t="s">
        <v>51</v>
      </c>
      <c r="P32" s="37" t="s">
        <v>25</v>
      </c>
    </row>
    <row r="33" spans="1:16">
      <c r="A33" s="14">
        <v>10132</v>
      </c>
      <c r="B33" s="14" t="s">
        <v>117</v>
      </c>
      <c r="C33" s="14" t="s">
        <v>18</v>
      </c>
      <c r="D33" s="4" t="s">
        <v>19</v>
      </c>
      <c r="E33" s="14">
        <v>101606</v>
      </c>
      <c r="F33" s="14">
        <v>10158517642</v>
      </c>
      <c r="G33" s="14">
        <v>442803415</v>
      </c>
      <c r="H33" s="28" t="s">
        <v>118</v>
      </c>
      <c r="I33" s="28" t="s">
        <v>119</v>
      </c>
      <c r="J33" s="3" t="s">
        <v>120</v>
      </c>
      <c r="K33" s="15" t="s">
        <v>117</v>
      </c>
      <c r="L33" s="25"/>
      <c r="N33" s="15" t="s">
        <v>121</v>
      </c>
      <c r="O33" s="4" t="s">
        <v>51</v>
      </c>
      <c r="P33" s="37" t="s">
        <v>25</v>
      </c>
    </row>
    <row r="34" spans="1:16">
      <c r="A34" s="14">
        <v>10133</v>
      </c>
      <c r="B34" s="14" t="s">
        <v>122</v>
      </c>
      <c r="C34" s="14" t="s">
        <v>18</v>
      </c>
      <c r="D34" s="4" t="s">
        <v>19</v>
      </c>
      <c r="E34" s="14">
        <v>101605</v>
      </c>
      <c r="F34" s="14">
        <v>10157721666</v>
      </c>
      <c r="G34" s="14">
        <v>442803411</v>
      </c>
      <c r="H34" s="28" t="s">
        <v>123</v>
      </c>
      <c r="I34" s="28" t="s">
        <v>124</v>
      </c>
      <c r="J34" s="3" t="s">
        <v>125</v>
      </c>
      <c r="K34" s="15" t="s">
        <v>122</v>
      </c>
      <c r="L34" s="25"/>
      <c r="N34" s="15" t="s">
        <v>126</v>
      </c>
      <c r="O34" s="4" t="s">
        <v>51</v>
      </c>
      <c r="P34" s="37" t="s">
        <v>25</v>
      </c>
    </row>
    <row r="35" spans="1:16">
      <c r="A35" s="14">
        <v>10134</v>
      </c>
      <c r="B35" s="14"/>
      <c r="C35" s="40" t="s">
        <v>18</v>
      </c>
      <c r="E35" s="14"/>
      <c r="F35" s="14"/>
      <c r="G35" s="14"/>
      <c r="H35" s="28"/>
      <c r="I35" s="28"/>
      <c r="L35" s="25"/>
    </row>
    <row r="36" spans="1:16">
      <c r="A36" s="14">
        <v>10135</v>
      </c>
      <c r="B36" s="14"/>
      <c r="C36" s="40" t="s">
        <v>18</v>
      </c>
      <c r="E36" s="14"/>
      <c r="F36" s="14"/>
      <c r="G36" s="14"/>
      <c r="H36" s="28"/>
      <c r="I36" s="28"/>
      <c r="L36" s="25"/>
    </row>
    <row r="37" spans="1:16">
      <c r="A37" s="14">
        <v>10136</v>
      </c>
      <c r="B37" s="14"/>
      <c r="C37" s="40" t="s">
        <v>18</v>
      </c>
      <c r="E37" s="14"/>
      <c r="F37" s="14"/>
      <c r="G37" s="14"/>
      <c r="H37" s="28"/>
      <c r="I37" s="28"/>
      <c r="L37" s="25"/>
    </row>
    <row r="38" spans="1:16">
      <c r="A38" s="14">
        <v>10137</v>
      </c>
      <c r="B38" s="14"/>
      <c r="C38" s="40" t="s">
        <v>18</v>
      </c>
      <c r="E38" s="14"/>
      <c r="F38" s="14"/>
      <c r="G38" s="14"/>
      <c r="H38" s="28"/>
      <c r="I38" s="28"/>
      <c r="L38" s="25"/>
    </row>
    <row r="39" spans="1:16">
      <c r="A39" s="14">
        <v>10138</v>
      </c>
      <c r="B39" s="14" t="s">
        <v>127</v>
      </c>
      <c r="C39" s="14" t="s">
        <v>18</v>
      </c>
      <c r="D39" s="4" t="s">
        <v>19</v>
      </c>
      <c r="E39" s="14">
        <v>100375</v>
      </c>
      <c r="F39" s="14">
        <v>9010081021</v>
      </c>
      <c r="G39" s="14">
        <v>427517066</v>
      </c>
      <c r="H39" s="28" t="s">
        <v>128</v>
      </c>
      <c r="I39" s="28" t="s">
        <v>129</v>
      </c>
      <c r="J39" s="3" t="s">
        <v>127</v>
      </c>
      <c r="K39" s="15" t="s">
        <v>127</v>
      </c>
      <c r="L39" s="25"/>
      <c r="N39" s="15" t="s">
        <v>130</v>
      </c>
      <c r="O39" s="4" t="s">
        <v>131</v>
      </c>
      <c r="P39" s="37" t="s">
        <v>25</v>
      </c>
    </row>
    <row r="40" spans="1:16">
      <c r="A40" s="14">
        <v>10139</v>
      </c>
      <c r="B40" s="14" t="s">
        <v>132</v>
      </c>
      <c r="C40" s="14" t="s">
        <v>18</v>
      </c>
      <c r="D40" s="4" t="s">
        <v>19</v>
      </c>
      <c r="E40" s="14">
        <v>100380</v>
      </c>
      <c r="F40" s="14">
        <v>9010083617</v>
      </c>
      <c r="G40" s="14">
        <v>427517014</v>
      </c>
      <c r="H40" s="28" t="s">
        <v>133</v>
      </c>
      <c r="I40" s="28" t="s">
        <v>134</v>
      </c>
      <c r="J40" s="3" t="s">
        <v>135</v>
      </c>
      <c r="K40" s="15" t="s">
        <v>132</v>
      </c>
      <c r="L40" s="25"/>
      <c r="N40" s="15" t="s">
        <v>136</v>
      </c>
      <c r="O40" s="4" t="s">
        <v>131</v>
      </c>
      <c r="P40" s="37" t="s">
        <v>25</v>
      </c>
    </row>
    <row r="41" spans="1:16">
      <c r="A41" s="14">
        <v>10140</v>
      </c>
      <c r="B41" s="14" t="s">
        <v>137</v>
      </c>
      <c r="C41" s="14" t="s">
        <v>18</v>
      </c>
      <c r="D41" s="4" t="s">
        <v>19</v>
      </c>
      <c r="E41" s="14">
        <v>100372</v>
      </c>
      <c r="F41" s="14">
        <v>9010081018</v>
      </c>
      <c r="G41" s="14">
        <v>427517043</v>
      </c>
      <c r="H41" s="28" t="s">
        <v>138</v>
      </c>
      <c r="I41" s="28" t="s">
        <v>139</v>
      </c>
      <c r="J41" s="3" t="s">
        <v>140</v>
      </c>
      <c r="K41" s="15" t="s">
        <v>137</v>
      </c>
      <c r="L41" s="25"/>
      <c r="N41" s="15" t="s">
        <v>141</v>
      </c>
      <c r="O41" s="4" t="s">
        <v>131</v>
      </c>
      <c r="P41" s="37" t="s">
        <v>25</v>
      </c>
    </row>
    <row r="42" spans="1:16">
      <c r="A42" s="14">
        <v>10141</v>
      </c>
      <c r="B42" s="14" t="s">
        <v>142</v>
      </c>
      <c r="C42" s="14" t="s">
        <v>18</v>
      </c>
      <c r="D42" s="4" t="s">
        <v>19</v>
      </c>
      <c r="E42" s="14">
        <v>109747</v>
      </c>
      <c r="F42" s="14">
        <v>14580532928</v>
      </c>
      <c r="G42" s="14">
        <v>499315356</v>
      </c>
      <c r="H42" s="28" t="s">
        <v>143</v>
      </c>
      <c r="I42" s="28" t="s">
        <v>144</v>
      </c>
      <c r="J42" s="3" t="s">
        <v>145</v>
      </c>
      <c r="K42" s="15" t="s">
        <v>142</v>
      </c>
      <c r="L42" s="25"/>
      <c r="N42" s="15" t="s">
        <v>146</v>
      </c>
      <c r="O42" s="4" t="s">
        <v>131</v>
      </c>
      <c r="P42" s="37" t="s">
        <v>25</v>
      </c>
    </row>
    <row r="43" spans="1:16">
      <c r="A43" s="14">
        <v>10142</v>
      </c>
      <c r="B43" s="14" t="s">
        <v>147</v>
      </c>
      <c r="C43" s="14" t="s">
        <v>18</v>
      </c>
      <c r="D43" s="4" t="s">
        <v>19</v>
      </c>
      <c r="E43" s="14">
        <v>100422</v>
      </c>
      <c r="F43" s="14">
        <v>9010099841</v>
      </c>
      <c r="G43" s="14">
        <v>427517042</v>
      </c>
      <c r="H43" s="28" t="s">
        <v>148</v>
      </c>
      <c r="I43" s="28" t="s">
        <v>149</v>
      </c>
      <c r="J43" s="3" t="s">
        <v>150</v>
      </c>
      <c r="K43" s="15" t="s">
        <v>147</v>
      </c>
      <c r="L43" s="25"/>
      <c r="N43" s="15" t="s">
        <v>151</v>
      </c>
      <c r="O43" s="4" t="s">
        <v>131</v>
      </c>
      <c r="P43" s="37" t="s">
        <v>25</v>
      </c>
    </row>
    <row r="44" spans="1:16">
      <c r="A44" s="14">
        <v>10143</v>
      </c>
      <c r="B44" s="14" t="s">
        <v>152</v>
      </c>
      <c r="C44" s="14" t="s">
        <v>18</v>
      </c>
      <c r="D44" s="4" t="s">
        <v>19</v>
      </c>
      <c r="E44" s="14">
        <v>101613</v>
      </c>
      <c r="F44" s="14">
        <v>10158690267</v>
      </c>
      <c r="G44" s="14">
        <v>442803422</v>
      </c>
      <c r="H44" s="28" t="s">
        <v>153</v>
      </c>
      <c r="I44" s="28" t="s">
        <v>154</v>
      </c>
      <c r="J44" s="3" t="s">
        <v>155</v>
      </c>
      <c r="K44" s="15" t="s">
        <v>152</v>
      </c>
      <c r="L44" s="25"/>
      <c r="N44" s="15" t="s">
        <v>156</v>
      </c>
      <c r="O44" s="4" t="s">
        <v>131</v>
      </c>
      <c r="P44" s="37" t="s">
        <v>25</v>
      </c>
    </row>
    <row r="45" spans="1:16">
      <c r="A45" s="14">
        <v>10144</v>
      </c>
      <c r="B45" s="14"/>
      <c r="C45" s="40" t="s">
        <v>18</v>
      </c>
      <c r="E45" s="14"/>
      <c r="F45" s="14"/>
      <c r="G45" s="14"/>
      <c r="H45" s="28"/>
      <c r="I45" s="28"/>
      <c r="L45" s="25"/>
    </row>
    <row r="46" spans="1:16">
      <c r="A46" s="14">
        <v>10145</v>
      </c>
      <c r="B46" s="14"/>
      <c r="C46" s="40" t="s">
        <v>18</v>
      </c>
      <c r="E46" s="14"/>
      <c r="F46" s="14"/>
      <c r="G46" s="14"/>
      <c r="H46" s="28"/>
      <c r="I46" s="28"/>
      <c r="L46" s="25"/>
    </row>
    <row r="47" spans="1:16">
      <c r="A47" s="14">
        <v>10146</v>
      </c>
      <c r="B47" s="14"/>
      <c r="C47" s="40" t="s">
        <v>18</v>
      </c>
      <c r="E47" s="14"/>
      <c r="F47" s="14"/>
      <c r="G47" s="14"/>
      <c r="H47" s="28"/>
      <c r="I47" s="28"/>
      <c r="L47" s="25"/>
    </row>
    <row r="48" spans="1:16">
      <c r="A48" s="14">
        <v>10147</v>
      </c>
      <c r="B48" s="14"/>
      <c r="C48" s="40" t="s">
        <v>18</v>
      </c>
      <c r="E48" s="14"/>
      <c r="F48" s="14"/>
      <c r="G48" s="14"/>
      <c r="H48" s="28"/>
      <c r="I48" s="28"/>
      <c r="L48" s="25"/>
    </row>
    <row r="49" spans="1:16">
      <c r="A49" s="14">
        <v>10148</v>
      </c>
      <c r="B49" s="14" t="s">
        <v>157</v>
      </c>
      <c r="C49" s="14" t="s">
        <v>18</v>
      </c>
      <c r="D49" s="4" t="s">
        <v>19</v>
      </c>
      <c r="E49" s="14">
        <v>100376</v>
      </c>
      <c r="F49" s="14">
        <v>9010081022</v>
      </c>
      <c r="G49" s="14">
        <v>427517047</v>
      </c>
      <c r="H49" s="28" t="s">
        <v>158</v>
      </c>
      <c r="I49" s="28" t="s">
        <v>159</v>
      </c>
      <c r="J49" s="3" t="s">
        <v>160</v>
      </c>
      <c r="K49" s="15" t="s">
        <v>157</v>
      </c>
      <c r="L49" s="25"/>
      <c r="N49" s="15" t="s">
        <v>161</v>
      </c>
      <c r="O49" s="4" t="s">
        <v>162</v>
      </c>
      <c r="P49" s="37" t="s">
        <v>25</v>
      </c>
    </row>
    <row r="50" spans="1:16">
      <c r="A50" s="14">
        <v>10149</v>
      </c>
      <c r="B50" s="14" t="s">
        <v>163</v>
      </c>
      <c r="C50" s="14" t="s">
        <v>18</v>
      </c>
      <c r="D50" s="4" t="s">
        <v>19</v>
      </c>
      <c r="E50" s="14">
        <v>109757</v>
      </c>
      <c r="F50" s="14">
        <v>14580951994</v>
      </c>
      <c r="G50" s="14">
        <v>499315289</v>
      </c>
      <c r="H50" s="28" t="s">
        <v>164</v>
      </c>
      <c r="I50" s="28" t="s">
        <v>165</v>
      </c>
      <c r="J50" s="3" t="s">
        <v>166</v>
      </c>
      <c r="K50" s="15" t="s">
        <v>163</v>
      </c>
      <c r="L50" s="25"/>
      <c r="N50" s="15" t="s">
        <v>167</v>
      </c>
      <c r="O50" s="4" t="s">
        <v>162</v>
      </c>
      <c r="P50" s="37" t="s">
        <v>25</v>
      </c>
    </row>
    <row r="51" spans="1:16">
      <c r="A51" s="14">
        <v>10150</v>
      </c>
      <c r="B51" s="14" t="s">
        <v>168</v>
      </c>
      <c r="C51" s="14" t="s">
        <v>18</v>
      </c>
      <c r="D51" s="4" t="s">
        <v>19</v>
      </c>
      <c r="E51" s="14">
        <v>109759</v>
      </c>
      <c r="F51" s="14">
        <v>14580957527</v>
      </c>
      <c r="G51" s="14">
        <v>499315303</v>
      </c>
      <c r="H51" s="28" t="s">
        <v>169</v>
      </c>
      <c r="I51" s="28" t="s">
        <v>170</v>
      </c>
      <c r="J51" s="3" t="s">
        <v>171</v>
      </c>
      <c r="K51" s="15" t="s">
        <v>168</v>
      </c>
      <c r="L51" s="25"/>
      <c r="N51" s="15" t="s">
        <v>172</v>
      </c>
      <c r="O51" s="4" t="s">
        <v>162</v>
      </c>
      <c r="P51" s="37" t="s">
        <v>25</v>
      </c>
    </row>
    <row r="52" spans="1:16">
      <c r="A52" s="14">
        <v>10151</v>
      </c>
      <c r="B52" s="14" t="s">
        <v>173</v>
      </c>
      <c r="C52" s="14" t="s">
        <v>18</v>
      </c>
      <c r="D52" s="4" t="s">
        <v>19</v>
      </c>
      <c r="E52" s="14">
        <v>101614</v>
      </c>
      <c r="F52" s="14">
        <v>10158701567</v>
      </c>
      <c r="G52" s="14">
        <v>442803400</v>
      </c>
      <c r="H52" s="28" t="s">
        <v>174</v>
      </c>
      <c r="I52" s="28" t="s">
        <v>175</v>
      </c>
      <c r="J52" s="3" t="s">
        <v>176</v>
      </c>
      <c r="K52" s="15" t="s">
        <v>173</v>
      </c>
      <c r="L52" s="25"/>
      <c r="N52" s="15" t="s">
        <v>177</v>
      </c>
      <c r="O52" s="4" t="s">
        <v>162</v>
      </c>
      <c r="P52" s="37" t="s">
        <v>25</v>
      </c>
    </row>
    <row r="53" spans="1:16">
      <c r="A53" s="14">
        <v>10152</v>
      </c>
      <c r="B53" s="14" t="s">
        <v>178</v>
      </c>
      <c r="C53" s="14" t="s">
        <v>18</v>
      </c>
      <c r="D53" s="4" t="s">
        <v>19</v>
      </c>
      <c r="E53" s="14">
        <v>100390</v>
      </c>
      <c r="F53" s="14">
        <v>9010086093</v>
      </c>
      <c r="G53" s="14">
        <v>427517046</v>
      </c>
      <c r="H53" s="28" t="s">
        <v>179</v>
      </c>
      <c r="I53" s="28" t="s">
        <v>180</v>
      </c>
      <c r="J53" s="3" t="s">
        <v>181</v>
      </c>
      <c r="K53" s="15" t="s">
        <v>178</v>
      </c>
      <c r="L53" s="25"/>
      <c r="N53" s="15" t="s">
        <v>182</v>
      </c>
      <c r="O53" s="4" t="s">
        <v>162</v>
      </c>
      <c r="P53" s="37" t="s">
        <v>25</v>
      </c>
    </row>
    <row r="54" spans="1:16">
      <c r="A54" s="14">
        <v>10153</v>
      </c>
      <c r="B54" s="14" t="s">
        <v>183</v>
      </c>
      <c r="C54" s="14" t="s">
        <v>18</v>
      </c>
      <c r="D54" s="4" t="s">
        <v>19</v>
      </c>
      <c r="E54" s="14">
        <v>100420</v>
      </c>
      <c r="F54" s="14">
        <v>9010099620</v>
      </c>
      <c r="G54" s="14">
        <v>427517076</v>
      </c>
      <c r="H54" s="28" t="s">
        <v>184</v>
      </c>
      <c r="I54" s="28" t="s">
        <v>185</v>
      </c>
      <c r="J54" s="3" t="s">
        <v>186</v>
      </c>
      <c r="K54" s="15" t="s">
        <v>183</v>
      </c>
      <c r="L54" s="25"/>
      <c r="N54" s="15" t="s">
        <v>187</v>
      </c>
      <c r="O54" s="4" t="s">
        <v>188</v>
      </c>
      <c r="P54" s="37" t="s">
        <v>25</v>
      </c>
    </row>
    <row r="55" spans="1:16">
      <c r="A55" s="14">
        <v>10154</v>
      </c>
      <c r="B55" s="14"/>
      <c r="C55" s="40" t="s">
        <v>18</v>
      </c>
      <c r="E55" s="14"/>
      <c r="F55" s="14"/>
      <c r="G55" s="14"/>
      <c r="H55" s="28"/>
      <c r="I55" s="28"/>
      <c r="L55" s="25"/>
    </row>
    <row r="56" spans="1:16">
      <c r="A56" s="14">
        <v>10155</v>
      </c>
      <c r="B56" s="14"/>
      <c r="C56" s="40" t="s">
        <v>18</v>
      </c>
      <c r="E56" s="14"/>
      <c r="F56" s="14"/>
      <c r="G56" s="14"/>
      <c r="H56" s="28"/>
      <c r="I56" s="28"/>
      <c r="L56" s="25"/>
    </row>
    <row r="57" spans="1:16">
      <c r="A57" s="14">
        <v>10156</v>
      </c>
      <c r="B57" s="14"/>
      <c r="C57" s="40" t="s">
        <v>18</v>
      </c>
      <c r="E57" s="14"/>
      <c r="F57" s="14"/>
      <c r="G57" s="14"/>
      <c r="H57" s="28"/>
      <c r="I57" s="28"/>
      <c r="L57" s="25"/>
    </row>
    <row r="58" spans="1:16">
      <c r="A58" s="14">
        <v>10157</v>
      </c>
      <c r="B58" s="14"/>
      <c r="C58" s="40" t="s">
        <v>18</v>
      </c>
      <c r="E58" s="14"/>
      <c r="F58" s="14"/>
      <c r="G58" s="14"/>
      <c r="H58" s="28"/>
      <c r="I58" s="28"/>
      <c r="L58" s="25"/>
    </row>
    <row r="59" spans="1:16">
      <c r="A59" s="14">
        <v>10158</v>
      </c>
      <c r="B59" s="14" t="s">
        <v>189</v>
      </c>
      <c r="C59" s="14" t="s">
        <v>18</v>
      </c>
      <c r="D59" s="4" t="s">
        <v>19</v>
      </c>
      <c r="E59" s="14">
        <v>109769</v>
      </c>
      <c r="F59" s="14">
        <v>14580964229</v>
      </c>
      <c r="G59" s="14">
        <v>499315351</v>
      </c>
      <c r="H59" s="28" t="s">
        <v>190</v>
      </c>
      <c r="I59" s="28" t="s">
        <v>191</v>
      </c>
      <c r="J59" s="3" t="s">
        <v>192</v>
      </c>
      <c r="K59" s="15" t="s">
        <v>189</v>
      </c>
      <c r="L59" s="25"/>
      <c r="N59" s="15" t="s">
        <v>193</v>
      </c>
      <c r="O59" s="4" t="s">
        <v>188</v>
      </c>
      <c r="P59" s="37" t="s">
        <v>25</v>
      </c>
    </row>
    <row r="60" spans="1:16">
      <c r="A60" s="14">
        <v>10159</v>
      </c>
      <c r="B60" s="14" t="s">
        <v>194</v>
      </c>
      <c r="C60" s="14" t="s">
        <v>18</v>
      </c>
      <c r="D60" s="4" t="s">
        <v>19</v>
      </c>
      <c r="E60" s="14">
        <v>109728</v>
      </c>
      <c r="F60" s="14">
        <v>14568761564</v>
      </c>
      <c r="G60" s="14">
        <v>499197895</v>
      </c>
      <c r="H60" s="28" t="s">
        <v>195</v>
      </c>
      <c r="I60" s="28" t="s">
        <v>196</v>
      </c>
      <c r="J60" s="3" t="s">
        <v>197</v>
      </c>
      <c r="K60" s="15" t="s">
        <v>194</v>
      </c>
      <c r="L60" s="25"/>
      <c r="N60" s="15" t="s">
        <v>198</v>
      </c>
      <c r="O60" s="4" t="s">
        <v>188</v>
      </c>
      <c r="P60" s="37" t="s">
        <v>25</v>
      </c>
    </row>
    <row r="61" spans="1:16">
      <c r="A61" s="14">
        <v>10160</v>
      </c>
      <c r="B61" s="14" t="s">
        <v>199</v>
      </c>
      <c r="C61" s="14" t="s">
        <v>18</v>
      </c>
      <c r="D61" s="4" t="s">
        <v>19</v>
      </c>
      <c r="E61" s="14">
        <v>109784</v>
      </c>
      <c r="F61" s="14">
        <v>14580986141</v>
      </c>
      <c r="G61" s="14">
        <v>499315294</v>
      </c>
      <c r="H61" s="28" t="s">
        <v>200</v>
      </c>
      <c r="I61" s="28" t="s">
        <v>201</v>
      </c>
      <c r="J61" s="3" t="s">
        <v>202</v>
      </c>
      <c r="K61" s="15" t="s">
        <v>199</v>
      </c>
      <c r="L61" s="25"/>
      <c r="N61" s="15" t="s">
        <v>203</v>
      </c>
      <c r="O61" s="4" t="s">
        <v>188</v>
      </c>
      <c r="P61" s="37" t="s">
        <v>25</v>
      </c>
    </row>
    <row r="62" spans="1:16">
      <c r="A62" s="14">
        <v>10161</v>
      </c>
      <c r="B62" s="14" t="s">
        <v>204</v>
      </c>
      <c r="C62" s="14" t="s">
        <v>18</v>
      </c>
      <c r="D62" s="4" t="s">
        <v>19</v>
      </c>
      <c r="E62" s="14">
        <v>109775</v>
      </c>
      <c r="F62" s="14">
        <v>14580971546</v>
      </c>
      <c r="G62" s="14">
        <v>499315291</v>
      </c>
      <c r="H62" s="28" t="s">
        <v>205</v>
      </c>
      <c r="I62" s="28" t="s">
        <v>206</v>
      </c>
      <c r="J62" s="3" t="s">
        <v>207</v>
      </c>
      <c r="K62" s="15" t="s">
        <v>204</v>
      </c>
      <c r="L62" s="25"/>
      <c r="N62" s="15" t="s">
        <v>208</v>
      </c>
      <c r="O62" s="4" t="s">
        <v>188</v>
      </c>
      <c r="P62" s="37" t="s">
        <v>25</v>
      </c>
    </row>
    <row r="63" spans="1:16">
      <c r="A63" s="14">
        <v>10162</v>
      </c>
      <c r="B63" s="14" t="s">
        <v>209</v>
      </c>
      <c r="C63" s="14" t="s">
        <v>18</v>
      </c>
      <c r="D63" s="4" t="s">
        <v>19</v>
      </c>
      <c r="E63" s="14">
        <v>110732</v>
      </c>
      <c r="F63" s="14">
        <v>15270911490</v>
      </c>
      <c r="G63" s="14">
        <v>508375947</v>
      </c>
      <c r="H63" s="28" t="s">
        <v>210</v>
      </c>
      <c r="I63" s="28" t="s">
        <v>211</v>
      </c>
      <c r="J63" s="3" t="s">
        <v>212</v>
      </c>
      <c r="K63" s="15" t="s">
        <v>209</v>
      </c>
      <c r="L63" s="25"/>
      <c r="N63" s="15" t="s">
        <v>213</v>
      </c>
      <c r="O63" s="4" t="s">
        <v>188</v>
      </c>
      <c r="P63" s="37" t="s">
        <v>25</v>
      </c>
    </row>
    <row r="64" spans="1:16">
      <c r="A64" s="14">
        <v>10163</v>
      </c>
      <c r="B64" s="14" t="s">
        <v>214</v>
      </c>
      <c r="C64" s="14" t="s">
        <v>18</v>
      </c>
      <c r="D64" s="4" t="s">
        <v>19</v>
      </c>
      <c r="E64" s="14">
        <v>109772</v>
      </c>
      <c r="F64" s="14">
        <v>14580968031</v>
      </c>
      <c r="G64" s="14">
        <v>499315400</v>
      </c>
      <c r="H64" s="28" t="s">
        <v>215</v>
      </c>
      <c r="I64" s="28" t="s">
        <v>216</v>
      </c>
      <c r="J64" s="3" t="s">
        <v>217</v>
      </c>
      <c r="K64" s="15" t="s">
        <v>214</v>
      </c>
      <c r="L64" s="25"/>
      <c r="N64" s="15" t="s">
        <v>218</v>
      </c>
      <c r="O64" s="4" t="s">
        <v>188</v>
      </c>
      <c r="P64" s="37" t="s">
        <v>25</v>
      </c>
    </row>
    <row r="65" spans="1:16">
      <c r="A65" s="14">
        <v>10164</v>
      </c>
      <c r="B65" s="14">
        <v>90210</v>
      </c>
      <c r="C65" s="14" t="s">
        <v>18</v>
      </c>
      <c r="D65" s="4" t="s">
        <v>19</v>
      </c>
      <c r="E65" s="14">
        <v>109748</v>
      </c>
      <c r="F65" s="14">
        <v>14580607525</v>
      </c>
      <c r="G65" s="14">
        <v>499315349</v>
      </c>
      <c r="H65" s="28">
        <v>90210</v>
      </c>
      <c r="I65" s="28" t="s">
        <v>219</v>
      </c>
      <c r="J65" s="3" t="s">
        <v>220</v>
      </c>
      <c r="K65" s="15" t="s">
        <v>221</v>
      </c>
      <c r="L65" s="25"/>
      <c r="N65" s="15" t="s">
        <v>222</v>
      </c>
      <c r="O65" s="4" t="s">
        <v>188</v>
      </c>
      <c r="P65" s="37" t="s">
        <v>25</v>
      </c>
    </row>
    <row r="66" spans="1:16">
      <c r="A66" s="14">
        <v>10165</v>
      </c>
      <c r="B66" s="14"/>
      <c r="C66" s="14" t="s">
        <v>18</v>
      </c>
      <c r="E66" s="14"/>
      <c r="F66" s="14"/>
      <c r="G66" s="14"/>
      <c r="H66" s="28"/>
      <c r="I66" s="28"/>
      <c r="L66" s="25"/>
    </row>
    <row r="67" spans="1:16">
      <c r="A67" s="14">
        <v>10166</v>
      </c>
      <c r="B67" s="14"/>
      <c r="C67" s="40" t="s">
        <v>18</v>
      </c>
      <c r="E67" s="14"/>
      <c r="F67" s="14"/>
      <c r="G67" s="14"/>
      <c r="H67" s="28"/>
      <c r="I67" s="28"/>
      <c r="L67" s="25"/>
    </row>
    <row r="68" spans="1:16">
      <c r="A68" s="14">
        <v>10167</v>
      </c>
      <c r="B68" s="14"/>
      <c r="C68" s="40" t="s">
        <v>18</v>
      </c>
      <c r="E68" s="14"/>
      <c r="F68" s="14"/>
      <c r="G68" s="14"/>
      <c r="H68" s="28"/>
      <c r="I68" s="28"/>
      <c r="L68" s="25"/>
    </row>
    <row r="69" spans="1:16">
      <c r="A69" s="14">
        <v>10168</v>
      </c>
      <c r="B69" s="14"/>
      <c r="C69" s="40" t="s">
        <v>18</v>
      </c>
      <c r="E69" s="14"/>
      <c r="F69" s="14"/>
      <c r="G69" s="14"/>
      <c r="H69" s="28"/>
      <c r="I69" s="28"/>
      <c r="L69" s="25"/>
    </row>
    <row r="70" spans="1:16">
      <c r="A70" s="14">
        <v>10169</v>
      </c>
      <c r="B70" s="14"/>
      <c r="C70" s="40" t="s">
        <v>18</v>
      </c>
      <c r="E70" s="14"/>
      <c r="F70" s="14"/>
      <c r="G70" s="14"/>
      <c r="H70" s="28"/>
      <c r="I70" s="28"/>
      <c r="L70" s="25"/>
    </row>
    <row r="71" spans="1:16">
      <c r="A71" s="14">
        <v>10170</v>
      </c>
      <c r="B71" s="14"/>
      <c r="C71" s="40" t="s">
        <v>18</v>
      </c>
      <c r="E71" s="14"/>
      <c r="F71" s="14"/>
      <c r="G71" s="14"/>
      <c r="H71" s="28"/>
      <c r="I71" s="28"/>
      <c r="L71" s="25"/>
    </row>
    <row r="72" spans="1:16">
      <c r="A72" s="14">
        <v>10171</v>
      </c>
      <c r="B72" s="14" t="s">
        <v>223</v>
      </c>
      <c r="C72" s="14" t="s">
        <v>18</v>
      </c>
      <c r="D72" s="4" t="s">
        <v>19</v>
      </c>
      <c r="E72" s="14">
        <v>109762</v>
      </c>
      <c r="F72" s="14">
        <v>14580957845</v>
      </c>
      <c r="G72" s="14">
        <v>499315399</v>
      </c>
      <c r="H72" s="28" t="s">
        <v>224</v>
      </c>
      <c r="I72" s="28" t="s">
        <v>225</v>
      </c>
      <c r="J72" s="3" t="s">
        <v>226</v>
      </c>
      <c r="K72" s="15" t="s">
        <v>223</v>
      </c>
      <c r="L72" s="25"/>
      <c r="N72" s="15" t="s">
        <v>227</v>
      </c>
      <c r="O72" s="4" t="s">
        <v>188</v>
      </c>
      <c r="P72" s="37" t="s">
        <v>25</v>
      </c>
    </row>
    <row r="73" spans="1:16">
      <c r="A73" s="14">
        <v>10172</v>
      </c>
      <c r="B73" s="14" t="s">
        <v>228</v>
      </c>
      <c r="C73" s="14" t="s">
        <v>18</v>
      </c>
      <c r="D73" s="4" t="s">
        <v>19</v>
      </c>
      <c r="E73" s="14">
        <v>109779</v>
      </c>
      <c r="F73" s="14">
        <v>14580986136</v>
      </c>
      <c r="G73" s="14">
        <v>499315365</v>
      </c>
      <c r="H73" s="28" t="s">
        <v>229</v>
      </c>
      <c r="I73" s="28" t="s">
        <v>230</v>
      </c>
      <c r="J73" s="3" t="s">
        <v>231</v>
      </c>
      <c r="K73" s="15" t="s">
        <v>228</v>
      </c>
      <c r="L73" s="25"/>
      <c r="N73" s="15" t="s">
        <v>232</v>
      </c>
      <c r="O73" s="4" t="s">
        <v>188</v>
      </c>
      <c r="P73" s="37" t="s">
        <v>25</v>
      </c>
    </row>
    <row r="74" spans="1:16">
      <c r="A74" s="14">
        <v>10173</v>
      </c>
      <c r="B74" s="14" t="s">
        <v>233</v>
      </c>
      <c r="C74" s="14" t="s">
        <v>18</v>
      </c>
      <c r="D74" s="4" t="s">
        <v>19</v>
      </c>
      <c r="E74" s="14">
        <v>109763</v>
      </c>
      <c r="F74" s="14">
        <v>14580960427</v>
      </c>
      <c r="G74" s="14">
        <v>499315290</v>
      </c>
      <c r="H74" s="28" t="s">
        <v>234</v>
      </c>
      <c r="I74" s="28" t="s">
        <v>235</v>
      </c>
      <c r="J74" s="3" t="s">
        <v>236</v>
      </c>
      <c r="K74" s="15" t="s">
        <v>233</v>
      </c>
      <c r="L74" s="25"/>
      <c r="N74" s="15" t="s">
        <v>237</v>
      </c>
      <c r="O74" s="4" t="s">
        <v>188</v>
      </c>
      <c r="P74" s="37" t="s">
        <v>25</v>
      </c>
    </row>
    <row r="75" spans="1:16">
      <c r="A75" s="14">
        <v>10174</v>
      </c>
      <c r="B75" s="14" t="s">
        <v>238</v>
      </c>
      <c r="C75" s="14" t="s">
        <v>18</v>
      </c>
      <c r="D75" s="4" t="s">
        <v>19</v>
      </c>
      <c r="E75" s="14">
        <v>100377</v>
      </c>
      <c r="F75" s="14">
        <v>9010083016</v>
      </c>
      <c r="G75" s="14">
        <v>427517075</v>
      </c>
      <c r="H75" s="28" t="s">
        <v>239</v>
      </c>
      <c r="I75" s="28" t="s">
        <v>240</v>
      </c>
      <c r="J75" s="3" t="s">
        <v>241</v>
      </c>
      <c r="K75" s="15" t="s">
        <v>238</v>
      </c>
      <c r="L75" s="25"/>
      <c r="N75" s="15" t="s">
        <v>242</v>
      </c>
      <c r="O75" s="4" t="s">
        <v>188</v>
      </c>
      <c r="P75" s="37" t="s">
        <v>25</v>
      </c>
    </row>
    <row r="76" spans="1:16">
      <c r="A76" s="14">
        <v>10175</v>
      </c>
      <c r="B76" s="14" t="s">
        <v>243</v>
      </c>
      <c r="C76" s="14" t="s">
        <v>18</v>
      </c>
      <c r="D76" s="4" t="s">
        <v>19</v>
      </c>
      <c r="E76" s="14">
        <v>109751</v>
      </c>
      <c r="F76" s="14">
        <v>14580912646</v>
      </c>
      <c r="G76" s="14">
        <v>499315286</v>
      </c>
      <c r="H76" s="28" t="s">
        <v>244</v>
      </c>
      <c r="I76" s="28" t="s">
        <v>245</v>
      </c>
      <c r="J76" s="3" t="s">
        <v>246</v>
      </c>
      <c r="K76" s="15" t="s">
        <v>243</v>
      </c>
      <c r="L76" s="25"/>
      <c r="N76" s="15" t="s">
        <v>247</v>
      </c>
      <c r="O76" s="4" t="s">
        <v>188</v>
      </c>
      <c r="P76" s="37" t="s">
        <v>25</v>
      </c>
    </row>
    <row r="77" spans="1:16">
      <c r="A77" s="14">
        <v>10176</v>
      </c>
      <c r="B77" s="14" t="s">
        <v>248</v>
      </c>
      <c r="C77" s="14" t="s">
        <v>18</v>
      </c>
      <c r="D77" s="4" t="s">
        <v>19</v>
      </c>
      <c r="E77" s="14">
        <v>109781</v>
      </c>
      <c r="F77" s="14">
        <v>14580986138</v>
      </c>
      <c r="G77" s="14">
        <v>499315357</v>
      </c>
      <c r="H77" s="28" t="s">
        <v>249</v>
      </c>
      <c r="I77" s="28" t="s">
        <v>250</v>
      </c>
      <c r="J77" s="3" t="s">
        <v>251</v>
      </c>
      <c r="K77" s="15" t="s">
        <v>248</v>
      </c>
      <c r="L77" s="25"/>
      <c r="N77" s="15" t="s">
        <v>252</v>
      </c>
      <c r="O77" s="4" t="s">
        <v>188</v>
      </c>
      <c r="P77" s="37" t="s">
        <v>25</v>
      </c>
    </row>
    <row r="78" spans="1:16">
      <c r="A78" s="14">
        <v>10177</v>
      </c>
      <c r="B78" s="14" t="s">
        <v>253</v>
      </c>
      <c r="C78" s="14" t="s">
        <v>18</v>
      </c>
      <c r="D78" s="4" t="s">
        <v>19</v>
      </c>
      <c r="E78" s="14">
        <v>109764</v>
      </c>
      <c r="F78" s="14">
        <v>14580960428</v>
      </c>
      <c r="G78" s="14">
        <v>499315296</v>
      </c>
      <c r="H78" s="28" t="s">
        <v>254</v>
      </c>
      <c r="I78" s="28" t="s">
        <v>255</v>
      </c>
      <c r="J78" s="3" t="s">
        <v>256</v>
      </c>
      <c r="K78" s="15" t="s">
        <v>253</v>
      </c>
      <c r="L78" s="25"/>
      <c r="N78" s="15" t="s">
        <v>257</v>
      </c>
      <c r="O78" s="4" t="s">
        <v>188</v>
      </c>
      <c r="P78" s="37" t="s">
        <v>25</v>
      </c>
    </row>
    <row r="79" spans="1:16">
      <c r="A79" s="14">
        <v>10178</v>
      </c>
      <c r="B79" s="14"/>
      <c r="C79" s="40" t="s">
        <v>18</v>
      </c>
      <c r="E79" s="14"/>
      <c r="F79" s="14"/>
      <c r="G79" s="14"/>
      <c r="H79" s="28"/>
      <c r="I79" s="28"/>
      <c r="L79" s="25"/>
    </row>
    <row r="80" spans="1:16">
      <c r="A80" s="14">
        <v>10179</v>
      </c>
      <c r="B80" s="14"/>
      <c r="C80" s="40" t="s">
        <v>18</v>
      </c>
      <c r="E80" s="14"/>
      <c r="F80" s="14"/>
      <c r="G80" s="14"/>
      <c r="H80" s="28"/>
      <c r="I80" s="28"/>
      <c r="L80" s="25"/>
    </row>
    <row r="81" spans="1:16">
      <c r="A81" s="14">
        <v>10180</v>
      </c>
      <c r="B81" s="14" t="s">
        <v>258</v>
      </c>
      <c r="C81" s="14" t="s">
        <v>18</v>
      </c>
      <c r="D81" s="4" t="s">
        <v>19</v>
      </c>
      <c r="E81" s="14">
        <v>100423</v>
      </c>
      <c r="F81" s="14">
        <v>9010100026</v>
      </c>
      <c r="G81" s="14">
        <v>427517020</v>
      </c>
      <c r="H81" s="28" t="s">
        <v>259</v>
      </c>
      <c r="I81" s="28" t="s">
        <v>260</v>
      </c>
      <c r="J81" s="3" t="s">
        <v>261</v>
      </c>
      <c r="K81" s="15" t="s">
        <v>258</v>
      </c>
      <c r="L81" s="25"/>
      <c r="N81" s="15" t="s">
        <v>262</v>
      </c>
      <c r="O81" s="4" t="s">
        <v>24</v>
      </c>
      <c r="P81" s="37" t="s">
        <v>25</v>
      </c>
    </row>
    <row r="82" spans="1:16">
      <c r="A82" s="14">
        <v>10181</v>
      </c>
      <c r="B82" s="14" t="s">
        <v>263</v>
      </c>
      <c r="C82" s="14" t="s">
        <v>18</v>
      </c>
      <c r="D82" s="4" t="s">
        <v>19</v>
      </c>
      <c r="E82" s="14">
        <v>109782</v>
      </c>
      <c r="F82" s="14">
        <v>14580986139</v>
      </c>
      <c r="G82" s="14">
        <v>499315380</v>
      </c>
      <c r="H82" s="28" t="s">
        <v>264</v>
      </c>
      <c r="I82" s="28" t="s">
        <v>265</v>
      </c>
      <c r="J82" s="3" t="s">
        <v>266</v>
      </c>
      <c r="K82" s="15" t="s">
        <v>263</v>
      </c>
      <c r="L82" s="25"/>
      <c r="N82" s="15" t="s">
        <v>267</v>
      </c>
      <c r="O82" s="4" t="s">
        <v>268</v>
      </c>
      <c r="P82" s="37" t="s">
        <v>25</v>
      </c>
    </row>
    <row r="83" spans="1:16">
      <c r="A83" s="14">
        <v>10182</v>
      </c>
      <c r="B83" s="14" t="s">
        <v>269</v>
      </c>
      <c r="C83" s="14" t="s">
        <v>18</v>
      </c>
      <c r="D83" s="4" t="s">
        <v>19</v>
      </c>
      <c r="E83" s="14">
        <v>109729</v>
      </c>
      <c r="F83" s="14">
        <v>14568769872</v>
      </c>
      <c r="G83" s="14">
        <v>499197894</v>
      </c>
      <c r="H83" s="28" t="s">
        <v>270</v>
      </c>
      <c r="I83" s="28" t="s">
        <v>271</v>
      </c>
      <c r="J83" s="3" t="s">
        <v>272</v>
      </c>
      <c r="K83" s="15" t="s">
        <v>269</v>
      </c>
      <c r="L83" s="25"/>
      <c r="N83" s="15" t="s">
        <v>273</v>
      </c>
      <c r="O83" s="4" t="s">
        <v>268</v>
      </c>
      <c r="P83" s="37" t="s">
        <v>25</v>
      </c>
    </row>
    <row r="84" spans="1:16">
      <c r="A84" s="14">
        <v>10183</v>
      </c>
      <c r="B84" s="14" t="s">
        <v>274</v>
      </c>
      <c r="C84" s="14" t="s">
        <v>18</v>
      </c>
      <c r="D84" s="4" t="s">
        <v>19</v>
      </c>
      <c r="E84" s="14">
        <v>109766</v>
      </c>
      <c r="F84" s="14">
        <v>14580961176</v>
      </c>
      <c r="G84" s="14">
        <v>499315359</v>
      </c>
      <c r="H84" s="28" t="s">
        <v>275</v>
      </c>
      <c r="I84" s="28" t="s">
        <v>276</v>
      </c>
      <c r="J84" s="3" t="s">
        <v>277</v>
      </c>
      <c r="K84" s="15" t="s">
        <v>274</v>
      </c>
      <c r="L84" s="25"/>
      <c r="N84" s="15" t="s">
        <v>278</v>
      </c>
      <c r="O84" s="4" t="s">
        <v>268</v>
      </c>
      <c r="P84" s="37" t="s">
        <v>25</v>
      </c>
    </row>
    <row r="85" spans="1:16">
      <c r="A85" s="14">
        <v>10184</v>
      </c>
      <c r="B85" s="14" t="s">
        <v>279</v>
      </c>
      <c r="C85" s="14" t="s">
        <v>18</v>
      </c>
      <c r="D85" s="4" t="s">
        <v>19</v>
      </c>
      <c r="E85" s="14">
        <v>101634</v>
      </c>
      <c r="F85" s="14">
        <v>10158885696</v>
      </c>
      <c r="G85" s="14">
        <v>442803409</v>
      </c>
      <c r="H85" s="28" t="s">
        <v>280</v>
      </c>
      <c r="I85" s="28" t="s">
        <v>281</v>
      </c>
      <c r="J85" s="3" t="s">
        <v>282</v>
      </c>
      <c r="K85" s="15" t="s">
        <v>279</v>
      </c>
      <c r="L85" s="25"/>
      <c r="N85" s="15" t="s">
        <v>283</v>
      </c>
      <c r="O85" s="4" t="s">
        <v>268</v>
      </c>
      <c r="P85" s="37" t="s">
        <v>25</v>
      </c>
    </row>
    <row r="86" spans="1:16">
      <c r="A86" s="14">
        <v>10185</v>
      </c>
      <c r="B86" s="14" t="s">
        <v>284</v>
      </c>
      <c r="C86" s="14" t="s">
        <v>18</v>
      </c>
      <c r="D86" s="4" t="s">
        <v>19</v>
      </c>
      <c r="E86" s="14">
        <v>101611</v>
      </c>
      <c r="F86" s="14">
        <v>10158686757</v>
      </c>
      <c r="G86" s="14">
        <v>442803414</v>
      </c>
      <c r="H86" s="28" t="s">
        <v>285</v>
      </c>
      <c r="I86" s="28" t="s">
        <v>286</v>
      </c>
      <c r="J86" s="3" t="s">
        <v>287</v>
      </c>
      <c r="K86" s="15" t="s">
        <v>284</v>
      </c>
      <c r="L86" s="25"/>
      <c r="N86" s="15" t="s">
        <v>288</v>
      </c>
      <c r="O86" s="4" t="s">
        <v>268</v>
      </c>
      <c r="P86" s="37" t="s">
        <v>25</v>
      </c>
    </row>
    <row r="87" spans="1:16">
      <c r="A87" s="14">
        <v>10186</v>
      </c>
      <c r="B87" s="14" t="s">
        <v>289</v>
      </c>
      <c r="C87" s="14" t="s">
        <v>18</v>
      </c>
      <c r="D87" s="4" t="s">
        <v>19</v>
      </c>
      <c r="E87" s="14">
        <v>101612</v>
      </c>
      <c r="F87" s="14">
        <v>10158687900</v>
      </c>
      <c r="G87" s="14">
        <v>442803420</v>
      </c>
      <c r="H87" s="28" t="s">
        <v>290</v>
      </c>
      <c r="I87" s="28" t="s">
        <v>291</v>
      </c>
      <c r="J87" s="3" t="s">
        <v>289</v>
      </c>
      <c r="K87" s="15" t="s">
        <v>289</v>
      </c>
      <c r="L87" s="25"/>
      <c r="N87" s="15" t="s">
        <v>292</v>
      </c>
      <c r="O87" s="4" t="s">
        <v>293</v>
      </c>
      <c r="P87" s="37" t="s">
        <v>25</v>
      </c>
    </row>
    <row r="88" spans="1:16">
      <c r="A88" s="14">
        <v>10187</v>
      </c>
      <c r="B88" s="14" t="s">
        <v>294</v>
      </c>
      <c r="C88" s="14" t="s">
        <v>18</v>
      </c>
      <c r="D88" s="4" t="s">
        <v>19</v>
      </c>
      <c r="E88" s="14">
        <v>109755</v>
      </c>
      <c r="F88" s="14">
        <v>14580950297</v>
      </c>
      <c r="G88" s="14">
        <v>499315352</v>
      </c>
      <c r="H88" s="28" t="s">
        <v>295</v>
      </c>
      <c r="I88" s="28" t="s">
        <v>296</v>
      </c>
      <c r="J88" s="3" t="s">
        <v>297</v>
      </c>
      <c r="K88" s="15" t="s">
        <v>294</v>
      </c>
      <c r="L88" s="25"/>
      <c r="N88" s="15" t="s">
        <v>298</v>
      </c>
      <c r="O88" s="4" t="s">
        <v>299</v>
      </c>
      <c r="P88" s="37" t="s">
        <v>25</v>
      </c>
    </row>
    <row r="89" spans="1:16">
      <c r="A89" s="14">
        <v>10188</v>
      </c>
      <c r="B89" s="14"/>
      <c r="C89" s="40" t="s">
        <v>18</v>
      </c>
      <c r="E89" s="14"/>
      <c r="F89" s="14"/>
      <c r="G89" s="14"/>
      <c r="H89" s="28"/>
      <c r="I89" s="28"/>
      <c r="L89" s="25"/>
      <c r="O89" s="4"/>
    </row>
    <row r="90" spans="1:16">
      <c r="A90" s="14">
        <v>10189</v>
      </c>
      <c r="B90" s="14" t="s">
        <v>300</v>
      </c>
      <c r="C90" s="14" t="s">
        <v>18</v>
      </c>
      <c r="D90" s="4" t="s">
        <v>19</v>
      </c>
      <c r="E90" s="14">
        <v>101615</v>
      </c>
      <c r="F90" s="14">
        <v>10158702650</v>
      </c>
      <c r="G90" s="14">
        <v>442803403</v>
      </c>
      <c r="H90" s="28" t="s">
        <v>301</v>
      </c>
      <c r="I90" s="28" t="s">
        <v>302</v>
      </c>
      <c r="J90" s="3" t="s">
        <v>303</v>
      </c>
      <c r="K90" s="15" t="s">
        <v>300</v>
      </c>
      <c r="L90" s="25"/>
      <c r="N90" s="15" t="s">
        <v>304</v>
      </c>
      <c r="O90" s="4" t="s">
        <v>299</v>
      </c>
      <c r="P90" s="37" t="s">
        <v>25</v>
      </c>
    </row>
    <row r="91" spans="1:16">
      <c r="A91" s="14">
        <v>10190</v>
      </c>
      <c r="B91" s="14" t="s">
        <v>305</v>
      </c>
      <c r="C91" s="14" t="s">
        <v>18</v>
      </c>
      <c r="D91" s="4" t="s">
        <v>19</v>
      </c>
      <c r="E91" s="14">
        <v>100424</v>
      </c>
      <c r="F91" s="14">
        <v>9010100147</v>
      </c>
      <c r="G91" s="14">
        <v>427517051</v>
      </c>
      <c r="H91" s="28" t="s">
        <v>306</v>
      </c>
      <c r="I91" s="28" t="s">
        <v>307</v>
      </c>
      <c r="J91" s="3" t="s">
        <v>308</v>
      </c>
      <c r="K91" s="15" t="s">
        <v>305</v>
      </c>
      <c r="L91" s="25"/>
      <c r="N91" s="15" t="s">
        <v>309</v>
      </c>
      <c r="O91" s="4" t="s">
        <v>299</v>
      </c>
      <c r="P91" s="37" t="s">
        <v>25</v>
      </c>
    </row>
    <row r="92" spans="1:16">
      <c r="A92" s="14">
        <v>10191</v>
      </c>
      <c r="B92" s="14"/>
      <c r="C92" s="40" t="s">
        <v>18</v>
      </c>
      <c r="E92" s="14"/>
      <c r="F92" s="14"/>
      <c r="G92" s="14"/>
      <c r="H92" s="28"/>
      <c r="I92" s="28"/>
      <c r="L92" s="25"/>
      <c r="O92" s="4"/>
    </row>
    <row r="93" spans="1:16">
      <c r="A93" s="14">
        <v>10192</v>
      </c>
      <c r="B93" s="14" t="s">
        <v>310</v>
      </c>
      <c r="C93" s="14" t="s">
        <v>18</v>
      </c>
      <c r="D93" s="4" t="s">
        <v>19</v>
      </c>
      <c r="E93" s="14">
        <v>100428</v>
      </c>
      <c r="F93" s="14">
        <v>9010100430</v>
      </c>
      <c r="G93" s="14">
        <v>427517013</v>
      </c>
      <c r="H93" s="28" t="s">
        <v>311</v>
      </c>
      <c r="I93" s="28" t="s">
        <v>312</v>
      </c>
      <c r="J93" s="3" t="s">
        <v>313</v>
      </c>
      <c r="K93" s="15" t="s">
        <v>310</v>
      </c>
      <c r="L93" s="25"/>
      <c r="N93" s="15" t="s">
        <v>314</v>
      </c>
      <c r="O93" s="4" t="s">
        <v>299</v>
      </c>
      <c r="P93" s="37" t="s">
        <v>25</v>
      </c>
    </row>
    <row r="94" spans="1:16">
      <c r="A94" s="14">
        <v>10193</v>
      </c>
      <c r="B94" s="14"/>
      <c r="C94" s="40" t="s">
        <v>18</v>
      </c>
      <c r="E94" s="14"/>
      <c r="F94" s="14"/>
      <c r="G94" s="14"/>
      <c r="H94" s="28"/>
      <c r="I94" s="28"/>
      <c r="L94" s="25"/>
      <c r="O94" s="4"/>
    </row>
    <row r="95" spans="1:16">
      <c r="A95" s="14">
        <v>10194</v>
      </c>
      <c r="B95" s="14" t="s">
        <v>315</v>
      </c>
      <c r="C95" s="14" t="s">
        <v>18</v>
      </c>
      <c r="D95" s="4" t="s">
        <v>19</v>
      </c>
      <c r="E95" s="14">
        <v>100401</v>
      </c>
      <c r="F95" s="14">
        <v>9010089276</v>
      </c>
      <c r="G95" s="14">
        <v>427517011</v>
      </c>
      <c r="H95" s="28" t="s">
        <v>316</v>
      </c>
      <c r="I95" s="28" t="s">
        <v>317</v>
      </c>
      <c r="J95" s="3" t="s">
        <v>318</v>
      </c>
      <c r="K95" s="15" t="s">
        <v>315</v>
      </c>
      <c r="L95" s="25"/>
      <c r="N95" s="15" t="s">
        <v>319</v>
      </c>
      <c r="O95" s="4" t="s">
        <v>320</v>
      </c>
      <c r="P95" s="37" t="s">
        <v>25</v>
      </c>
    </row>
    <row r="96" spans="1:16">
      <c r="A96" s="14">
        <v>10195</v>
      </c>
      <c r="B96" s="14"/>
      <c r="C96" s="40" t="s">
        <v>18</v>
      </c>
      <c r="E96" s="14"/>
      <c r="F96" s="14"/>
      <c r="G96" s="14"/>
      <c r="H96" s="28"/>
      <c r="I96" s="28"/>
      <c r="L96" s="25"/>
      <c r="O96" s="4"/>
    </row>
    <row r="97" spans="1:16">
      <c r="A97" s="14">
        <v>10196</v>
      </c>
      <c r="B97" s="14"/>
      <c r="C97" s="40" t="s">
        <v>18</v>
      </c>
      <c r="E97" s="14"/>
      <c r="F97" s="14"/>
      <c r="G97" s="14"/>
      <c r="H97" s="28"/>
      <c r="I97" s="28"/>
      <c r="L97" s="25"/>
      <c r="O97" s="4"/>
    </row>
    <row r="98" spans="1:16">
      <c r="A98" s="14">
        <v>10197</v>
      </c>
      <c r="B98" s="14"/>
      <c r="C98" s="40" t="s">
        <v>18</v>
      </c>
      <c r="E98" s="14"/>
      <c r="F98" s="14"/>
      <c r="G98" s="14"/>
      <c r="H98" s="28"/>
      <c r="I98" s="28"/>
      <c r="L98" s="25"/>
      <c r="O98" s="4"/>
    </row>
    <row r="99" spans="1:16">
      <c r="A99" s="14">
        <v>10198</v>
      </c>
      <c r="B99" s="14" t="s">
        <v>321</v>
      </c>
      <c r="C99" s="14" t="s">
        <v>18</v>
      </c>
      <c r="D99" s="4" t="s">
        <v>19</v>
      </c>
      <c r="E99" s="14">
        <v>109776</v>
      </c>
      <c r="F99" s="14">
        <v>14580971547</v>
      </c>
      <c r="G99" s="14">
        <v>499315373</v>
      </c>
      <c r="H99" s="28" t="s">
        <v>322</v>
      </c>
      <c r="I99" s="28" t="s">
        <v>323</v>
      </c>
      <c r="J99" s="3" t="s">
        <v>324</v>
      </c>
      <c r="K99" s="15" t="s">
        <v>321</v>
      </c>
      <c r="L99" s="25"/>
      <c r="N99" s="15" t="s">
        <v>325</v>
      </c>
      <c r="O99" s="4" t="s">
        <v>326</v>
      </c>
      <c r="P99" s="37" t="s">
        <v>25</v>
      </c>
    </row>
    <row r="100" spans="1:16">
      <c r="A100" s="14">
        <v>10199</v>
      </c>
      <c r="B100" s="14" t="s">
        <v>327</v>
      </c>
      <c r="C100" s="14" t="s">
        <v>18</v>
      </c>
      <c r="D100" s="4" t="s">
        <v>19</v>
      </c>
      <c r="E100" s="14">
        <v>109778</v>
      </c>
      <c r="F100" s="14">
        <v>14580981344</v>
      </c>
      <c r="G100" s="14">
        <v>499315362</v>
      </c>
      <c r="H100" s="28" t="s">
        <v>328</v>
      </c>
      <c r="I100" s="28" t="s">
        <v>329</v>
      </c>
      <c r="J100" s="3" t="s">
        <v>330</v>
      </c>
      <c r="K100" s="15" t="s">
        <v>327</v>
      </c>
      <c r="L100" s="25"/>
      <c r="N100" s="15" t="s">
        <v>331</v>
      </c>
      <c r="O100" s="4" t="s">
        <v>326</v>
      </c>
      <c r="P100" s="37" t="s">
        <v>25</v>
      </c>
    </row>
    <row r="101" spans="1:16">
      <c r="A101" s="14">
        <v>10200</v>
      </c>
      <c r="B101" s="14" t="s">
        <v>332</v>
      </c>
      <c r="C101" s="14" t="s">
        <v>18</v>
      </c>
      <c r="D101" s="4" t="s">
        <v>19</v>
      </c>
      <c r="E101" s="14">
        <v>109780</v>
      </c>
      <c r="F101" s="14">
        <v>14580986137</v>
      </c>
      <c r="G101" s="14">
        <v>499315375</v>
      </c>
      <c r="H101" s="28" t="s">
        <v>333</v>
      </c>
      <c r="I101" s="28" t="s">
        <v>334</v>
      </c>
      <c r="J101" s="3" t="s">
        <v>335</v>
      </c>
      <c r="K101" s="15" t="s">
        <v>332</v>
      </c>
      <c r="L101" s="25"/>
      <c r="N101" s="15" t="s">
        <v>336</v>
      </c>
      <c r="O101" s="4" t="s">
        <v>326</v>
      </c>
      <c r="P101" s="37" t="s">
        <v>25</v>
      </c>
    </row>
    <row r="102" spans="1:16">
      <c r="A102" s="14">
        <v>10201</v>
      </c>
      <c r="B102" s="14" t="s">
        <v>337</v>
      </c>
      <c r="C102" s="14" t="s">
        <v>18</v>
      </c>
      <c r="D102" s="4" t="s">
        <v>19</v>
      </c>
      <c r="E102" s="14">
        <v>100392</v>
      </c>
      <c r="F102" s="14">
        <v>9010088290</v>
      </c>
      <c r="G102" s="14">
        <v>427517037</v>
      </c>
      <c r="H102" s="28" t="s">
        <v>338</v>
      </c>
      <c r="I102" s="28" t="s">
        <v>339</v>
      </c>
      <c r="J102" s="3" t="s">
        <v>340</v>
      </c>
      <c r="K102" s="15" t="s">
        <v>337</v>
      </c>
      <c r="L102" s="25"/>
      <c r="N102" s="15" t="s">
        <v>341</v>
      </c>
      <c r="O102" s="4" t="s">
        <v>342</v>
      </c>
      <c r="P102" s="37" t="s">
        <v>25</v>
      </c>
    </row>
    <row r="103" spans="1:16">
      <c r="A103" s="14">
        <v>10202</v>
      </c>
      <c r="B103" s="14" t="s">
        <v>343</v>
      </c>
      <c r="C103" s="14" t="s">
        <v>18</v>
      </c>
      <c r="D103" s="4" t="s">
        <v>19</v>
      </c>
      <c r="E103" s="14">
        <v>109765</v>
      </c>
      <c r="F103" s="14">
        <v>14580960618</v>
      </c>
      <c r="G103" s="14">
        <v>499315287</v>
      </c>
      <c r="H103" s="28" t="s">
        <v>344</v>
      </c>
      <c r="I103" s="28" t="s">
        <v>345</v>
      </c>
      <c r="J103" s="3" t="s">
        <v>346</v>
      </c>
      <c r="K103" s="15" t="s">
        <v>343</v>
      </c>
      <c r="L103" s="25"/>
      <c r="N103" s="15" t="s">
        <v>347</v>
      </c>
      <c r="O103" s="4" t="s">
        <v>342</v>
      </c>
      <c r="P103" s="37" t="s">
        <v>25</v>
      </c>
    </row>
    <row r="104" spans="1:16">
      <c r="A104" s="14">
        <v>10203</v>
      </c>
      <c r="B104" s="14" t="s">
        <v>348</v>
      </c>
      <c r="C104" s="14" t="s">
        <v>18</v>
      </c>
      <c r="D104" s="4" t="s">
        <v>19</v>
      </c>
      <c r="E104" s="14">
        <v>109777</v>
      </c>
      <c r="F104" s="14">
        <v>14580971548</v>
      </c>
      <c r="G104" s="14">
        <v>499315361</v>
      </c>
      <c r="H104" s="28" t="s">
        <v>349</v>
      </c>
      <c r="I104" s="28" t="s">
        <v>350</v>
      </c>
      <c r="J104" s="3" t="s">
        <v>351</v>
      </c>
      <c r="K104" s="15" t="s">
        <v>348</v>
      </c>
      <c r="L104" s="25"/>
      <c r="N104" s="15" t="s">
        <v>352</v>
      </c>
      <c r="O104" s="4" t="s">
        <v>342</v>
      </c>
      <c r="P104" s="37" t="s">
        <v>25</v>
      </c>
    </row>
    <row r="105" spans="1:16">
      <c r="A105" s="14">
        <v>10204</v>
      </c>
      <c r="B105" s="14"/>
      <c r="C105" s="40" t="s">
        <v>18</v>
      </c>
      <c r="E105" s="14"/>
      <c r="F105" s="14"/>
      <c r="G105" s="14"/>
      <c r="H105" s="28"/>
      <c r="I105" s="28"/>
      <c r="L105" s="25"/>
      <c r="O105" s="4"/>
    </row>
    <row r="106" spans="1:16">
      <c r="A106" s="14">
        <v>10205</v>
      </c>
      <c r="B106" s="14"/>
      <c r="C106" s="40" t="s">
        <v>18</v>
      </c>
      <c r="E106" s="14"/>
      <c r="F106" s="14"/>
      <c r="G106" s="14"/>
      <c r="H106" s="28"/>
      <c r="I106" s="28"/>
      <c r="L106" s="25"/>
      <c r="O106" s="4"/>
    </row>
    <row r="107" spans="1:16">
      <c r="A107" s="14">
        <v>10206</v>
      </c>
      <c r="B107" s="14"/>
      <c r="C107" s="40" t="s">
        <v>18</v>
      </c>
      <c r="E107" s="14"/>
      <c r="F107" s="14"/>
      <c r="G107" s="14"/>
      <c r="H107" s="28"/>
      <c r="I107" s="28"/>
      <c r="L107" s="25"/>
      <c r="O107" s="4"/>
    </row>
    <row r="108" spans="1:16">
      <c r="A108" s="14">
        <v>10207</v>
      </c>
      <c r="B108" s="14"/>
      <c r="C108" s="40" t="s">
        <v>18</v>
      </c>
      <c r="E108" s="14"/>
      <c r="F108" s="14"/>
      <c r="G108" s="14"/>
      <c r="H108" s="28"/>
      <c r="I108" s="28"/>
      <c r="L108" s="25"/>
      <c r="O108" s="4"/>
    </row>
    <row r="109" spans="1:16">
      <c r="A109" s="14">
        <v>10208</v>
      </c>
      <c r="B109" s="14"/>
      <c r="C109" s="40" t="s">
        <v>18</v>
      </c>
      <c r="E109" s="14"/>
      <c r="F109" s="14"/>
      <c r="G109" s="14"/>
      <c r="H109" s="28"/>
      <c r="I109" s="28"/>
      <c r="L109" s="25"/>
      <c r="O109" s="4"/>
    </row>
    <row r="110" spans="1:16">
      <c r="A110" s="14">
        <v>10209</v>
      </c>
      <c r="B110" s="14" t="s">
        <v>353</v>
      </c>
      <c r="C110" s="14" t="s">
        <v>18</v>
      </c>
      <c r="D110" s="4" t="s">
        <v>19</v>
      </c>
      <c r="E110" s="14">
        <v>100363</v>
      </c>
      <c r="F110" s="14">
        <v>9010076789</v>
      </c>
      <c r="G110" s="14">
        <v>427517049</v>
      </c>
      <c r="H110" s="28" t="s">
        <v>354</v>
      </c>
      <c r="I110" s="28" t="s">
        <v>355</v>
      </c>
      <c r="J110" s="3" t="s">
        <v>356</v>
      </c>
      <c r="K110" s="15" t="s">
        <v>353</v>
      </c>
      <c r="L110" s="25"/>
      <c r="N110" s="15" t="s">
        <v>357</v>
      </c>
      <c r="O110" s="4" t="s">
        <v>188</v>
      </c>
      <c r="P110" s="37" t="s">
        <v>25</v>
      </c>
    </row>
    <row r="111" spans="1:16">
      <c r="A111" s="14">
        <v>10210</v>
      </c>
      <c r="B111" s="14"/>
      <c r="C111" s="40" t="s">
        <v>18</v>
      </c>
      <c r="E111" s="14"/>
      <c r="F111" s="14"/>
      <c r="G111" s="14"/>
      <c r="H111" s="28"/>
      <c r="I111" s="28"/>
      <c r="L111" s="25"/>
      <c r="O111" s="4"/>
    </row>
    <row r="112" spans="1:16">
      <c r="A112" s="14">
        <v>10211</v>
      </c>
      <c r="B112" s="14"/>
      <c r="C112" s="40" t="s">
        <v>18</v>
      </c>
      <c r="E112" s="14"/>
      <c r="F112" s="14"/>
      <c r="G112" s="14"/>
      <c r="H112" s="28"/>
      <c r="I112" s="28"/>
      <c r="L112" s="25"/>
      <c r="O112" s="4"/>
    </row>
    <row r="113" spans="1:16">
      <c r="A113" s="14">
        <v>10212</v>
      </c>
      <c r="B113" s="14" t="s">
        <v>358</v>
      </c>
      <c r="C113" s="14" t="s">
        <v>18</v>
      </c>
      <c r="D113" s="4" t="s">
        <v>19</v>
      </c>
      <c r="E113" s="14">
        <v>100388</v>
      </c>
      <c r="F113" s="14">
        <v>9010085782</v>
      </c>
      <c r="G113" s="14">
        <v>427517033</v>
      </c>
      <c r="H113" s="28" t="s">
        <v>359</v>
      </c>
      <c r="I113" s="28" t="s">
        <v>360</v>
      </c>
      <c r="J113" s="3" t="s">
        <v>361</v>
      </c>
      <c r="K113" s="15" t="s">
        <v>358</v>
      </c>
      <c r="L113" s="25"/>
      <c r="N113" s="15" t="s">
        <v>362</v>
      </c>
      <c r="O113" s="4" t="s">
        <v>342</v>
      </c>
      <c r="P113" s="37" t="s">
        <v>25</v>
      </c>
    </row>
    <row r="114" spans="1:16">
      <c r="A114" s="14">
        <v>10213</v>
      </c>
      <c r="B114" s="14" t="s">
        <v>363</v>
      </c>
      <c r="C114" s="14" t="s">
        <v>18</v>
      </c>
      <c r="D114" s="4" t="s">
        <v>19</v>
      </c>
      <c r="E114" s="14">
        <v>100365</v>
      </c>
      <c r="F114" s="14">
        <v>9010077419</v>
      </c>
      <c r="G114" s="14">
        <v>427517010</v>
      </c>
      <c r="H114" s="28" t="s">
        <v>364</v>
      </c>
      <c r="I114" s="28" t="s">
        <v>365</v>
      </c>
      <c r="J114" s="3" t="s">
        <v>366</v>
      </c>
      <c r="K114" s="15" t="s">
        <v>363</v>
      </c>
      <c r="L114" s="25"/>
      <c r="N114" s="15" t="s">
        <v>367</v>
      </c>
      <c r="O114" s="4" t="s">
        <v>342</v>
      </c>
      <c r="P114" s="37" t="s">
        <v>25</v>
      </c>
    </row>
    <row r="115" spans="1:16">
      <c r="A115" s="14">
        <v>10214</v>
      </c>
      <c r="B115" s="14" t="s">
        <v>368</v>
      </c>
      <c r="C115" s="14" t="s">
        <v>18</v>
      </c>
      <c r="D115" s="4" t="s">
        <v>19</v>
      </c>
      <c r="E115" s="14">
        <v>109730</v>
      </c>
      <c r="F115" s="14">
        <v>14568774276</v>
      </c>
      <c r="G115" s="14">
        <v>499197896</v>
      </c>
      <c r="H115" s="28" t="s">
        <v>369</v>
      </c>
      <c r="I115" s="28" t="s">
        <v>370</v>
      </c>
      <c r="J115" s="3" t="s">
        <v>371</v>
      </c>
      <c r="K115" s="15" t="s">
        <v>368</v>
      </c>
      <c r="L115" s="25"/>
      <c r="N115" s="15" t="s">
        <v>372</v>
      </c>
      <c r="O115" s="4" t="s">
        <v>342</v>
      </c>
      <c r="P115" s="37" t="s">
        <v>25</v>
      </c>
    </row>
    <row r="116" spans="1:16">
      <c r="A116" s="14">
        <v>10215</v>
      </c>
      <c r="B116" s="14" t="s">
        <v>373</v>
      </c>
      <c r="C116" s="14" t="s">
        <v>18</v>
      </c>
      <c r="D116" s="4" t="s">
        <v>19</v>
      </c>
      <c r="E116" s="14">
        <v>109761</v>
      </c>
      <c r="F116" s="14">
        <v>14580957844</v>
      </c>
      <c r="G116" s="14">
        <v>499315353</v>
      </c>
      <c r="H116" s="28" t="s">
        <v>374</v>
      </c>
      <c r="I116" s="28" t="s">
        <v>375</v>
      </c>
      <c r="J116" s="3" t="s">
        <v>376</v>
      </c>
      <c r="K116" s="15" t="s">
        <v>373</v>
      </c>
      <c r="L116" s="25"/>
      <c r="N116" s="15" t="s">
        <v>377</v>
      </c>
      <c r="O116" s="4" t="s">
        <v>326</v>
      </c>
      <c r="P116" s="37" t="s">
        <v>25</v>
      </c>
    </row>
    <row r="117" spans="1:16">
      <c r="A117" s="14">
        <v>10216</v>
      </c>
      <c r="B117" s="14" t="s">
        <v>378</v>
      </c>
      <c r="C117" s="14" t="s">
        <v>18</v>
      </c>
      <c r="D117" s="4" t="s">
        <v>19</v>
      </c>
      <c r="E117" s="14">
        <v>109774</v>
      </c>
      <c r="F117" s="14">
        <v>14580970873</v>
      </c>
      <c r="G117" s="14">
        <v>499315285</v>
      </c>
      <c r="H117" s="28" t="s">
        <v>379</v>
      </c>
      <c r="I117" s="28" t="s">
        <v>380</v>
      </c>
      <c r="J117" s="3" t="s">
        <v>381</v>
      </c>
      <c r="K117" s="15" t="s">
        <v>378</v>
      </c>
      <c r="L117" s="25"/>
      <c r="N117" s="15" t="s">
        <v>382</v>
      </c>
      <c r="O117" s="4" t="s">
        <v>383</v>
      </c>
      <c r="P117" s="37" t="s">
        <v>25</v>
      </c>
    </row>
    <row r="118" spans="1:16">
      <c r="A118" s="14">
        <v>10217</v>
      </c>
      <c r="B118" s="14" t="s">
        <v>384</v>
      </c>
      <c r="C118" s="14" t="s">
        <v>18</v>
      </c>
      <c r="D118" s="4" t="s">
        <v>19</v>
      </c>
      <c r="E118" s="14">
        <v>110719</v>
      </c>
      <c r="F118" s="14">
        <v>15270407239</v>
      </c>
      <c r="G118" s="14">
        <v>508375938</v>
      </c>
      <c r="H118" s="28" t="s">
        <v>385</v>
      </c>
      <c r="I118" s="28" t="s">
        <v>386</v>
      </c>
      <c r="J118" s="3" t="s">
        <v>387</v>
      </c>
      <c r="K118" s="15" t="s">
        <v>384</v>
      </c>
      <c r="L118" s="25"/>
      <c r="N118" s="15" t="s">
        <v>388</v>
      </c>
      <c r="O118" s="4" t="s">
        <v>383</v>
      </c>
      <c r="P118" s="37" t="s">
        <v>25</v>
      </c>
    </row>
    <row r="119" spans="1:16">
      <c r="A119" s="14">
        <v>10218</v>
      </c>
      <c r="B119" s="14"/>
      <c r="C119" s="40" t="s">
        <v>18</v>
      </c>
      <c r="E119" s="14"/>
      <c r="F119" s="14"/>
      <c r="G119" s="14"/>
      <c r="H119" s="28"/>
      <c r="I119" s="28"/>
      <c r="L119" s="25"/>
      <c r="O119" s="4"/>
    </row>
    <row r="120" spans="1:16">
      <c r="A120" s="14">
        <v>10219</v>
      </c>
      <c r="B120" s="14"/>
      <c r="C120" s="40" t="s">
        <v>18</v>
      </c>
      <c r="E120" s="14"/>
      <c r="F120" s="14"/>
      <c r="G120" s="14"/>
      <c r="H120" s="28"/>
      <c r="I120" s="28"/>
      <c r="L120" s="25"/>
      <c r="O120" s="4"/>
    </row>
    <row r="121" spans="1:16">
      <c r="A121" s="14">
        <v>10220</v>
      </c>
      <c r="B121" s="14" t="s">
        <v>389</v>
      </c>
      <c r="C121" s="14" t="s">
        <v>18</v>
      </c>
      <c r="D121" s="4" t="s">
        <v>19</v>
      </c>
      <c r="E121" s="14">
        <v>101609</v>
      </c>
      <c r="F121" s="14">
        <v>10158684947</v>
      </c>
      <c r="G121" s="14">
        <v>442803398</v>
      </c>
      <c r="H121" s="28" t="s">
        <v>390</v>
      </c>
      <c r="I121" s="28" t="s">
        <v>391</v>
      </c>
      <c r="J121" s="3" t="s">
        <v>392</v>
      </c>
      <c r="K121" s="15" t="s">
        <v>389</v>
      </c>
      <c r="L121" s="25"/>
      <c r="N121" s="15" t="s">
        <v>393</v>
      </c>
      <c r="O121" s="4" t="s">
        <v>188</v>
      </c>
      <c r="P121" s="37" t="s">
        <v>25</v>
      </c>
    </row>
    <row r="122" spans="1:16">
      <c r="A122" s="14">
        <v>10221</v>
      </c>
      <c r="B122" s="14"/>
      <c r="C122" s="40" t="s">
        <v>18</v>
      </c>
      <c r="E122" s="14"/>
      <c r="F122" s="14"/>
      <c r="G122" s="14"/>
      <c r="H122" s="28"/>
      <c r="I122" s="28"/>
      <c r="L122" s="25"/>
      <c r="O122" s="4"/>
    </row>
    <row r="123" spans="1:16">
      <c r="A123" s="14">
        <v>10222</v>
      </c>
      <c r="B123" s="14"/>
      <c r="C123" s="40" t="s">
        <v>18</v>
      </c>
      <c r="E123" s="14"/>
      <c r="F123" s="14"/>
      <c r="G123" s="14"/>
      <c r="H123" s="28"/>
      <c r="I123" s="28"/>
      <c r="L123" s="25"/>
      <c r="O123" s="4"/>
    </row>
    <row r="124" spans="1:16">
      <c r="A124" s="14">
        <v>10223</v>
      </c>
      <c r="B124" s="14"/>
      <c r="C124" s="40" t="s">
        <v>18</v>
      </c>
      <c r="E124" s="14"/>
      <c r="F124" s="14"/>
      <c r="G124" s="14"/>
      <c r="H124" s="28"/>
      <c r="I124" s="28"/>
      <c r="L124" s="25"/>
      <c r="O124" s="4"/>
    </row>
    <row r="125" spans="1:16">
      <c r="A125" s="14">
        <v>10224</v>
      </c>
      <c r="B125" s="14" t="s">
        <v>394</v>
      </c>
      <c r="C125" s="14" t="s">
        <v>18</v>
      </c>
      <c r="D125" s="4" t="s">
        <v>19</v>
      </c>
      <c r="E125" s="14">
        <v>101629</v>
      </c>
      <c r="F125" s="14">
        <v>10158857034</v>
      </c>
      <c r="G125" s="14">
        <v>442803423</v>
      </c>
      <c r="H125" s="28" t="s">
        <v>395</v>
      </c>
      <c r="I125" s="28" t="s">
        <v>396</v>
      </c>
      <c r="J125" s="3" t="s">
        <v>397</v>
      </c>
      <c r="K125" s="15" t="s">
        <v>394</v>
      </c>
      <c r="L125" s="25"/>
      <c r="N125" s="15" t="s">
        <v>398</v>
      </c>
      <c r="O125" s="4" t="s">
        <v>399</v>
      </c>
      <c r="P125" s="37" t="s">
        <v>25</v>
      </c>
    </row>
    <row r="126" spans="1:16">
      <c r="A126" s="14">
        <v>10225</v>
      </c>
      <c r="B126" s="14" t="s">
        <v>400</v>
      </c>
      <c r="C126" s="14" t="s">
        <v>18</v>
      </c>
      <c r="D126" s="4" t="s">
        <v>19</v>
      </c>
      <c r="E126" s="14">
        <v>100361</v>
      </c>
      <c r="F126" s="14">
        <v>9010067219</v>
      </c>
      <c r="G126" s="14">
        <v>427517065</v>
      </c>
      <c r="H126" s="28" t="s">
        <v>401</v>
      </c>
      <c r="I126" s="28" t="s">
        <v>402</v>
      </c>
      <c r="J126" s="3" t="s">
        <v>403</v>
      </c>
      <c r="K126" s="15" t="s">
        <v>400</v>
      </c>
      <c r="L126" s="25"/>
      <c r="N126" s="15" t="s">
        <v>404</v>
      </c>
      <c r="O126" s="4" t="s">
        <v>399</v>
      </c>
      <c r="P126" s="37" t="s">
        <v>25</v>
      </c>
    </row>
    <row r="127" spans="1:16">
      <c r="A127" s="14">
        <v>10226</v>
      </c>
      <c r="B127" s="14" t="s">
        <v>405</v>
      </c>
      <c r="C127" s="14" t="s">
        <v>18</v>
      </c>
      <c r="D127" s="4" t="s">
        <v>19</v>
      </c>
      <c r="E127" s="14">
        <v>100394</v>
      </c>
      <c r="F127" s="14">
        <v>9010088401</v>
      </c>
      <c r="G127" s="14">
        <v>427517023</v>
      </c>
      <c r="H127" s="28" t="s">
        <v>406</v>
      </c>
      <c r="I127" s="28" t="s">
        <v>407</v>
      </c>
      <c r="J127" s="3" t="s">
        <v>408</v>
      </c>
      <c r="K127" s="15" t="s">
        <v>405</v>
      </c>
      <c r="L127" s="25"/>
      <c r="N127" s="15" t="s">
        <v>409</v>
      </c>
      <c r="O127" s="4" t="s">
        <v>410</v>
      </c>
      <c r="P127" s="37" t="s">
        <v>25</v>
      </c>
    </row>
    <row r="128" spans="1:16">
      <c r="A128" s="14">
        <v>10227</v>
      </c>
      <c r="B128" s="14" t="s">
        <v>411</v>
      </c>
      <c r="C128" s="14" t="s">
        <v>18</v>
      </c>
      <c r="D128" s="4" t="s">
        <v>19</v>
      </c>
      <c r="E128" s="14">
        <v>101604</v>
      </c>
      <c r="F128" s="14">
        <v>10157699286</v>
      </c>
      <c r="G128" s="14">
        <v>442803427</v>
      </c>
      <c r="H128" s="28" t="s">
        <v>412</v>
      </c>
      <c r="I128" s="29" t="s">
        <v>413</v>
      </c>
      <c r="J128" s="3" t="s">
        <v>411</v>
      </c>
      <c r="K128" s="15" t="s">
        <v>411</v>
      </c>
      <c r="L128" s="25"/>
      <c r="N128" s="15" t="s">
        <v>414</v>
      </c>
      <c r="O128" s="4" t="s">
        <v>410</v>
      </c>
      <c r="P128" s="37" t="s">
        <v>25</v>
      </c>
    </row>
    <row r="129" spans="1:16">
      <c r="A129" s="14">
        <v>10228</v>
      </c>
      <c r="B129" s="14" t="s">
        <v>415</v>
      </c>
      <c r="C129" s="14" t="s">
        <v>18</v>
      </c>
      <c r="D129" s="4" t="s">
        <v>19</v>
      </c>
      <c r="E129" s="14">
        <v>109770</v>
      </c>
      <c r="F129" s="14">
        <v>14580966826</v>
      </c>
      <c r="G129" s="14">
        <v>499315350</v>
      </c>
      <c r="H129" s="28" t="s">
        <v>416</v>
      </c>
      <c r="I129" s="28" t="s">
        <v>417</v>
      </c>
      <c r="J129" s="3" t="s">
        <v>418</v>
      </c>
      <c r="K129" s="15" t="s">
        <v>415</v>
      </c>
      <c r="L129" s="25"/>
      <c r="N129" s="15" t="s">
        <v>419</v>
      </c>
      <c r="O129" s="4" t="s">
        <v>410</v>
      </c>
      <c r="P129" s="37" t="s">
        <v>25</v>
      </c>
    </row>
    <row r="130" spans="1:16">
      <c r="A130" s="14">
        <v>10229</v>
      </c>
      <c r="B130" s="14" t="s">
        <v>420</v>
      </c>
      <c r="C130" s="14" t="s">
        <v>18</v>
      </c>
      <c r="D130" s="4" t="s">
        <v>19</v>
      </c>
      <c r="E130" s="14">
        <v>100382</v>
      </c>
      <c r="F130" s="14">
        <v>9010083897</v>
      </c>
      <c r="G130" s="14">
        <v>427517028</v>
      </c>
      <c r="H130" s="28" t="s">
        <v>421</v>
      </c>
      <c r="I130" s="28" t="s">
        <v>422</v>
      </c>
      <c r="J130" s="3" t="s">
        <v>423</v>
      </c>
      <c r="K130" s="15" t="s">
        <v>420</v>
      </c>
      <c r="L130" s="25"/>
      <c r="N130" s="15" t="s">
        <v>424</v>
      </c>
      <c r="O130" s="4" t="s">
        <v>410</v>
      </c>
      <c r="P130" s="37" t="s">
        <v>25</v>
      </c>
    </row>
    <row r="131" spans="1:16">
      <c r="A131" s="14">
        <v>10230</v>
      </c>
      <c r="B131" s="14" t="s">
        <v>425</v>
      </c>
      <c r="C131" s="14" t="s">
        <v>18</v>
      </c>
      <c r="D131" s="4" t="s">
        <v>19</v>
      </c>
      <c r="E131" s="14">
        <v>100369</v>
      </c>
      <c r="F131" s="14">
        <v>9010079771</v>
      </c>
      <c r="G131" s="14">
        <v>427517036</v>
      </c>
      <c r="H131" s="28" t="s">
        <v>426</v>
      </c>
      <c r="I131" s="28" t="s">
        <v>427</v>
      </c>
      <c r="J131" s="3" t="s">
        <v>428</v>
      </c>
      <c r="K131" s="15" t="s">
        <v>425</v>
      </c>
      <c r="L131" s="25"/>
      <c r="N131" s="15" t="s">
        <v>429</v>
      </c>
      <c r="O131" s="4" t="s">
        <v>410</v>
      </c>
      <c r="P131" s="37" t="s">
        <v>25</v>
      </c>
    </row>
    <row r="132" spans="1:16">
      <c r="A132" s="14">
        <v>10231</v>
      </c>
      <c r="B132" s="14" t="s">
        <v>430</v>
      </c>
      <c r="C132" s="14" t="s">
        <v>18</v>
      </c>
      <c r="D132" s="4" t="s">
        <v>19</v>
      </c>
      <c r="E132" s="14">
        <v>100429</v>
      </c>
      <c r="F132" s="14">
        <v>9010100431</v>
      </c>
      <c r="G132" s="14">
        <v>427517038</v>
      </c>
      <c r="H132" s="28" t="s">
        <v>431</v>
      </c>
      <c r="I132" s="28" t="s">
        <v>432</v>
      </c>
      <c r="J132" s="3" t="s">
        <v>433</v>
      </c>
      <c r="K132" s="15" t="s">
        <v>430</v>
      </c>
      <c r="L132" s="25"/>
      <c r="N132" s="15" t="s">
        <v>434</v>
      </c>
      <c r="O132" s="4" t="s">
        <v>410</v>
      </c>
      <c r="P132" s="37" t="s">
        <v>25</v>
      </c>
    </row>
    <row r="133" spans="1:16">
      <c r="A133" s="14">
        <v>10232</v>
      </c>
      <c r="B133" s="14" t="s">
        <v>435</v>
      </c>
      <c r="C133" s="14" t="s">
        <v>18</v>
      </c>
      <c r="D133" s="4" t="s">
        <v>19</v>
      </c>
      <c r="E133" s="14">
        <v>109750</v>
      </c>
      <c r="F133" s="14">
        <v>14580896512</v>
      </c>
      <c r="G133" s="14">
        <v>499315284</v>
      </c>
      <c r="H133" s="28" t="s">
        <v>436</v>
      </c>
      <c r="I133" s="28" t="s">
        <v>437</v>
      </c>
      <c r="J133" s="3" t="s">
        <v>438</v>
      </c>
      <c r="K133" s="15" t="s">
        <v>435</v>
      </c>
      <c r="L133" s="25"/>
      <c r="N133" s="15" t="s">
        <v>439</v>
      </c>
      <c r="O133" s="4" t="s">
        <v>410</v>
      </c>
      <c r="P133" s="37" t="s">
        <v>25</v>
      </c>
    </row>
    <row r="134" spans="1:16">
      <c r="A134" s="14">
        <v>10233</v>
      </c>
      <c r="B134" s="14" t="s">
        <v>440</v>
      </c>
      <c r="C134" s="14" t="s">
        <v>18</v>
      </c>
      <c r="D134" s="4" t="s">
        <v>19</v>
      </c>
      <c r="E134" s="14">
        <v>109783</v>
      </c>
      <c r="F134" s="14">
        <v>14580986140</v>
      </c>
      <c r="G134" s="14">
        <v>499315401</v>
      </c>
      <c r="H134" s="28" t="s">
        <v>441</v>
      </c>
      <c r="I134" s="28" t="s">
        <v>442</v>
      </c>
      <c r="J134" s="3" t="s">
        <v>443</v>
      </c>
      <c r="K134" s="15" t="s">
        <v>440</v>
      </c>
      <c r="L134" s="25"/>
      <c r="N134" s="15" t="s">
        <v>444</v>
      </c>
      <c r="O134" s="4" t="s">
        <v>410</v>
      </c>
      <c r="P134" s="37" t="s">
        <v>25</v>
      </c>
    </row>
    <row r="135" spans="1:16">
      <c r="A135" s="14">
        <v>10234</v>
      </c>
      <c r="B135" s="14" t="s">
        <v>445</v>
      </c>
      <c r="C135" s="14" t="s">
        <v>18</v>
      </c>
      <c r="D135" s="4" t="s">
        <v>19</v>
      </c>
      <c r="E135" s="14">
        <v>110731</v>
      </c>
      <c r="F135" s="14">
        <v>15270866973</v>
      </c>
      <c r="G135" s="14">
        <v>508375951</v>
      </c>
      <c r="H135" s="28" t="s">
        <v>446</v>
      </c>
      <c r="I135" s="28" t="s">
        <v>447</v>
      </c>
      <c r="J135" s="3" t="s">
        <v>448</v>
      </c>
      <c r="K135" s="15" t="s">
        <v>445</v>
      </c>
      <c r="L135" s="25"/>
      <c r="N135" s="15" t="s">
        <v>449</v>
      </c>
      <c r="O135" s="4" t="s">
        <v>410</v>
      </c>
      <c r="P135" s="37" t="s">
        <v>25</v>
      </c>
    </row>
    <row r="136" spans="1:16">
      <c r="A136" s="14">
        <v>10235</v>
      </c>
      <c r="B136" s="14"/>
      <c r="C136" s="40" t="s">
        <v>18</v>
      </c>
      <c r="E136" s="14"/>
      <c r="F136" s="14"/>
      <c r="G136" s="14"/>
      <c r="H136" s="28"/>
      <c r="I136" s="28"/>
      <c r="L136" s="25"/>
      <c r="O136" s="4"/>
    </row>
    <row r="137" spans="1:16">
      <c r="A137" s="14">
        <v>10236</v>
      </c>
      <c r="B137" s="14"/>
      <c r="C137" s="40" t="s">
        <v>18</v>
      </c>
      <c r="E137" s="14"/>
      <c r="F137" s="14"/>
      <c r="G137" s="14"/>
      <c r="H137" s="28"/>
      <c r="I137" s="28"/>
      <c r="L137" s="25"/>
      <c r="O137" s="4"/>
    </row>
    <row r="138" spans="1:16">
      <c r="A138" s="14">
        <v>10237</v>
      </c>
      <c r="B138" s="14"/>
      <c r="C138" s="40" t="s">
        <v>18</v>
      </c>
      <c r="E138" s="14"/>
      <c r="F138" s="14"/>
      <c r="G138" s="14"/>
      <c r="H138" s="28"/>
      <c r="I138" s="28"/>
      <c r="L138" s="25"/>
      <c r="O138" s="4"/>
    </row>
    <row r="139" spans="1:16">
      <c r="A139" s="14">
        <v>10238</v>
      </c>
      <c r="B139" s="14" t="s">
        <v>450</v>
      </c>
      <c r="C139" s="14" t="s">
        <v>18</v>
      </c>
      <c r="D139" s="4" t="s">
        <v>19</v>
      </c>
      <c r="E139" s="14">
        <v>100389</v>
      </c>
      <c r="F139" s="14">
        <v>9010085783</v>
      </c>
      <c r="G139" s="14">
        <v>427517074</v>
      </c>
      <c r="H139" s="28" t="s">
        <v>451</v>
      </c>
      <c r="I139" s="28" t="s">
        <v>452</v>
      </c>
      <c r="J139" s="3" t="s">
        <v>453</v>
      </c>
      <c r="K139" s="15" t="s">
        <v>450</v>
      </c>
      <c r="L139" s="25"/>
      <c r="N139" s="15" t="s">
        <v>454</v>
      </c>
      <c r="O139" s="4" t="s">
        <v>410</v>
      </c>
      <c r="P139" s="37" t="s">
        <v>25</v>
      </c>
    </row>
    <row r="140" spans="1:16">
      <c r="A140" s="14">
        <v>10239</v>
      </c>
      <c r="B140" s="14" t="s">
        <v>455</v>
      </c>
      <c r="C140" s="14" t="s">
        <v>18</v>
      </c>
      <c r="D140" s="4" t="s">
        <v>19</v>
      </c>
      <c r="E140" s="14">
        <v>101630</v>
      </c>
      <c r="F140" s="14">
        <v>10158863376</v>
      </c>
      <c r="G140" s="14">
        <v>442803417</v>
      </c>
      <c r="H140" s="28" t="s">
        <v>456</v>
      </c>
      <c r="I140" s="28" t="s">
        <v>457</v>
      </c>
      <c r="J140" s="3" t="s">
        <v>458</v>
      </c>
      <c r="K140" s="15" t="s">
        <v>455</v>
      </c>
      <c r="L140" s="25"/>
      <c r="N140" s="15" t="s">
        <v>459</v>
      </c>
      <c r="O140" s="4" t="s">
        <v>460</v>
      </c>
      <c r="P140" s="37" t="s">
        <v>25</v>
      </c>
    </row>
    <row r="141" spans="1:16">
      <c r="A141" s="14">
        <v>10240</v>
      </c>
      <c r="B141" s="14" t="s">
        <v>461</v>
      </c>
      <c r="C141" s="14" t="s">
        <v>18</v>
      </c>
      <c r="D141" s="4" t="s">
        <v>19</v>
      </c>
      <c r="E141" s="14">
        <v>101631</v>
      </c>
      <c r="F141" s="14">
        <v>10158882171</v>
      </c>
      <c r="G141" s="14">
        <v>442803405</v>
      </c>
      <c r="H141" s="28" t="s">
        <v>462</v>
      </c>
      <c r="I141" s="28" t="s">
        <v>463</v>
      </c>
      <c r="J141" s="3" t="s">
        <v>464</v>
      </c>
      <c r="K141" s="15" t="s">
        <v>461</v>
      </c>
      <c r="L141" s="25"/>
      <c r="N141" s="15" t="s">
        <v>465</v>
      </c>
      <c r="O141" s="4" t="s">
        <v>460</v>
      </c>
      <c r="P141" s="37" t="s">
        <v>25</v>
      </c>
    </row>
    <row r="142" spans="1:16">
      <c r="A142" s="14">
        <v>10241</v>
      </c>
      <c r="B142" s="14" t="s">
        <v>466</v>
      </c>
      <c r="C142" s="14" t="s">
        <v>18</v>
      </c>
      <c r="D142" s="4" t="s">
        <v>19</v>
      </c>
      <c r="E142" s="14">
        <v>101632</v>
      </c>
      <c r="F142" s="14">
        <v>10158882172</v>
      </c>
      <c r="G142" s="14">
        <v>442803396</v>
      </c>
      <c r="H142" s="28" t="s">
        <v>467</v>
      </c>
      <c r="I142" s="28" t="s">
        <v>468</v>
      </c>
      <c r="J142" s="3" t="s">
        <v>469</v>
      </c>
      <c r="K142" s="15" t="s">
        <v>466</v>
      </c>
      <c r="L142" s="25"/>
      <c r="N142" s="15" t="s">
        <v>470</v>
      </c>
      <c r="O142" s="4" t="s">
        <v>460</v>
      </c>
      <c r="P142" s="37" t="s">
        <v>25</v>
      </c>
    </row>
    <row r="143" spans="1:16">
      <c r="A143" s="14">
        <v>10242</v>
      </c>
      <c r="B143" s="14" t="s">
        <v>471</v>
      </c>
      <c r="C143" s="14" t="s">
        <v>18</v>
      </c>
      <c r="D143" s="4" t="s">
        <v>19</v>
      </c>
      <c r="E143" s="14">
        <v>101633</v>
      </c>
      <c r="F143" s="14">
        <v>10158882173</v>
      </c>
      <c r="G143" s="14">
        <v>442803424</v>
      </c>
      <c r="H143" s="28" t="s">
        <v>472</v>
      </c>
      <c r="I143" s="28" t="s">
        <v>473</v>
      </c>
      <c r="J143" s="3" t="s">
        <v>474</v>
      </c>
      <c r="K143" s="15" t="s">
        <v>471</v>
      </c>
      <c r="L143" s="25"/>
      <c r="N143" s="15" t="s">
        <v>475</v>
      </c>
      <c r="O143" s="4" t="s">
        <v>460</v>
      </c>
      <c r="P143" s="37" t="s">
        <v>25</v>
      </c>
    </row>
    <row r="144" spans="1:16">
      <c r="A144" s="14">
        <v>10243</v>
      </c>
      <c r="B144" s="14"/>
      <c r="C144" s="40" t="s">
        <v>18</v>
      </c>
      <c r="E144" s="14"/>
      <c r="F144" s="14"/>
      <c r="G144" s="14"/>
      <c r="H144" s="28"/>
      <c r="I144" s="28"/>
      <c r="L144" s="25"/>
      <c r="O144" s="4"/>
    </row>
    <row r="145" spans="1:16">
      <c r="A145" s="14">
        <v>10244</v>
      </c>
      <c r="B145" s="14"/>
      <c r="C145" s="40" t="s">
        <v>18</v>
      </c>
      <c r="E145" s="14"/>
      <c r="F145" s="14"/>
      <c r="G145" s="14"/>
      <c r="H145" s="28"/>
      <c r="I145" s="28"/>
      <c r="L145" s="25"/>
      <c r="O145" s="4"/>
    </row>
    <row r="146" spans="1:16">
      <c r="A146" s="14">
        <v>10245</v>
      </c>
      <c r="B146" s="14"/>
      <c r="C146" s="40" t="s">
        <v>18</v>
      </c>
      <c r="E146" s="14"/>
      <c r="F146" s="14"/>
      <c r="G146" s="14"/>
      <c r="H146" s="28"/>
      <c r="I146" s="28"/>
      <c r="L146" s="25"/>
      <c r="O146" s="4"/>
    </row>
    <row r="147" spans="1:16">
      <c r="A147" s="14">
        <v>10246</v>
      </c>
      <c r="B147" s="14"/>
      <c r="C147" s="40" t="s">
        <v>18</v>
      </c>
      <c r="E147" s="14"/>
      <c r="F147" s="14"/>
      <c r="G147" s="14"/>
      <c r="H147" s="28"/>
      <c r="I147" s="28"/>
      <c r="L147" s="25"/>
      <c r="O147" s="4"/>
    </row>
    <row r="148" spans="1:16">
      <c r="A148" s="14">
        <v>10247</v>
      </c>
      <c r="B148" s="14" t="s">
        <v>476</v>
      </c>
      <c r="C148" s="14" t="s">
        <v>18</v>
      </c>
      <c r="D148" s="4" t="s">
        <v>19</v>
      </c>
      <c r="E148" s="14">
        <v>109768</v>
      </c>
      <c r="F148" s="14">
        <v>14580964228</v>
      </c>
      <c r="G148" s="14">
        <v>499315292</v>
      </c>
      <c r="H148" s="28" t="s">
        <v>477</v>
      </c>
      <c r="I148" s="28" t="s">
        <v>478</v>
      </c>
      <c r="J148" s="3" t="s">
        <v>479</v>
      </c>
      <c r="K148" s="15" t="s">
        <v>476</v>
      </c>
      <c r="L148" s="25"/>
      <c r="N148" s="16" t="s">
        <v>480</v>
      </c>
      <c r="O148" s="4" t="s">
        <v>481</v>
      </c>
      <c r="P148" s="37" t="s">
        <v>25</v>
      </c>
    </row>
    <row r="149" spans="1:16">
      <c r="A149" s="14">
        <v>10248</v>
      </c>
      <c r="B149" s="14" t="s">
        <v>482</v>
      </c>
      <c r="C149" s="14" t="s">
        <v>18</v>
      </c>
      <c r="D149" s="4" t="s">
        <v>19</v>
      </c>
      <c r="E149" s="14">
        <v>100396</v>
      </c>
      <c r="F149" s="14">
        <v>9010088664</v>
      </c>
      <c r="G149" s="14">
        <v>427517059</v>
      </c>
      <c r="H149" s="28" t="s">
        <v>483</v>
      </c>
      <c r="I149" s="28" t="s">
        <v>484</v>
      </c>
      <c r="J149" s="3" t="s">
        <v>485</v>
      </c>
      <c r="K149" s="15" t="s">
        <v>482</v>
      </c>
      <c r="L149" s="25"/>
      <c r="N149" s="16" t="s">
        <v>486</v>
      </c>
      <c r="O149" s="4" t="s">
        <v>481</v>
      </c>
      <c r="P149" s="37" t="s">
        <v>25</v>
      </c>
    </row>
    <row r="150" spans="1:16">
      <c r="A150" s="14">
        <v>10249</v>
      </c>
      <c r="B150" s="14" t="s">
        <v>487</v>
      </c>
      <c r="C150" s="14" t="s">
        <v>18</v>
      </c>
      <c r="D150" s="4" t="s">
        <v>19</v>
      </c>
      <c r="E150" s="14">
        <v>100378</v>
      </c>
      <c r="F150" s="14">
        <v>9010083458</v>
      </c>
      <c r="G150" s="14">
        <v>427517025</v>
      </c>
      <c r="H150" s="28" t="s">
        <v>488</v>
      </c>
      <c r="I150" s="28" t="s">
        <v>489</v>
      </c>
      <c r="J150" s="3" t="s">
        <v>490</v>
      </c>
      <c r="K150" s="15" t="s">
        <v>487</v>
      </c>
      <c r="L150" s="25"/>
      <c r="N150" s="16" t="s">
        <v>491</v>
      </c>
      <c r="O150" s="4" t="s">
        <v>481</v>
      </c>
      <c r="P150" s="37" t="s">
        <v>25</v>
      </c>
    </row>
    <row r="151" spans="1:16">
      <c r="A151" s="14">
        <v>10250</v>
      </c>
      <c r="B151" s="14" t="s">
        <v>492</v>
      </c>
      <c r="C151" s="14" t="s">
        <v>18</v>
      </c>
      <c r="D151" s="4" t="s">
        <v>19</v>
      </c>
      <c r="E151" s="14">
        <v>100387</v>
      </c>
      <c r="F151" s="14">
        <v>9010085489</v>
      </c>
      <c r="G151" s="14">
        <v>427517015</v>
      </c>
      <c r="H151" s="28" t="s">
        <v>493</v>
      </c>
      <c r="I151" s="28" t="s">
        <v>494</v>
      </c>
      <c r="J151" s="3" t="s">
        <v>495</v>
      </c>
      <c r="K151" s="15" t="s">
        <v>492</v>
      </c>
      <c r="L151" s="25"/>
      <c r="N151" s="16" t="s">
        <v>496</v>
      </c>
      <c r="O151" s="4" t="s">
        <v>481</v>
      </c>
      <c r="P151" s="37" t="s">
        <v>25</v>
      </c>
    </row>
    <row r="152" spans="1:16">
      <c r="A152" s="14">
        <v>10251</v>
      </c>
      <c r="B152" s="14"/>
      <c r="C152" s="40" t="s">
        <v>18</v>
      </c>
      <c r="E152" s="14"/>
      <c r="F152" s="14"/>
      <c r="G152" s="14"/>
      <c r="H152" s="28"/>
      <c r="I152" s="28"/>
      <c r="L152" s="25"/>
      <c r="O152" s="4"/>
    </row>
    <row r="153" spans="1:16">
      <c r="A153" s="14">
        <v>10252</v>
      </c>
      <c r="B153" s="14"/>
      <c r="C153" s="40" t="s">
        <v>18</v>
      </c>
      <c r="E153" s="14"/>
      <c r="F153" s="14"/>
      <c r="G153" s="14"/>
      <c r="H153" s="28"/>
      <c r="I153" s="28"/>
      <c r="L153" s="25"/>
      <c r="O153" s="4"/>
    </row>
    <row r="154" spans="1:16">
      <c r="A154" s="14">
        <v>10253</v>
      </c>
      <c r="B154" s="14"/>
      <c r="C154" s="40" t="s">
        <v>18</v>
      </c>
      <c r="E154" s="14"/>
      <c r="F154" s="14"/>
      <c r="G154" s="14"/>
      <c r="H154" s="28"/>
      <c r="I154" s="28"/>
      <c r="L154" s="25"/>
      <c r="O154" s="4"/>
    </row>
    <row r="155" spans="1:16">
      <c r="A155" s="14">
        <v>10254</v>
      </c>
      <c r="B155" s="14"/>
      <c r="C155" s="40" t="s">
        <v>18</v>
      </c>
      <c r="E155" s="14"/>
      <c r="F155" s="14"/>
      <c r="G155" s="14"/>
      <c r="H155" s="28"/>
      <c r="I155" s="28"/>
      <c r="L155" s="25"/>
      <c r="O155" s="4"/>
    </row>
    <row r="156" spans="1:16">
      <c r="A156" s="14">
        <v>10255</v>
      </c>
      <c r="B156" s="14" t="s">
        <v>497</v>
      </c>
      <c r="C156" s="14" t="s">
        <v>18</v>
      </c>
      <c r="D156" s="4" t="s">
        <v>19</v>
      </c>
      <c r="E156" s="14">
        <v>100397</v>
      </c>
      <c r="F156" s="14">
        <v>9010088823</v>
      </c>
      <c r="G156" s="14">
        <v>427517030</v>
      </c>
      <c r="H156" s="28" t="s">
        <v>498</v>
      </c>
      <c r="I156" s="28" t="s">
        <v>499</v>
      </c>
      <c r="J156" s="3" t="s">
        <v>500</v>
      </c>
      <c r="K156" s="15" t="s">
        <v>497</v>
      </c>
      <c r="L156" s="25"/>
      <c r="N156" s="15" t="s">
        <v>501</v>
      </c>
      <c r="O156" s="4" t="s">
        <v>502</v>
      </c>
      <c r="P156" s="37" t="s">
        <v>25</v>
      </c>
    </row>
    <row r="157" spans="1:16">
      <c r="A157" s="14">
        <v>10256</v>
      </c>
      <c r="B157" s="14"/>
      <c r="C157" s="40" t="s">
        <v>18</v>
      </c>
      <c r="E157" s="14"/>
      <c r="F157" s="14"/>
      <c r="G157" s="14"/>
      <c r="H157" s="28"/>
      <c r="I157" s="28"/>
      <c r="L157" s="25"/>
      <c r="O157" s="4"/>
    </row>
    <row r="158" spans="1:16">
      <c r="A158" s="14">
        <v>10257</v>
      </c>
      <c r="B158" s="14"/>
      <c r="C158" s="40" t="s">
        <v>18</v>
      </c>
      <c r="E158" s="14"/>
      <c r="F158" s="14"/>
      <c r="G158" s="14"/>
      <c r="H158" s="28"/>
      <c r="I158" s="28"/>
      <c r="L158" s="25"/>
      <c r="O158" s="4"/>
    </row>
    <row r="159" spans="1:16">
      <c r="A159" s="14">
        <v>10258</v>
      </c>
      <c r="B159" s="14"/>
      <c r="C159" s="40" t="s">
        <v>18</v>
      </c>
      <c r="E159" s="14"/>
      <c r="F159" s="14"/>
      <c r="G159" s="14"/>
      <c r="H159" s="28"/>
      <c r="I159" s="28"/>
      <c r="L159" s="25"/>
      <c r="O159" s="4"/>
    </row>
    <row r="160" spans="1:16">
      <c r="A160" s="14">
        <v>10259</v>
      </c>
      <c r="B160" s="14"/>
      <c r="C160" s="40" t="s">
        <v>18</v>
      </c>
      <c r="E160" s="14"/>
      <c r="F160" s="14"/>
      <c r="G160" s="14"/>
      <c r="H160" s="28"/>
      <c r="I160" s="28"/>
      <c r="L160" s="25"/>
      <c r="O160" s="4"/>
    </row>
    <row r="161" spans="1:16">
      <c r="A161" s="14">
        <v>10260</v>
      </c>
      <c r="B161" s="14" t="s">
        <v>503</v>
      </c>
      <c r="C161" s="14" t="s">
        <v>18</v>
      </c>
      <c r="D161" s="4" t="s">
        <v>19</v>
      </c>
      <c r="E161" s="14">
        <v>109754</v>
      </c>
      <c r="F161" s="14">
        <v>14580941063</v>
      </c>
      <c r="G161" s="14">
        <v>499315364</v>
      </c>
      <c r="H161" s="28" t="s">
        <v>504</v>
      </c>
      <c r="I161" s="28" t="s">
        <v>505</v>
      </c>
      <c r="J161" s="3" t="s">
        <v>506</v>
      </c>
      <c r="K161" s="15" t="s">
        <v>503</v>
      </c>
      <c r="L161" s="25"/>
      <c r="N161" s="15" t="s">
        <v>507</v>
      </c>
      <c r="O161" s="4" t="s">
        <v>502</v>
      </c>
      <c r="P161" s="37" t="s">
        <v>25</v>
      </c>
    </row>
    <row r="162" spans="1:16">
      <c r="A162" s="14">
        <v>10261</v>
      </c>
      <c r="B162" s="14" t="s">
        <v>508</v>
      </c>
      <c r="C162" s="14" t="s">
        <v>18</v>
      </c>
      <c r="D162" s="4" t="s">
        <v>19</v>
      </c>
      <c r="E162" s="14">
        <v>100402</v>
      </c>
      <c r="F162" s="14">
        <v>9010089382</v>
      </c>
      <c r="G162" s="14">
        <v>427517039</v>
      </c>
      <c r="H162" s="28" t="s">
        <v>509</v>
      </c>
      <c r="I162" s="28" t="s">
        <v>510</v>
      </c>
      <c r="J162" s="3" t="s">
        <v>511</v>
      </c>
      <c r="K162" s="15" t="s">
        <v>508</v>
      </c>
      <c r="L162" s="25"/>
      <c r="N162" s="15" t="s">
        <v>512</v>
      </c>
      <c r="O162" s="4" t="s">
        <v>502</v>
      </c>
      <c r="P162" s="37" t="s">
        <v>25</v>
      </c>
    </row>
    <row r="163" spans="1:16">
      <c r="A163" s="14">
        <v>10262</v>
      </c>
      <c r="B163" s="14" t="s">
        <v>513</v>
      </c>
      <c r="C163" s="14" t="s">
        <v>18</v>
      </c>
      <c r="D163" s="4" t="s">
        <v>19</v>
      </c>
      <c r="E163" s="14">
        <v>109753</v>
      </c>
      <c r="F163" s="14">
        <v>14580941062</v>
      </c>
      <c r="G163" s="14">
        <v>499315305</v>
      </c>
      <c r="H163" s="28" t="s">
        <v>514</v>
      </c>
      <c r="I163" s="28" t="s">
        <v>515</v>
      </c>
      <c r="J163" s="3" t="s">
        <v>516</v>
      </c>
      <c r="K163" s="15" t="s">
        <v>513</v>
      </c>
      <c r="L163" s="25"/>
      <c r="N163" s="15" t="s">
        <v>517</v>
      </c>
      <c r="O163" s="4" t="s">
        <v>502</v>
      </c>
      <c r="P163" s="37" t="s">
        <v>25</v>
      </c>
    </row>
    <row r="164" spans="1:16">
      <c r="A164" s="14">
        <v>10263</v>
      </c>
      <c r="B164" s="14" t="s">
        <v>518</v>
      </c>
      <c r="C164" s="14" t="s">
        <v>18</v>
      </c>
      <c r="D164" s="4" t="s">
        <v>19</v>
      </c>
      <c r="E164" s="14">
        <v>100403</v>
      </c>
      <c r="F164" s="14">
        <v>9010089744</v>
      </c>
      <c r="G164" s="14">
        <v>427517032</v>
      </c>
      <c r="H164" s="28" t="s">
        <v>519</v>
      </c>
      <c r="I164" s="28" t="s">
        <v>520</v>
      </c>
      <c r="J164" s="3" t="s">
        <v>521</v>
      </c>
      <c r="K164" s="15" t="s">
        <v>518</v>
      </c>
      <c r="L164" s="25"/>
      <c r="N164" s="15" t="s">
        <v>522</v>
      </c>
      <c r="O164" s="4" t="s">
        <v>502</v>
      </c>
      <c r="P164" s="37" t="s">
        <v>25</v>
      </c>
    </row>
    <row r="165" spans="1:16">
      <c r="A165" s="14">
        <v>10264</v>
      </c>
      <c r="B165" s="14"/>
      <c r="C165" s="40" t="s">
        <v>18</v>
      </c>
      <c r="E165" s="14"/>
      <c r="F165" s="14"/>
      <c r="G165" s="14"/>
      <c r="H165" s="28"/>
      <c r="I165" s="28"/>
      <c r="L165" s="25"/>
      <c r="O165" s="4"/>
    </row>
    <row r="166" spans="1:16">
      <c r="A166" s="14">
        <v>10265</v>
      </c>
      <c r="B166" s="14" t="s">
        <v>523</v>
      </c>
      <c r="C166" s="14" t="s">
        <v>18</v>
      </c>
      <c r="D166" s="4" t="s">
        <v>19</v>
      </c>
      <c r="E166" s="14">
        <v>109756</v>
      </c>
      <c r="F166" s="14">
        <v>14580951993</v>
      </c>
      <c r="G166" s="14">
        <v>499315288</v>
      </c>
      <c r="H166" s="28" t="s">
        <v>524</v>
      </c>
      <c r="I166" s="28" t="s">
        <v>525</v>
      </c>
      <c r="J166" s="3" t="s">
        <v>526</v>
      </c>
      <c r="K166" s="15" t="s">
        <v>523</v>
      </c>
      <c r="L166" s="25"/>
      <c r="N166" s="15" t="s">
        <v>527</v>
      </c>
      <c r="O166" s="4" t="s">
        <v>502</v>
      </c>
      <c r="P166" s="37" t="s">
        <v>25</v>
      </c>
    </row>
    <row r="167" spans="1:16">
      <c r="A167" s="14">
        <v>10266</v>
      </c>
      <c r="B167" s="14" t="s">
        <v>528</v>
      </c>
      <c r="C167" s="14" t="s">
        <v>18</v>
      </c>
      <c r="D167" s="4" t="s">
        <v>19</v>
      </c>
      <c r="E167" s="14">
        <v>109758</v>
      </c>
      <c r="F167" s="14">
        <v>14580952703</v>
      </c>
      <c r="G167" s="14">
        <v>499315377</v>
      </c>
      <c r="H167" s="28" t="s">
        <v>529</v>
      </c>
      <c r="I167" s="28" t="s">
        <v>530</v>
      </c>
      <c r="J167" s="3" t="s">
        <v>531</v>
      </c>
      <c r="K167" s="15" t="s">
        <v>528</v>
      </c>
      <c r="L167" s="25"/>
      <c r="N167" s="15" t="s">
        <v>532</v>
      </c>
      <c r="O167" s="4" t="s">
        <v>502</v>
      </c>
      <c r="P167" s="37" t="s">
        <v>25</v>
      </c>
    </row>
    <row r="168" spans="1:16">
      <c r="A168" s="14">
        <v>10267</v>
      </c>
      <c r="B168" s="14" t="s">
        <v>533</v>
      </c>
      <c r="C168" s="14" t="s">
        <v>18</v>
      </c>
      <c r="D168" s="4" t="s">
        <v>19</v>
      </c>
      <c r="E168" s="14">
        <v>109760</v>
      </c>
      <c r="F168" s="14">
        <v>14580957843</v>
      </c>
      <c r="G168" s="14">
        <v>499315363</v>
      </c>
      <c r="H168" s="28" t="s">
        <v>534</v>
      </c>
      <c r="I168" s="28" t="s">
        <v>535</v>
      </c>
      <c r="J168" s="3" t="s">
        <v>536</v>
      </c>
      <c r="K168" s="15" t="s">
        <v>533</v>
      </c>
      <c r="L168" s="25"/>
      <c r="N168" s="15" t="s">
        <v>537</v>
      </c>
      <c r="O168" s="4" t="s">
        <v>502</v>
      </c>
      <c r="P168" s="37" t="s">
        <v>25</v>
      </c>
    </row>
    <row r="169" spans="1:16">
      <c r="A169" s="14">
        <v>10268</v>
      </c>
      <c r="B169" s="14" t="s">
        <v>538</v>
      </c>
      <c r="C169" s="14" t="s">
        <v>18</v>
      </c>
      <c r="D169" s="4" t="s">
        <v>19</v>
      </c>
      <c r="E169" s="14">
        <v>100427</v>
      </c>
      <c r="F169" s="14">
        <v>9010100293</v>
      </c>
      <c r="G169" s="14">
        <v>427517009</v>
      </c>
      <c r="H169" s="28" t="s">
        <v>539</v>
      </c>
      <c r="I169" s="28" t="s">
        <v>540</v>
      </c>
      <c r="J169" s="3" t="s">
        <v>541</v>
      </c>
      <c r="K169" s="15" t="s">
        <v>538</v>
      </c>
      <c r="L169" s="25"/>
      <c r="N169" s="15" t="s">
        <v>542</v>
      </c>
      <c r="O169" s="4" t="s">
        <v>502</v>
      </c>
      <c r="P169" s="37" t="s">
        <v>25</v>
      </c>
    </row>
    <row r="170" spans="1:16">
      <c r="A170" s="14">
        <v>10269</v>
      </c>
      <c r="B170" s="14"/>
      <c r="C170" s="40" t="s">
        <v>18</v>
      </c>
      <c r="E170" s="14"/>
      <c r="F170" s="14"/>
      <c r="G170" s="14"/>
      <c r="H170" s="28"/>
      <c r="I170" s="28"/>
      <c r="L170" s="25"/>
      <c r="O170" s="4"/>
    </row>
    <row r="171" spans="1:16">
      <c r="A171" s="14">
        <v>10270</v>
      </c>
      <c r="B171" s="14"/>
      <c r="C171" s="40" t="s">
        <v>18</v>
      </c>
      <c r="E171" s="14"/>
      <c r="F171" s="14"/>
      <c r="G171" s="14"/>
      <c r="H171" s="28"/>
      <c r="I171" s="28"/>
      <c r="L171" s="25"/>
      <c r="O171" s="4"/>
    </row>
    <row r="172" spans="1:16">
      <c r="A172" s="14">
        <v>10271</v>
      </c>
      <c r="B172" s="14"/>
      <c r="C172" s="40" t="s">
        <v>18</v>
      </c>
      <c r="E172" s="14"/>
      <c r="F172" s="14"/>
      <c r="G172" s="14"/>
      <c r="H172" s="28"/>
      <c r="I172" s="28"/>
      <c r="L172" s="25"/>
      <c r="O172" s="4"/>
    </row>
    <row r="173" spans="1:16">
      <c r="A173" s="14">
        <v>10272</v>
      </c>
      <c r="B173" s="14"/>
      <c r="C173" s="40" t="s">
        <v>18</v>
      </c>
      <c r="E173" s="14"/>
      <c r="F173" s="14"/>
      <c r="G173" s="14"/>
      <c r="H173" s="28"/>
      <c r="I173" s="28"/>
      <c r="L173" s="25"/>
      <c r="O173" s="4"/>
    </row>
    <row r="174" spans="1:16">
      <c r="A174" s="14">
        <v>10273</v>
      </c>
      <c r="B174" s="14"/>
      <c r="C174" s="40" t="s">
        <v>18</v>
      </c>
      <c r="E174" s="14"/>
      <c r="F174" s="14"/>
      <c r="G174" s="14"/>
      <c r="H174" s="28"/>
      <c r="I174" s="28"/>
      <c r="L174" s="25"/>
      <c r="O174" s="4"/>
    </row>
    <row r="175" spans="1:16">
      <c r="A175" s="14">
        <v>10274</v>
      </c>
      <c r="B175" s="14"/>
      <c r="C175" s="40" t="s">
        <v>18</v>
      </c>
      <c r="E175" s="14"/>
      <c r="F175" s="14"/>
      <c r="G175" s="14"/>
      <c r="H175" s="28"/>
      <c r="I175" s="28"/>
      <c r="L175" s="25"/>
      <c r="O175" s="4"/>
    </row>
    <row r="176" spans="1:16">
      <c r="A176" s="14">
        <v>10275</v>
      </c>
      <c r="B176" s="14" t="s">
        <v>543</v>
      </c>
      <c r="C176" s="14" t="s">
        <v>18</v>
      </c>
      <c r="D176" s="4" t="s">
        <v>19</v>
      </c>
      <c r="E176" s="14">
        <v>100373</v>
      </c>
      <c r="F176" s="14">
        <v>9010081019</v>
      </c>
      <c r="G176" s="14">
        <v>427517064</v>
      </c>
      <c r="H176" s="28" t="s">
        <v>544</v>
      </c>
      <c r="I176" s="28" t="s">
        <v>545</v>
      </c>
      <c r="J176" s="3" t="s">
        <v>546</v>
      </c>
      <c r="K176" s="15" t="s">
        <v>543</v>
      </c>
      <c r="L176" s="25"/>
      <c r="N176" s="15" t="s">
        <v>547</v>
      </c>
      <c r="O176" s="4" t="s">
        <v>502</v>
      </c>
      <c r="P176" s="37" t="s">
        <v>25</v>
      </c>
    </row>
    <row r="177" spans="1:16">
      <c r="A177" s="14">
        <v>10276</v>
      </c>
      <c r="B177" s="14"/>
      <c r="C177" s="40" t="s">
        <v>18</v>
      </c>
      <c r="E177" s="14"/>
      <c r="F177" s="14"/>
      <c r="G177" s="14"/>
      <c r="H177" s="28"/>
      <c r="I177" s="28"/>
      <c r="K177" s="16"/>
      <c r="L177" s="25"/>
      <c r="O177" s="4"/>
    </row>
    <row r="178" spans="1:16">
      <c r="A178" s="14">
        <v>10277</v>
      </c>
      <c r="B178" s="14" t="s">
        <v>548</v>
      </c>
      <c r="C178" s="14" t="s">
        <v>18</v>
      </c>
      <c r="D178" s="4" t="s">
        <v>19</v>
      </c>
      <c r="E178" s="14">
        <v>100381</v>
      </c>
      <c r="F178" s="14">
        <v>9010083702</v>
      </c>
      <c r="G178" s="14">
        <v>427517063</v>
      </c>
      <c r="H178" s="28" t="s">
        <v>549</v>
      </c>
      <c r="I178" s="28" t="s">
        <v>550</v>
      </c>
      <c r="J178" s="3" t="s">
        <v>551</v>
      </c>
      <c r="K178" s="15" t="s">
        <v>548</v>
      </c>
      <c r="L178" s="25"/>
      <c r="N178" s="15" t="s">
        <v>552</v>
      </c>
      <c r="O178" s="4" t="s">
        <v>502</v>
      </c>
      <c r="P178" s="37" t="s">
        <v>25</v>
      </c>
    </row>
    <row r="179" spans="1:16">
      <c r="A179" s="14">
        <v>10278</v>
      </c>
      <c r="B179" s="14" t="s">
        <v>553</v>
      </c>
      <c r="C179" s="14" t="s">
        <v>18</v>
      </c>
      <c r="D179" s="4" t="s">
        <v>19</v>
      </c>
      <c r="E179" s="14">
        <v>100409</v>
      </c>
      <c r="F179" s="14">
        <v>9010092583</v>
      </c>
      <c r="G179" s="14">
        <v>427517058</v>
      </c>
      <c r="H179" s="28" t="s">
        <v>554</v>
      </c>
      <c r="I179" s="28" t="s">
        <v>555</v>
      </c>
      <c r="J179" s="3" t="s">
        <v>556</v>
      </c>
      <c r="K179" s="15" t="s">
        <v>553</v>
      </c>
      <c r="L179" s="25"/>
      <c r="N179" s="15" t="s">
        <v>557</v>
      </c>
      <c r="O179" s="4" t="s">
        <v>502</v>
      </c>
      <c r="P179" s="37" t="s">
        <v>25</v>
      </c>
    </row>
    <row r="180" spans="1:16">
      <c r="A180" s="14">
        <v>10279</v>
      </c>
      <c r="B180" s="14"/>
      <c r="C180" s="40" t="s">
        <v>18</v>
      </c>
      <c r="E180" s="14"/>
      <c r="F180" s="14"/>
      <c r="G180" s="14"/>
      <c r="H180" s="28"/>
      <c r="I180" s="28"/>
      <c r="L180" s="25"/>
      <c r="O180" s="4"/>
    </row>
    <row r="181" spans="1:16">
      <c r="A181" s="14">
        <v>10280</v>
      </c>
      <c r="B181" s="14"/>
      <c r="C181" s="40" t="s">
        <v>18</v>
      </c>
      <c r="E181" s="14"/>
      <c r="F181" s="14"/>
      <c r="G181" s="14"/>
      <c r="H181" s="28"/>
      <c r="I181" s="28"/>
      <c r="L181" s="25"/>
      <c r="O181" s="4"/>
    </row>
    <row r="182" spans="1:16">
      <c r="A182" s="14">
        <v>10281</v>
      </c>
      <c r="B182" s="14"/>
      <c r="C182" s="40" t="s">
        <v>18</v>
      </c>
      <c r="E182" s="14"/>
      <c r="F182" s="14"/>
      <c r="G182" s="14"/>
      <c r="H182" s="28"/>
      <c r="I182" s="28"/>
      <c r="L182" s="25"/>
      <c r="O182" s="4"/>
    </row>
    <row r="183" spans="1:16">
      <c r="A183" s="14">
        <v>10282</v>
      </c>
      <c r="B183" s="14"/>
      <c r="C183" s="40" t="s">
        <v>18</v>
      </c>
      <c r="E183" s="14"/>
      <c r="F183" s="14"/>
      <c r="G183" s="14"/>
      <c r="H183" s="28"/>
      <c r="I183" s="28"/>
      <c r="L183" s="25"/>
      <c r="O183" s="4"/>
    </row>
    <row r="184" spans="1:16">
      <c r="A184" s="14">
        <v>10283</v>
      </c>
      <c r="B184" s="14"/>
      <c r="C184" s="40" t="s">
        <v>18</v>
      </c>
      <c r="E184" s="14"/>
      <c r="F184" s="14"/>
      <c r="G184" s="14"/>
      <c r="H184" s="28"/>
      <c r="I184" s="28"/>
      <c r="L184" s="25"/>
      <c r="O184" s="4"/>
    </row>
    <row r="185" spans="1:16">
      <c r="A185" s="14">
        <v>10284</v>
      </c>
      <c r="B185" s="14"/>
      <c r="C185" s="40" t="s">
        <v>18</v>
      </c>
      <c r="E185" s="14"/>
      <c r="F185" s="14"/>
      <c r="G185" s="14"/>
      <c r="H185" s="28"/>
      <c r="I185" s="28"/>
      <c r="L185" s="25"/>
      <c r="O185" s="4"/>
    </row>
    <row r="186" spans="1:16">
      <c r="A186" s="14">
        <v>10285</v>
      </c>
      <c r="B186" s="14" t="s">
        <v>558</v>
      </c>
      <c r="C186" s="14" t="s">
        <v>18</v>
      </c>
      <c r="D186" s="4" t="s">
        <v>19</v>
      </c>
      <c r="E186" s="14">
        <v>101616</v>
      </c>
      <c r="F186" s="14">
        <v>10158710738</v>
      </c>
      <c r="G186" s="14">
        <v>442803395</v>
      </c>
      <c r="H186" s="28" t="s">
        <v>559</v>
      </c>
      <c r="I186" s="28" t="s">
        <v>560</v>
      </c>
      <c r="J186" s="3" t="s">
        <v>561</v>
      </c>
      <c r="K186" s="15" t="s">
        <v>558</v>
      </c>
      <c r="L186" s="25"/>
      <c r="N186" s="15" t="s">
        <v>562</v>
      </c>
      <c r="O186" s="4" t="s">
        <v>563</v>
      </c>
      <c r="P186" s="37" t="s">
        <v>25</v>
      </c>
    </row>
    <row r="187" spans="1:16">
      <c r="A187" s="14">
        <v>10286</v>
      </c>
      <c r="B187" s="14" t="s">
        <v>564</v>
      </c>
      <c r="C187" s="14" t="s">
        <v>18</v>
      </c>
      <c r="D187" s="4" t="s">
        <v>19</v>
      </c>
      <c r="E187" s="14">
        <v>101626</v>
      </c>
      <c r="F187" s="14">
        <v>10158849768</v>
      </c>
      <c r="G187" s="14">
        <v>442803399</v>
      </c>
      <c r="H187" s="28" t="s">
        <v>565</v>
      </c>
      <c r="I187" s="28" t="s">
        <v>566</v>
      </c>
      <c r="J187" s="3" t="s">
        <v>567</v>
      </c>
      <c r="K187" s="15" t="s">
        <v>564</v>
      </c>
      <c r="L187" s="25"/>
      <c r="N187" s="15" t="s">
        <v>568</v>
      </c>
      <c r="O187" s="4" t="s">
        <v>563</v>
      </c>
      <c r="P187" s="37" t="s">
        <v>25</v>
      </c>
    </row>
    <row r="188" spans="1:16">
      <c r="A188" s="14">
        <v>10287</v>
      </c>
      <c r="B188" s="14" t="s">
        <v>569</v>
      </c>
      <c r="C188" s="14" t="s">
        <v>18</v>
      </c>
      <c r="D188" s="4" t="s">
        <v>19</v>
      </c>
      <c r="E188" s="14">
        <v>101625</v>
      </c>
      <c r="F188" s="14">
        <v>10158799805</v>
      </c>
      <c r="G188" s="14">
        <v>442803401</v>
      </c>
      <c r="H188" s="28" t="s">
        <v>570</v>
      </c>
      <c r="I188" s="28" t="s">
        <v>571</v>
      </c>
      <c r="J188" s="3" t="s">
        <v>572</v>
      </c>
      <c r="K188" s="15" t="s">
        <v>569</v>
      </c>
      <c r="L188" s="25"/>
      <c r="N188" s="15" t="s">
        <v>573</v>
      </c>
      <c r="O188" s="4" t="s">
        <v>563</v>
      </c>
      <c r="P188" s="37" t="s">
        <v>25</v>
      </c>
    </row>
    <row r="189" spans="1:16">
      <c r="A189" s="14">
        <v>10288</v>
      </c>
      <c r="B189" s="14" t="s">
        <v>574</v>
      </c>
      <c r="C189" s="14" t="s">
        <v>18</v>
      </c>
      <c r="D189" s="4" t="s">
        <v>19</v>
      </c>
      <c r="E189" s="14">
        <v>101624</v>
      </c>
      <c r="F189" s="14">
        <v>10158782067</v>
      </c>
      <c r="G189" s="14">
        <v>442803413</v>
      </c>
      <c r="H189" s="28" t="s">
        <v>575</v>
      </c>
      <c r="I189" s="28" t="s">
        <v>576</v>
      </c>
      <c r="J189" s="3" t="s">
        <v>577</v>
      </c>
      <c r="K189" s="15" t="s">
        <v>574</v>
      </c>
      <c r="L189" s="25"/>
      <c r="N189" s="15" t="s">
        <v>578</v>
      </c>
      <c r="O189" s="4" t="s">
        <v>563</v>
      </c>
      <c r="P189" s="37" t="s">
        <v>25</v>
      </c>
    </row>
    <row r="190" spans="1:16">
      <c r="A190" s="14">
        <v>10289</v>
      </c>
      <c r="B190" s="14" t="s">
        <v>579</v>
      </c>
      <c r="C190" s="14" t="s">
        <v>18</v>
      </c>
      <c r="D190" s="4" t="s">
        <v>19</v>
      </c>
      <c r="E190" s="14">
        <v>101623</v>
      </c>
      <c r="F190" s="14">
        <v>10158780145</v>
      </c>
      <c r="G190" s="14">
        <v>442803418</v>
      </c>
      <c r="H190" s="28" t="s">
        <v>580</v>
      </c>
      <c r="I190" s="28" t="s">
        <v>581</v>
      </c>
      <c r="J190" s="3" t="s">
        <v>582</v>
      </c>
      <c r="K190" s="15" t="s">
        <v>579</v>
      </c>
      <c r="L190" s="25"/>
      <c r="N190" s="15" t="s">
        <v>583</v>
      </c>
      <c r="O190" s="4" t="s">
        <v>563</v>
      </c>
      <c r="P190" s="37" t="s">
        <v>25</v>
      </c>
    </row>
    <row r="191" spans="1:16">
      <c r="A191" s="14">
        <v>10290</v>
      </c>
      <c r="B191" s="14"/>
      <c r="C191" s="40" t="s">
        <v>18</v>
      </c>
      <c r="E191" s="14"/>
      <c r="F191" s="14"/>
      <c r="G191" s="14"/>
      <c r="H191" s="28"/>
      <c r="I191" s="28"/>
      <c r="L191" s="25"/>
      <c r="O191" s="4"/>
    </row>
    <row r="192" spans="1:16">
      <c r="A192" s="14">
        <v>10291</v>
      </c>
      <c r="B192" s="14"/>
      <c r="C192" s="40" t="s">
        <v>18</v>
      </c>
      <c r="E192" s="14"/>
      <c r="F192" s="14"/>
      <c r="G192" s="14"/>
      <c r="H192" s="28"/>
      <c r="I192" s="28"/>
      <c r="L192" s="25"/>
      <c r="O192" s="4"/>
    </row>
    <row r="193" spans="1:16">
      <c r="A193" s="14">
        <v>10292</v>
      </c>
      <c r="B193" s="14"/>
      <c r="C193" s="40" t="s">
        <v>18</v>
      </c>
      <c r="E193" s="14"/>
      <c r="F193" s="14"/>
      <c r="G193" s="14"/>
      <c r="H193" s="28"/>
      <c r="I193" s="28"/>
      <c r="L193" s="25"/>
      <c r="O193" s="4"/>
    </row>
    <row r="194" spans="1:16">
      <c r="A194" s="14">
        <v>10293</v>
      </c>
      <c r="B194" s="14"/>
      <c r="C194" s="40" t="s">
        <v>18</v>
      </c>
      <c r="E194" s="14"/>
      <c r="F194" s="14"/>
      <c r="G194" s="14"/>
      <c r="H194" s="28"/>
      <c r="I194" s="28"/>
      <c r="L194" s="25"/>
      <c r="O194" s="4"/>
    </row>
    <row r="195" spans="1:16">
      <c r="A195" s="14">
        <v>10294</v>
      </c>
      <c r="B195" s="14"/>
      <c r="C195" s="40" t="s">
        <v>18</v>
      </c>
      <c r="E195" s="14"/>
      <c r="F195" s="14"/>
      <c r="G195" s="14"/>
      <c r="H195" s="28"/>
      <c r="I195" s="28"/>
      <c r="L195" s="25"/>
      <c r="O195" s="4"/>
    </row>
    <row r="196" spans="1:16">
      <c r="A196" s="14">
        <v>10295</v>
      </c>
      <c r="B196" s="14"/>
      <c r="C196" s="40" t="s">
        <v>18</v>
      </c>
      <c r="E196" s="14"/>
      <c r="F196" s="14"/>
      <c r="G196" s="14"/>
      <c r="H196" s="28"/>
      <c r="I196" s="28"/>
      <c r="L196" s="25"/>
      <c r="O196" s="4"/>
    </row>
    <row r="197" spans="1:16">
      <c r="A197" s="14">
        <v>10296</v>
      </c>
      <c r="B197" s="14" t="s">
        <v>584</v>
      </c>
      <c r="C197" s="14" t="s">
        <v>18</v>
      </c>
      <c r="D197" s="4" t="s">
        <v>19</v>
      </c>
      <c r="E197" s="14">
        <v>101627</v>
      </c>
      <c r="F197" s="14">
        <v>10158855376</v>
      </c>
      <c r="G197" s="14">
        <v>442803412</v>
      </c>
      <c r="H197" s="28" t="s">
        <v>585</v>
      </c>
      <c r="I197" s="28" t="s">
        <v>586</v>
      </c>
      <c r="J197" s="3" t="s">
        <v>587</v>
      </c>
      <c r="K197" s="15" t="s">
        <v>584</v>
      </c>
      <c r="L197" s="25"/>
      <c r="N197" s="15" t="s">
        <v>588</v>
      </c>
      <c r="O197" s="4" t="s">
        <v>563</v>
      </c>
      <c r="P197" s="37" t="s">
        <v>25</v>
      </c>
    </row>
    <row r="198" spans="1:16">
      <c r="A198" s="14">
        <v>10297</v>
      </c>
      <c r="B198" s="14" t="s">
        <v>589</v>
      </c>
      <c r="C198" s="14" t="s">
        <v>18</v>
      </c>
      <c r="D198" s="4" t="s">
        <v>19</v>
      </c>
      <c r="E198" s="14">
        <v>101628</v>
      </c>
      <c r="F198" s="14">
        <v>10158855377</v>
      </c>
      <c r="G198" s="14">
        <v>442803406</v>
      </c>
      <c r="H198" s="28" t="s">
        <v>590</v>
      </c>
      <c r="I198" s="28" t="s">
        <v>591</v>
      </c>
      <c r="J198" s="3" t="s">
        <v>592</v>
      </c>
      <c r="K198" s="15" t="s">
        <v>589</v>
      </c>
      <c r="L198" s="25"/>
      <c r="N198" s="15" t="s">
        <v>593</v>
      </c>
      <c r="O198" s="4" t="s">
        <v>563</v>
      </c>
      <c r="P198" s="37" t="s">
        <v>25</v>
      </c>
    </row>
    <row r="199" spans="1:16">
      <c r="A199" s="14">
        <v>10298</v>
      </c>
      <c r="B199" s="14" t="s">
        <v>594</v>
      </c>
      <c r="C199" s="14" t="s">
        <v>18</v>
      </c>
      <c r="D199" s="4" t="s">
        <v>19</v>
      </c>
      <c r="E199" s="14">
        <v>101620</v>
      </c>
      <c r="F199" s="14">
        <v>10158764035</v>
      </c>
      <c r="G199" s="14">
        <v>442803404</v>
      </c>
      <c r="H199" s="28" t="s">
        <v>595</v>
      </c>
      <c r="I199" s="28" t="s">
        <v>596</v>
      </c>
      <c r="J199" s="3" t="s">
        <v>597</v>
      </c>
      <c r="K199" s="15" t="s">
        <v>594</v>
      </c>
      <c r="L199" s="25"/>
      <c r="N199" s="15" t="s">
        <v>598</v>
      </c>
      <c r="O199" s="4" t="s">
        <v>563</v>
      </c>
      <c r="P199" s="37" t="s">
        <v>25</v>
      </c>
    </row>
    <row r="200" spans="1:16">
      <c r="A200" s="14">
        <v>10299</v>
      </c>
      <c r="B200" s="14" t="s">
        <v>599</v>
      </c>
      <c r="C200" s="14" t="s">
        <v>18</v>
      </c>
      <c r="D200" s="4" t="s">
        <v>19</v>
      </c>
      <c r="E200" s="14">
        <v>101621</v>
      </c>
      <c r="F200" s="14">
        <v>10158768094</v>
      </c>
      <c r="G200" s="14">
        <v>442803402</v>
      </c>
      <c r="H200" s="28" t="s">
        <v>600</v>
      </c>
      <c r="I200" s="28" t="s">
        <v>601</v>
      </c>
      <c r="J200" s="3" t="s">
        <v>602</v>
      </c>
      <c r="K200" s="15" t="s">
        <v>599</v>
      </c>
      <c r="L200" s="25"/>
      <c r="N200" s="15" t="s">
        <v>603</v>
      </c>
      <c r="O200" s="4" t="s">
        <v>563</v>
      </c>
      <c r="P200" s="37" t="s">
        <v>25</v>
      </c>
    </row>
    <row r="201" spans="1:16">
      <c r="A201" s="14">
        <v>10300</v>
      </c>
      <c r="B201" s="14" t="s">
        <v>604</v>
      </c>
      <c r="C201" s="14" t="s">
        <v>18</v>
      </c>
      <c r="D201" s="4" t="s">
        <v>19</v>
      </c>
      <c r="E201" s="14">
        <v>100425</v>
      </c>
      <c r="F201" s="14">
        <v>9010100148</v>
      </c>
      <c r="G201" s="14">
        <v>427517031</v>
      </c>
      <c r="H201" s="28" t="s">
        <v>605</v>
      </c>
      <c r="I201" s="28" t="s">
        <v>606</v>
      </c>
      <c r="J201" s="3" t="s">
        <v>607</v>
      </c>
      <c r="K201" s="15" t="s">
        <v>604</v>
      </c>
      <c r="L201" s="25"/>
      <c r="N201" s="15" t="s">
        <v>608</v>
      </c>
      <c r="O201" s="4" t="s">
        <v>563</v>
      </c>
      <c r="P201" s="37" t="s">
        <v>25</v>
      </c>
    </row>
    <row r="202" spans="1:16">
      <c r="A202" s="14">
        <v>10301</v>
      </c>
      <c r="B202" s="14" t="s">
        <v>609</v>
      </c>
      <c r="C202" s="14" t="s">
        <v>18</v>
      </c>
      <c r="D202" s="4" t="s">
        <v>19</v>
      </c>
      <c r="E202" s="14">
        <v>101618</v>
      </c>
      <c r="F202" s="14">
        <v>10158733231</v>
      </c>
      <c r="G202" s="14">
        <v>442803425</v>
      </c>
      <c r="H202" s="28" t="s">
        <v>610</v>
      </c>
      <c r="I202" s="28" t="s">
        <v>611</v>
      </c>
      <c r="J202" s="3" t="s">
        <v>612</v>
      </c>
      <c r="K202" s="15" t="s">
        <v>609</v>
      </c>
      <c r="L202" s="25"/>
      <c r="N202" s="15" t="s">
        <v>613</v>
      </c>
      <c r="O202" s="4" t="s">
        <v>563</v>
      </c>
      <c r="P202" s="37" t="s">
        <v>25</v>
      </c>
    </row>
    <row r="203" spans="1:16">
      <c r="A203" s="14">
        <v>10302</v>
      </c>
      <c r="B203" s="14" t="s">
        <v>614</v>
      </c>
      <c r="C203" s="14" t="s">
        <v>18</v>
      </c>
      <c r="D203" s="4" t="s">
        <v>19</v>
      </c>
      <c r="E203" s="14">
        <v>101619</v>
      </c>
      <c r="F203" s="14">
        <v>10158755971</v>
      </c>
      <c r="G203" s="14">
        <v>442803410</v>
      </c>
      <c r="H203" s="28" t="s">
        <v>615</v>
      </c>
      <c r="I203" s="28" t="s">
        <v>616</v>
      </c>
      <c r="J203" s="3" t="s">
        <v>617</v>
      </c>
      <c r="K203" s="15" t="s">
        <v>614</v>
      </c>
      <c r="L203" s="25"/>
      <c r="N203" s="15" t="s">
        <v>618</v>
      </c>
      <c r="O203" s="4" t="s">
        <v>563</v>
      </c>
      <c r="P203" s="37" t="s">
        <v>25</v>
      </c>
    </row>
    <row r="204" spans="1:16">
      <c r="A204" s="14">
        <v>10303</v>
      </c>
      <c r="B204" s="14" t="s">
        <v>619</v>
      </c>
      <c r="C204" s="14" t="s">
        <v>18</v>
      </c>
      <c r="D204" s="4" t="s">
        <v>19</v>
      </c>
      <c r="E204" s="14">
        <v>101617</v>
      </c>
      <c r="F204" s="14">
        <v>10158716453</v>
      </c>
      <c r="G204" s="14">
        <v>442803419</v>
      </c>
      <c r="H204" s="28" t="s">
        <v>620</v>
      </c>
      <c r="I204" s="28" t="s">
        <v>621</v>
      </c>
      <c r="J204" s="3" t="s">
        <v>622</v>
      </c>
      <c r="K204" s="15" t="s">
        <v>619</v>
      </c>
      <c r="L204" s="25"/>
      <c r="N204" s="15" t="s">
        <v>623</v>
      </c>
      <c r="O204" s="4" t="s">
        <v>563</v>
      </c>
      <c r="P204" s="37" t="s">
        <v>25</v>
      </c>
    </row>
    <row r="205" spans="1:16">
      <c r="A205" s="14">
        <v>10304</v>
      </c>
      <c r="B205" s="14"/>
      <c r="C205" s="40" t="s">
        <v>18</v>
      </c>
      <c r="E205" s="14"/>
      <c r="F205" s="14"/>
      <c r="G205" s="14"/>
      <c r="H205" s="28"/>
      <c r="I205" s="28"/>
      <c r="L205" s="25"/>
      <c r="O205" s="4"/>
    </row>
    <row r="206" spans="1:16">
      <c r="A206" s="14">
        <v>10305</v>
      </c>
      <c r="B206" s="14"/>
      <c r="C206" s="40" t="s">
        <v>18</v>
      </c>
      <c r="E206" s="14"/>
      <c r="F206" s="14"/>
      <c r="G206" s="14"/>
      <c r="H206" s="28"/>
      <c r="I206" s="28"/>
      <c r="L206" s="25"/>
      <c r="O206" s="4"/>
    </row>
    <row r="207" spans="1:16">
      <c r="A207" s="14">
        <v>10306</v>
      </c>
      <c r="B207" s="14"/>
      <c r="C207" s="40" t="s">
        <v>18</v>
      </c>
      <c r="E207" s="14"/>
      <c r="F207" s="14"/>
      <c r="G207" s="14"/>
      <c r="H207" s="28"/>
      <c r="I207" s="28"/>
      <c r="L207" s="25"/>
      <c r="O207" s="4"/>
    </row>
    <row r="208" spans="1:16">
      <c r="A208" s="14">
        <v>10307</v>
      </c>
      <c r="B208" s="14"/>
      <c r="C208" s="40" t="s">
        <v>18</v>
      </c>
      <c r="E208" s="14"/>
      <c r="F208" s="14"/>
      <c r="G208" s="14"/>
      <c r="H208" s="28"/>
      <c r="I208" s="28"/>
      <c r="L208" s="25"/>
      <c r="O208" s="4"/>
    </row>
    <row r="209" spans="1:16">
      <c r="A209" s="14">
        <v>10308</v>
      </c>
      <c r="B209" s="14"/>
      <c r="C209" s="40" t="s">
        <v>18</v>
      </c>
      <c r="E209" s="14"/>
      <c r="F209" s="14"/>
      <c r="G209" s="14"/>
      <c r="H209" s="28"/>
      <c r="I209" s="28"/>
      <c r="L209" s="25"/>
      <c r="O209" s="4"/>
    </row>
    <row r="210" spans="1:16">
      <c r="A210" s="14">
        <v>10309</v>
      </c>
      <c r="B210" s="14"/>
      <c r="C210" s="40" t="s">
        <v>18</v>
      </c>
      <c r="E210" s="14"/>
      <c r="F210" s="14"/>
      <c r="G210" s="14"/>
      <c r="H210" s="28"/>
      <c r="I210" s="28"/>
      <c r="L210" s="25"/>
      <c r="O210" s="4"/>
    </row>
    <row r="211" spans="1:16">
      <c r="A211" s="14">
        <v>10310</v>
      </c>
      <c r="B211" s="14"/>
      <c r="C211" s="40" t="s">
        <v>18</v>
      </c>
      <c r="E211" s="14"/>
      <c r="F211" s="14"/>
      <c r="G211" s="14"/>
      <c r="H211" s="28"/>
      <c r="I211" s="28"/>
      <c r="L211" s="25"/>
      <c r="O211" s="4"/>
    </row>
    <row r="212" spans="1:16">
      <c r="A212" s="14">
        <v>10311</v>
      </c>
      <c r="B212" s="14"/>
      <c r="C212" s="40" t="s">
        <v>18</v>
      </c>
      <c r="E212" s="14"/>
      <c r="F212" s="14"/>
      <c r="G212" s="14"/>
      <c r="H212" s="28"/>
      <c r="I212" s="28"/>
      <c r="L212" s="25"/>
      <c r="O212" s="4"/>
    </row>
    <row r="213" spans="1:16">
      <c r="A213" s="14">
        <v>10312</v>
      </c>
      <c r="B213" s="14"/>
      <c r="C213" s="40" t="s">
        <v>18</v>
      </c>
      <c r="E213" s="14"/>
      <c r="F213" s="14"/>
      <c r="G213" s="14"/>
      <c r="H213" s="28"/>
      <c r="I213" s="28"/>
      <c r="L213" s="25"/>
      <c r="O213" s="4"/>
    </row>
    <row r="214" spans="1:16">
      <c r="A214" s="14">
        <v>10313</v>
      </c>
      <c r="B214" s="14"/>
      <c r="C214" s="40" t="s">
        <v>18</v>
      </c>
      <c r="E214" s="14"/>
      <c r="F214" s="14"/>
      <c r="G214" s="14"/>
      <c r="H214" s="28"/>
      <c r="I214" s="28"/>
      <c r="L214" s="25"/>
      <c r="O214" s="4"/>
    </row>
    <row r="215" spans="1:16">
      <c r="A215" s="14">
        <v>10314</v>
      </c>
      <c r="B215" s="14"/>
      <c r="C215" s="40" t="s">
        <v>18</v>
      </c>
      <c r="E215" s="14"/>
      <c r="F215" s="14"/>
      <c r="G215" s="14"/>
      <c r="H215" s="28"/>
      <c r="I215" s="28"/>
      <c r="L215" s="25"/>
      <c r="O215" s="4"/>
    </row>
    <row r="216" spans="1:16">
      <c r="A216" s="14">
        <v>10315</v>
      </c>
      <c r="B216" s="14"/>
      <c r="C216" s="40" t="s">
        <v>18</v>
      </c>
      <c r="E216" s="14"/>
      <c r="F216" s="14"/>
      <c r="G216" s="14"/>
      <c r="H216" s="28"/>
      <c r="I216" s="28"/>
      <c r="L216" s="25"/>
      <c r="O216" s="4"/>
    </row>
    <row r="217" spans="1:16">
      <c r="A217" s="14">
        <v>10316</v>
      </c>
      <c r="B217" s="14"/>
      <c r="C217" s="40" t="s">
        <v>18</v>
      </c>
      <c r="E217" s="14"/>
      <c r="F217" s="14"/>
      <c r="G217" s="14"/>
      <c r="H217" s="28"/>
      <c r="I217" s="28"/>
      <c r="L217" s="25"/>
      <c r="O217" s="4"/>
    </row>
    <row r="218" spans="1:16">
      <c r="A218" s="14">
        <v>10317</v>
      </c>
      <c r="B218" s="14"/>
      <c r="C218" s="40" t="s">
        <v>18</v>
      </c>
      <c r="E218" s="14"/>
      <c r="F218" s="14"/>
      <c r="G218" s="14"/>
      <c r="H218" s="28"/>
      <c r="I218" s="28"/>
      <c r="L218" s="25"/>
      <c r="O218" s="4"/>
    </row>
    <row r="219" spans="1:16">
      <c r="A219" s="14">
        <v>10318</v>
      </c>
      <c r="B219" s="14" t="s">
        <v>624</v>
      </c>
      <c r="C219" s="14" t="s">
        <v>18</v>
      </c>
      <c r="D219" s="4" t="s">
        <v>19</v>
      </c>
      <c r="E219" s="14">
        <v>110720</v>
      </c>
      <c r="F219" s="14">
        <v>15270409186</v>
      </c>
      <c r="G219" s="14">
        <v>508375945</v>
      </c>
      <c r="H219" s="28" t="s">
        <v>625</v>
      </c>
      <c r="I219" s="28" t="s">
        <v>626</v>
      </c>
      <c r="J219" s="3" t="s">
        <v>627</v>
      </c>
      <c r="K219" s="15" t="s">
        <v>624</v>
      </c>
      <c r="L219" s="25"/>
      <c r="N219" s="15" t="s">
        <v>628</v>
      </c>
      <c r="O219" s="4" t="s">
        <v>24</v>
      </c>
      <c r="P219" s="37" t="s">
        <v>25</v>
      </c>
    </row>
    <row r="220" spans="1:16">
      <c r="A220" s="14">
        <v>10319</v>
      </c>
      <c r="B220" s="14" t="s">
        <v>629</v>
      </c>
      <c r="C220" s="14" t="s">
        <v>18</v>
      </c>
      <c r="D220" s="4" t="s">
        <v>19</v>
      </c>
      <c r="E220" s="14">
        <v>110721</v>
      </c>
      <c r="F220" s="14">
        <v>15270409187</v>
      </c>
      <c r="G220" s="14">
        <v>508375949</v>
      </c>
      <c r="H220" s="28" t="s">
        <v>630</v>
      </c>
      <c r="I220" s="28" t="s">
        <v>631</v>
      </c>
      <c r="J220" s="3" t="s">
        <v>632</v>
      </c>
      <c r="K220" s="15" t="s">
        <v>629</v>
      </c>
      <c r="L220" s="25"/>
      <c r="N220" s="15" t="s">
        <v>633</v>
      </c>
      <c r="O220" s="4" t="s">
        <v>24</v>
      </c>
      <c r="P220" s="37" t="s">
        <v>25</v>
      </c>
    </row>
    <row r="221" spans="1:16">
      <c r="A221" s="14">
        <v>10320</v>
      </c>
      <c r="B221" s="14" t="s">
        <v>634</v>
      </c>
      <c r="C221" s="14" t="s">
        <v>18</v>
      </c>
      <c r="D221" s="4" t="s">
        <v>19</v>
      </c>
      <c r="E221" s="14">
        <v>110722</v>
      </c>
      <c r="F221" s="14">
        <v>15270411853</v>
      </c>
      <c r="G221" s="14">
        <v>508375941</v>
      </c>
      <c r="H221" s="28" t="s">
        <v>635</v>
      </c>
      <c r="I221" s="28" t="s">
        <v>636</v>
      </c>
      <c r="J221" s="3" t="s">
        <v>637</v>
      </c>
      <c r="K221" s="15" t="s">
        <v>634</v>
      </c>
      <c r="L221" s="25"/>
      <c r="N221" s="15" t="s">
        <v>638</v>
      </c>
      <c r="O221" s="4" t="s">
        <v>24</v>
      </c>
      <c r="P221" s="37" t="s">
        <v>25</v>
      </c>
    </row>
    <row r="222" spans="1:16">
      <c r="A222" s="14">
        <v>10321</v>
      </c>
      <c r="B222" s="14" t="s">
        <v>639</v>
      </c>
      <c r="C222" s="14" t="s">
        <v>18</v>
      </c>
      <c r="D222" s="4" t="s">
        <v>19</v>
      </c>
      <c r="E222" s="14">
        <v>110723</v>
      </c>
      <c r="F222" s="14">
        <v>15270411854</v>
      </c>
      <c r="G222" s="14">
        <v>508375946</v>
      </c>
      <c r="H222" s="28" t="s">
        <v>640</v>
      </c>
      <c r="I222" s="28" t="s">
        <v>641</v>
      </c>
      <c r="J222" s="3" t="s">
        <v>642</v>
      </c>
      <c r="K222" s="15" t="s">
        <v>639</v>
      </c>
      <c r="L222" s="25"/>
      <c r="N222" s="15" t="s">
        <v>643</v>
      </c>
      <c r="O222" s="4" t="s">
        <v>24</v>
      </c>
      <c r="P222" s="37" t="s">
        <v>25</v>
      </c>
    </row>
    <row r="223" spans="1:16">
      <c r="A223" s="14">
        <v>10322</v>
      </c>
      <c r="B223" s="14" t="s">
        <v>644</v>
      </c>
      <c r="C223" s="14" t="s">
        <v>18</v>
      </c>
      <c r="D223" s="4" t="s">
        <v>19</v>
      </c>
      <c r="E223" s="14">
        <v>110724</v>
      </c>
      <c r="F223" s="14">
        <v>15270411855</v>
      </c>
      <c r="G223" s="14">
        <v>508375939</v>
      </c>
      <c r="H223" s="28" t="s">
        <v>645</v>
      </c>
      <c r="I223" s="28" t="s">
        <v>646</v>
      </c>
      <c r="J223" s="3" t="s">
        <v>647</v>
      </c>
      <c r="K223" s="15" t="s">
        <v>644</v>
      </c>
      <c r="L223" s="25"/>
      <c r="N223" s="15" t="s">
        <v>648</v>
      </c>
      <c r="O223" s="4" t="s">
        <v>24</v>
      </c>
      <c r="P223" s="37" t="s">
        <v>25</v>
      </c>
    </row>
    <row r="224" spans="1:16">
      <c r="A224" s="14">
        <v>10323</v>
      </c>
      <c r="B224" s="14" t="s">
        <v>649</v>
      </c>
      <c r="C224" s="14" t="s">
        <v>18</v>
      </c>
      <c r="D224" s="4" t="s">
        <v>19</v>
      </c>
      <c r="E224" s="14">
        <v>110725</v>
      </c>
      <c r="F224" s="14">
        <v>15270411856</v>
      </c>
      <c r="G224" s="14">
        <v>508375940</v>
      </c>
      <c r="H224" s="28" t="s">
        <v>650</v>
      </c>
      <c r="I224" s="28" t="s">
        <v>651</v>
      </c>
      <c r="J224" s="3" t="s">
        <v>652</v>
      </c>
      <c r="K224" s="15" t="s">
        <v>649</v>
      </c>
      <c r="L224" s="25"/>
      <c r="N224" s="15" t="s">
        <v>653</v>
      </c>
      <c r="O224" s="4" t="s">
        <v>24</v>
      </c>
      <c r="P224" s="37" t="s">
        <v>25</v>
      </c>
    </row>
    <row r="225" spans="1:30">
      <c r="A225" s="14">
        <v>10324</v>
      </c>
      <c r="B225" s="14" t="s">
        <v>654</v>
      </c>
      <c r="C225" s="14" t="s">
        <v>18</v>
      </c>
      <c r="D225" s="4" t="s">
        <v>19</v>
      </c>
      <c r="E225" s="14">
        <v>100367</v>
      </c>
      <c r="F225" s="14">
        <v>9010077687</v>
      </c>
      <c r="G225" s="14">
        <v>427517060</v>
      </c>
      <c r="H225" s="28" t="s">
        <v>655</v>
      </c>
      <c r="I225" s="28" t="s">
        <v>656</v>
      </c>
      <c r="J225" s="3" t="s">
        <v>657</v>
      </c>
      <c r="K225" s="15" t="s">
        <v>654</v>
      </c>
      <c r="L225" s="25"/>
      <c r="N225" s="15" t="s">
        <v>658</v>
      </c>
      <c r="O225" s="4" t="s">
        <v>24</v>
      </c>
      <c r="P225" s="37" t="s">
        <v>25</v>
      </c>
    </row>
    <row r="226" spans="1:30">
      <c r="A226" s="14">
        <v>10325</v>
      </c>
      <c r="B226" s="14" t="s">
        <v>659</v>
      </c>
      <c r="C226" s="14" t="s">
        <v>18</v>
      </c>
      <c r="D226" s="4" t="s">
        <v>19</v>
      </c>
      <c r="E226" s="14">
        <v>110726</v>
      </c>
      <c r="F226" s="14">
        <v>15270426165</v>
      </c>
      <c r="G226" s="14">
        <v>508375950</v>
      </c>
      <c r="H226" s="28" t="s">
        <v>660</v>
      </c>
      <c r="I226" s="28" t="s">
        <v>661</v>
      </c>
      <c r="J226" s="3" t="s">
        <v>662</v>
      </c>
      <c r="K226" s="15" t="s">
        <v>659</v>
      </c>
      <c r="L226" s="25"/>
      <c r="N226" s="15" t="s">
        <v>663</v>
      </c>
      <c r="O226" s="4" t="s">
        <v>24</v>
      </c>
      <c r="P226" s="37" t="s">
        <v>25</v>
      </c>
    </row>
    <row r="227" spans="1:30">
      <c r="A227" s="14">
        <v>10326</v>
      </c>
      <c r="B227" s="14" t="s">
        <v>664</v>
      </c>
      <c r="C227" s="14" t="s">
        <v>18</v>
      </c>
      <c r="D227" s="4" t="s">
        <v>19</v>
      </c>
      <c r="E227" s="14">
        <v>110727</v>
      </c>
      <c r="F227" s="14">
        <v>15270432552</v>
      </c>
      <c r="G227" s="14">
        <v>508375943</v>
      </c>
      <c r="H227" s="28" t="s">
        <v>665</v>
      </c>
      <c r="I227" s="28" t="s">
        <v>666</v>
      </c>
      <c r="J227" s="3" t="s">
        <v>667</v>
      </c>
      <c r="K227" s="15" t="s">
        <v>664</v>
      </c>
      <c r="L227" s="25"/>
      <c r="N227" s="15" t="s">
        <v>668</v>
      </c>
      <c r="O227" s="4" t="s">
        <v>24</v>
      </c>
      <c r="P227" s="37" t="s">
        <v>25</v>
      </c>
    </row>
    <row r="228" spans="1:30">
      <c r="A228" s="14">
        <v>10327</v>
      </c>
      <c r="B228" s="14" t="s">
        <v>669</v>
      </c>
      <c r="C228" s="14" t="s">
        <v>18</v>
      </c>
      <c r="D228" s="4" t="s">
        <v>19</v>
      </c>
      <c r="E228" s="14">
        <v>100368</v>
      </c>
      <c r="F228" s="14">
        <v>9010079757</v>
      </c>
      <c r="G228" s="14">
        <v>427517035</v>
      </c>
      <c r="H228" s="28" t="s">
        <v>670</v>
      </c>
      <c r="I228" s="28" t="s">
        <v>671</v>
      </c>
      <c r="J228" s="3" t="s">
        <v>672</v>
      </c>
      <c r="K228" s="15" t="s">
        <v>669</v>
      </c>
      <c r="L228" s="25"/>
      <c r="N228" s="15" t="s">
        <v>673</v>
      </c>
      <c r="O228" s="4" t="s">
        <v>24</v>
      </c>
      <c r="P228" s="37" t="s">
        <v>25</v>
      </c>
    </row>
    <row r="229" spans="1:30">
      <c r="A229" s="14">
        <v>10328</v>
      </c>
      <c r="B229" s="14" t="s">
        <v>674</v>
      </c>
      <c r="C229" s="14" t="s">
        <v>18</v>
      </c>
      <c r="D229" s="4" t="s">
        <v>19</v>
      </c>
      <c r="E229" s="14">
        <v>110728</v>
      </c>
      <c r="F229" s="14">
        <v>15270437413</v>
      </c>
      <c r="G229" s="14">
        <v>508375948</v>
      </c>
      <c r="H229" s="28" t="s">
        <v>675</v>
      </c>
      <c r="I229" s="28" t="s">
        <v>676</v>
      </c>
      <c r="J229" s="3" t="s">
        <v>677</v>
      </c>
      <c r="K229" s="15" t="s">
        <v>674</v>
      </c>
      <c r="L229" s="25"/>
      <c r="N229" s="15" t="s">
        <v>678</v>
      </c>
      <c r="O229" s="4" t="s">
        <v>24</v>
      </c>
      <c r="P229" s="37" t="s">
        <v>25</v>
      </c>
    </row>
    <row r="230" spans="1:30">
      <c r="A230" s="14">
        <v>10329</v>
      </c>
      <c r="B230" s="14" t="s">
        <v>679</v>
      </c>
      <c r="C230" s="14" t="s">
        <v>18</v>
      </c>
      <c r="D230" s="4" t="s">
        <v>19</v>
      </c>
      <c r="E230" s="14">
        <v>110729</v>
      </c>
      <c r="F230" s="14">
        <v>15270865546</v>
      </c>
      <c r="G230" s="14">
        <v>508375942</v>
      </c>
      <c r="H230" s="28" t="s">
        <v>680</v>
      </c>
      <c r="I230" s="28" t="s">
        <v>681</v>
      </c>
      <c r="J230" s="3" t="s">
        <v>682</v>
      </c>
      <c r="K230" s="15" t="s">
        <v>679</v>
      </c>
      <c r="L230" s="25"/>
      <c r="N230" s="15" t="s">
        <v>683</v>
      </c>
      <c r="O230" s="4" t="s">
        <v>24</v>
      </c>
      <c r="P230" s="37" t="s">
        <v>25</v>
      </c>
    </row>
    <row r="231" spans="1:30" s="6" customFormat="1" ht="15.75" thickBot="1">
      <c r="A231" s="17">
        <v>10330</v>
      </c>
      <c r="B231" s="17" t="s">
        <v>684</v>
      </c>
      <c r="C231" s="17" t="s">
        <v>18</v>
      </c>
      <c r="D231" s="6" t="s">
        <v>19</v>
      </c>
      <c r="E231" s="17">
        <v>110730</v>
      </c>
      <c r="F231" s="17">
        <v>15270911421</v>
      </c>
      <c r="G231" s="17">
        <v>508375944</v>
      </c>
      <c r="H231" s="30" t="s">
        <v>685</v>
      </c>
      <c r="I231" s="30" t="s">
        <v>686</v>
      </c>
      <c r="J231" s="6" t="s">
        <v>687</v>
      </c>
      <c r="K231" s="18" t="s">
        <v>684</v>
      </c>
      <c r="L231" s="26"/>
      <c r="N231" s="18" t="s">
        <v>688</v>
      </c>
      <c r="O231" s="6" t="s">
        <v>24</v>
      </c>
      <c r="P231" s="37" t="s">
        <v>25</v>
      </c>
    </row>
    <row r="232" spans="1:30" s="7" customFormat="1">
      <c r="A232" s="14">
        <v>10401</v>
      </c>
      <c r="B232" s="13"/>
      <c r="C232" s="13" t="s">
        <v>689</v>
      </c>
      <c r="D232" s="4"/>
      <c r="E232" s="13"/>
      <c r="F232" s="13"/>
      <c r="G232" s="13"/>
      <c r="H232" s="27"/>
      <c r="I232" s="27"/>
      <c r="J232" s="4"/>
      <c r="K232" s="4"/>
      <c r="L232" s="24"/>
      <c r="M232" s="4"/>
      <c r="N232" s="4"/>
      <c r="O232" s="4"/>
      <c r="P232" s="4"/>
      <c r="Q232" s="4"/>
      <c r="R232" s="4"/>
      <c r="S232" s="4"/>
      <c r="T232" s="4"/>
      <c r="U232" s="4"/>
      <c r="V232" s="4"/>
      <c r="W232" s="4"/>
      <c r="X232" s="4"/>
      <c r="Y232" s="4"/>
      <c r="Z232" s="4"/>
      <c r="AA232" s="4"/>
      <c r="AB232" s="4"/>
      <c r="AC232" s="4"/>
      <c r="AD232" s="4"/>
    </row>
    <row r="233" spans="1:30" s="7" customFormat="1">
      <c r="A233" s="14">
        <v>10402</v>
      </c>
      <c r="B233" s="14"/>
      <c r="C233" s="14" t="s">
        <v>689</v>
      </c>
      <c r="D233" s="3"/>
      <c r="E233" s="14"/>
      <c r="F233" s="14"/>
      <c r="G233" s="14"/>
      <c r="H233" s="28"/>
      <c r="I233" s="28"/>
      <c r="J233" s="3"/>
      <c r="K233" s="3"/>
      <c r="L233" s="25"/>
      <c r="M233" s="3"/>
      <c r="N233" s="3"/>
      <c r="O233" s="3"/>
      <c r="P233" s="3"/>
      <c r="Q233" s="3"/>
      <c r="R233" s="3"/>
      <c r="S233" s="3"/>
      <c r="T233" s="3"/>
      <c r="U233" s="3"/>
      <c r="V233" s="3"/>
      <c r="W233" s="3"/>
      <c r="X233" s="3"/>
      <c r="Y233" s="3"/>
      <c r="Z233" s="3"/>
      <c r="AA233" s="3"/>
      <c r="AB233" s="3"/>
      <c r="AC233" s="3"/>
      <c r="AD233" s="3"/>
    </row>
    <row r="234" spans="1:30" s="7" customFormat="1">
      <c r="A234" s="14">
        <v>10403</v>
      </c>
      <c r="B234" s="14"/>
      <c r="C234" s="14" t="s">
        <v>689</v>
      </c>
      <c r="D234" s="3"/>
      <c r="E234" s="14"/>
      <c r="F234" s="14"/>
      <c r="G234" s="14"/>
      <c r="H234" s="28"/>
      <c r="I234" s="28"/>
      <c r="J234" s="3"/>
      <c r="K234" s="3"/>
      <c r="L234" s="25"/>
      <c r="M234" s="3"/>
      <c r="N234" s="3"/>
      <c r="O234" s="3"/>
      <c r="P234" s="3"/>
      <c r="Q234" s="3"/>
      <c r="R234" s="3"/>
      <c r="S234" s="3"/>
      <c r="T234" s="3"/>
      <c r="U234" s="3"/>
      <c r="V234" s="3"/>
      <c r="W234" s="3"/>
      <c r="X234" s="3"/>
      <c r="Y234" s="3"/>
      <c r="Z234" s="3"/>
      <c r="AA234" s="3"/>
      <c r="AB234" s="3"/>
      <c r="AC234" s="3"/>
      <c r="AD234" s="3"/>
    </row>
    <row r="235" spans="1:30" s="7" customFormat="1">
      <c r="A235" s="14">
        <v>10404</v>
      </c>
      <c r="B235" s="14"/>
      <c r="C235" s="14" t="s">
        <v>689</v>
      </c>
      <c r="D235" s="3"/>
      <c r="E235" s="14"/>
      <c r="F235" s="14"/>
      <c r="G235" s="14"/>
      <c r="H235" s="28"/>
      <c r="I235" s="28"/>
      <c r="J235" s="3"/>
      <c r="K235" s="3"/>
      <c r="L235" s="25"/>
      <c r="M235" s="3"/>
      <c r="N235" s="3"/>
      <c r="O235" s="3"/>
      <c r="P235" s="3"/>
      <c r="Q235" s="3"/>
      <c r="R235" s="3"/>
      <c r="S235" s="3"/>
      <c r="T235" s="3"/>
      <c r="U235" s="3"/>
      <c r="V235" s="3"/>
      <c r="W235" s="3"/>
      <c r="X235" s="3"/>
      <c r="Y235" s="3"/>
      <c r="Z235" s="3"/>
      <c r="AA235" s="3"/>
      <c r="AB235" s="3"/>
      <c r="AC235" s="3"/>
      <c r="AD235" s="3"/>
    </row>
    <row r="236" spans="1:30" s="7" customFormat="1">
      <c r="A236" s="14">
        <v>10405</v>
      </c>
      <c r="B236" s="14" t="s">
        <v>690</v>
      </c>
      <c r="C236" s="14" t="s">
        <v>691</v>
      </c>
      <c r="D236" s="14" t="s">
        <v>19</v>
      </c>
      <c r="E236" s="14">
        <v>105361</v>
      </c>
      <c r="F236" s="14">
        <v>11505646564</v>
      </c>
      <c r="G236" s="14">
        <v>458765043</v>
      </c>
      <c r="H236" s="28"/>
      <c r="I236" s="28"/>
      <c r="J236" s="3" t="s">
        <v>692</v>
      </c>
      <c r="K236" s="15" t="s">
        <v>693</v>
      </c>
      <c r="L236" s="19" t="s">
        <v>694</v>
      </c>
      <c r="M236" s="20" t="s">
        <v>694</v>
      </c>
      <c r="N236" s="15" t="s">
        <v>695</v>
      </c>
      <c r="O236" s="3"/>
      <c r="P236" s="37" t="s">
        <v>25</v>
      </c>
      <c r="Q236" s="3"/>
      <c r="R236" s="3"/>
      <c r="S236" s="3"/>
      <c r="T236" s="3"/>
      <c r="U236" s="3"/>
      <c r="V236" s="3"/>
      <c r="W236" s="3"/>
      <c r="X236" s="3"/>
      <c r="Y236" s="3"/>
      <c r="Z236" s="3"/>
      <c r="AA236" s="3"/>
      <c r="AB236" s="3"/>
      <c r="AC236" s="3"/>
      <c r="AD236" s="3"/>
    </row>
    <row r="237" spans="1:30" s="7" customFormat="1">
      <c r="A237" s="14">
        <v>10406</v>
      </c>
      <c r="B237" s="14"/>
      <c r="C237" s="14" t="s">
        <v>689</v>
      </c>
      <c r="D237" s="14"/>
      <c r="E237" s="14"/>
      <c r="F237" s="14"/>
      <c r="G237" s="14"/>
      <c r="H237" s="28"/>
      <c r="I237" s="28"/>
      <c r="J237" s="3"/>
      <c r="K237" s="3"/>
      <c r="L237" s="19"/>
      <c r="M237" s="3"/>
      <c r="N237" s="3"/>
      <c r="O237" s="3"/>
      <c r="P237" s="3"/>
      <c r="Q237" s="3"/>
      <c r="R237" s="3"/>
      <c r="S237" s="3"/>
      <c r="T237" s="3"/>
      <c r="U237" s="3"/>
      <c r="V237" s="3"/>
      <c r="W237" s="3"/>
      <c r="X237" s="3"/>
      <c r="Y237" s="3"/>
      <c r="Z237" s="3"/>
      <c r="AA237" s="3"/>
      <c r="AB237" s="3"/>
      <c r="AC237" s="3"/>
      <c r="AD237" s="3"/>
    </row>
    <row r="238" spans="1:30" s="7" customFormat="1">
      <c r="A238" s="14">
        <v>10407</v>
      </c>
      <c r="B238" s="14"/>
      <c r="C238" s="14" t="s">
        <v>689</v>
      </c>
      <c r="D238" s="14"/>
      <c r="E238" s="14"/>
      <c r="F238" s="14"/>
      <c r="G238" s="14"/>
      <c r="H238" s="28"/>
      <c r="I238" s="28"/>
      <c r="J238" s="3"/>
      <c r="K238" s="3"/>
      <c r="L238" s="19"/>
      <c r="M238" s="3"/>
      <c r="N238" s="3"/>
      <c r="O238" s="3"/>
      <c r="P238" s="3"/>
      <c r="Q238" s="3"/>
      <c r="R238" s="3"/>
      <c r="S238" s="3"/>
      <c r="T238" s="3"/>
      <c r="U238" s="3"/>
      <c r="V238" s="3"/>
      <c r="W238" s="3"/>
      <c r="X238" s="3"/>
      <c r="Y238" s="3"/>
      <c r="Z238" s="3"/>
      <c r="AA238" s="3"/>
      <c r="AB238" s="3"/>
      <c r="AC238" s="3"/>
      <c r="AD238" s="3"/>
    </row>
    <row r="239" spans="1:30" s="7" customFormat="1">
      <c r="A239" s="14">
        <v>10408</v>
      </c>
      <c r="B239" s="14" t="s">
        <v>696</v>
      </c>
      <c r="C239" s="14" t="s">
        <v>691</v>
      </c>
      <c r="D239" s="4" t="s">
        <v>19</v>
      </c>
      <c r="E239" s="14">
        <v>113171</v>
      </c>
      <c r="F239" s="14">
        <v>16354099306</v>
      </c>
      <c r="G239" s="14">
        <v>521876205</v>
      </c>
      <c r="H239" s="28"/>
      <c r="I239" s="28"/>
      <c r="J239" s="3" t="s">
        <v>697</v>
      </c>
      <c r="K239" s="15" t="s">
        <v>698</v>
      </c>
      <c r="L239" s="19" t="s">
        <v>699</v>
      </c>
      <c r="M239" s="20" t="s">
        <v>700</v>
      </c>
      <c r="N239" s="15" t="s">
        <v>701</v>
      </c>
      <c r="O239" s="3"/>
      <c r="P239" s="37" t="s">
        <v>25</v>
      </c>
      <c r="Q239" s="3"/>
      <c r="R239" s="3"/>
      <c r="S239" s="3"/>
      <c r="T239" s="3"/>
      <c r="U239" s="3"/>
      <c r="V239" s="3"/>
      <c r="W239" s="3"/>
      <c r="X239" s="3"/>
      <c r="Y239" s="3"/>
      <c r="Z239" s="3"/>
      <c r="AA239" s="3"/>
      <c r="AB239" s="3"/>
      <c r="AC239" s="3"/>
      <c r="AD239" s="3"/>
    </row>
    <row r="240" spans="1:30" s="7" customFormat="1">
      <c r="A240" s="14">
        <v>10409</v>
      </c>
      <c r="B240" s="14" t="s">
        <v>702</v>
      </c>
      <c r="C240" s="14" t="s">
        <v>689</v>
      </c>
      <c r="D240" s="4" t="s">
        <v>19</v>
      </c>
      <c r="E240" s="14">
        <v>104107</v>
      </c>
      <c r="F240" s="14">
        <v>10729561026</v>
      </c>
      <c r="G240" s="14">
        <v>491131479</v>
      </c>
      <c r="H240" s="28"/>
      <c r="I240" s="28"/>
      <c r="J240" s="3" t="s">
        <v>703</v>
      </c>
      <c r="K240" s="15" t="s">
        <v>704</v>
      </c>
      <c r="L240" s="19" t="s">
        <v>705</v>
      </c>
      <c r="M240" s="20" t="s">
        <v>706</v>
      </c>
      <c r="N240" s="15" t="s">
        <v>707</v>
      </c>
      <c r="O240" s="3"/>
      <c r="P240" s="37" t="s">
        <v>25</v>
      </c>
      <c r="Q240" s="3"/>
      <c r="R240" s="3"/>
      <c r="S240" s="3"/>
      <c r="T240" s="3"/>
      <c r="U240" s="3"/>
      <c r="V240" s="3"/>
      <c r="W240" s="3"/>
      <c r="X240" s="3"/>
      <c r="Y240" s="3"/>
      <c r="Z240" s="3"/>
      <c r="AA240" s="3"/>
      <c r="AB240" s="3"/>
      <c r="AC240" s="3"/>
      <c r="AD240" s="3"/>
    </row>
    <row r="241" spans="1:30" s="7" customFormat="1">
      <c r="A241" s="14">
        <v>10410</v>
      </c>
      <c r="B241" s="14"/>
      <c r="C241" s="14" t="s">
        <v>689</v>
      </c>
      <c r="D241" s="14"/>
      <c r="E241" s="14"/>
      <c r="F241" s="14"/>
      <c r="G241" s="14"/>
      <c r="H241" s="28"/>
      <c r="I241" s="28"/>
      <c r="J241" s="3"/>
      <c r="K241" s="3"/>
      <c r="L241" s="19"/>
      <c r="M241" s="3"/>
      <c r="N241" s="3"/>
      <c r="O241" s="3"/>
      <c r="P241" s="3"/>
      <c r="Q241" s="3"/>
      <c r="R241" s="3"/>
      <c r="S241" s="3"/>
      <c r="T241" s="3"/>
      <c r="U241" s="3"/>
      <c r="V241" s="3"/>
      <c r="W241" s="3"/>
      <c r="X241" s="3"/>
      <c r="Y241" s="3"/>
      <c r="Z241" s="3"/>
      <c r="AA241" s="3"/>
      <c r="AB241" s="3"/>
      <c r="AC241" s="3"/>
      <c r="AD241" s="3"/>
    </row>
    <row r="242" spans="1:30" s="7" customFormat="1">
      <c r="A242" s="14">
        <v>10411</v>
      </c>
      <c r="B242" s="14"/>
      <c r="C242" s="14" t="s">
        <v>689</v>
      </c>
      <c r="D242" s="14"/>
      <c r="E242" s="14"/>
      <c r="F242" s="14"/>
      <c r="G242" s="14"/>
      <c r="H242" s="28"/>
      <c r="I242" s="28"/>
      <c r="J242" s="3"/>
      <c r="K242" s="3"/>
      <c r="L242" s="19"/>
      <c r="M242" s="3"/>
      <c r="N242" s="3"/>
      <c r="O242" s="3"/>
      <c r="P242" s="3"/>
      <c r="Q242" s="3"/>
      <c r="R242" s="3"/>
      <c r="S242" s="3"/>
      <c r="T242" s="3"/>
      <c r="U242" s="3"/>
      <c r="V242" s="3"/>
      <c r="W242" s="3"/>
      <c r="X242" s="3"/>
      <c r="Y242" s="3"/>
      <c r="Z242" s="3"/>
      <c r="AA242" s="3"/>
      <c r="AB242" s="3"/>
      <c r="AC242" s="3"/>
      <c r="AD242" s="3"/>
    </row>
    <row r="243" spans="1:30" s="7" customFormat="1">
      <c r="A243" s="14">
        <v>10412</v>
      </c>
      <c r="B243" s="14"/>
      <c r="C243" s="14" t="s">
        <v>689</v>
      </c>
      <c r="D243" s="14"/>
      <c r="E243" s="14"/>
      <c r="F243" s="14"/>
      <c r="G243" s="14"/>
      <c r="H243" s="28"/>
      <c r="I243" s="28"/>
      <c r="J243" s="3"/>
      <c r="K243" s="3"/>
      <c r="L243" s="19"/>
      <c r="M243" s="3"/>
      <c r="N243" s="3"/>
      <c r="O243" s="3"/>
      <c r="P243" s="3"/>
      <c r="Q243" s="3"/>
      <c r="R243" s="3"/>
      <c r="S243" s="3"/>
      <c r="T243" s="3"/>
      <c r="U243" s="3"/>
      <c r="V243" s="3"/>
      <c r="W243" s="3"/>
      <c r="X243" s="3"/>
      <c r="Y243" s="3"/>
      <c r="Z243" s="3"/>
      <c r="AA243" s="3"/>
      <c r="AB243" s="3"/>
      <c r="AC243" s="3"/>
      <c r="AD243" s="3"/>
    </row>
    <row r="244" spans="1:30" s="7" customFormat="1">
      <c r="A244" s="14">
        <v>10413</v>
      </c>
      <c r="B244" s="14" t="s">
        <v>708</v>
      </c>
      <c r="C244" s="14" t="s">
        <v>689</v>
      </c>
      <c r="D244" s="4" t="s">
        <v>19</v>
      </c>
      <c r="E244" s="14">
        <v>98978</v>
      </c>
      <c r="F244" s="14">
        <v>8171907824</v>
      </c>
      <c r="G244" s="14">
        <v>418779621</v>
      </c>
      <c r="H244" s="28"/>
      <c r="I244" s="28"/>
      <c r="J244" s="3" t="s">
        <v>709</v>
      </c>
      <c r="K244" s="15" t="s">
        <v>710</v>
      </c>
      <c r="L244" s="19" t="s">
        <v>711</v>
      </c>
      <c r="M244" s="20" t="s">
        <v>712</v>
      </c>
      <c r="N244" s="15" t="s">
        <v>713</v>
      </c>
      <c r="O244" s="3"/>
      <c r="P244" s="37" t="s">
        <v>25</v>
      </c>
      <c r="Q244" s="3"/>
      <c r="R244" s="3"/>
      <c r="S244" s="3"/>
      <c r="T244" s="3"/>
      <c r="U244" s="3"/>
      <c r="V244" s="3"/>
      <c r="W244" s="3"/>
      <c r="X244" s="3"/>
      <c r="Y244" s="3"/>
      <c r="Z244" s="3"/>
      <c r="AA244" s="3"/>
      <c r="AB244" s="3"/>
      <c r="AC244" s="3"/>
      <c r="AD244" s="3"/>
    </row>
    <row r="245" spans="1:30" s="7" customFormat="1">
      <c r="A245" s="14">
        <v>10414</v>
      </c>
      <c r="B245" s="14" t="s">
        <v>714</v>
      </c>
      <c r="C245" s="14" t="s">
        <v>689</v>
      </c>
      <c r="D245" s="4" t="s">
        <v>19</v>
      </c>
      <c r="E245" s="14">
        <v>98971</v>
      </c>
      <c r="F245" s="14">
        <v>8169350941</v>
      </c>
      <c r="G245" s="14">
        <v>418779628</v>
      </c>
      <c r="H245" s="28"/>
      <c r="I245" s="28"/>
      <c r="J245" s="3" t="s">
        <v>715</v>
      </c>
      <c r="K245" s="15" t="s">
        <v>716</v>
      </c>
      <c r="L245" s="19" t="s">
        <v>717</v>
      </c>
      <c r="M245" s="20" t="s">
        <v>718</v>
      </c>
      <c r="N245" s="15" t="s">
        <v>719</v>
      </c>
      <c r="O245" s="3"/>
      <c r="P245" s="37" t="s">
        <v>25</v>
      </c>
      <c r="Q245" s="3"/>
      <c r="R245" s="3"/>
      <c r="S245" s="3"/>
      <c r="T245" s="3"/>
      <c r="U245" s="3"/>
      <c r="V245" s="3"/>
      <c r="W245" s="3"/>
      <c r="X245" s="3"/>
      <c r="Y245" s="3"/>
      <c r="Z245" s="3"/>
      <c r="AA245" s="3"/>
      <c r="AB245" s="3"/>
      <c r="AC245" s="3"/>
      <c r="AD245" s="3"/>
    </row>
    <row r="246" spans="1:30" s="7" customFormat="1">
      <c r="A246" s="14">
        <v>10415</v>
      </c>
      <c r="B246" s="14" t="s">
        <v>720</v>
      </c>
      <c r="C246" s="14" t="s">
        <v>689</v>
      </c>
      <c r="D246" s="4" t="s">
        <v>19</v>
      </c>
      <c r="E246" s="14">
        <v>98987</v>
      </c>
      <c r="F246" s="14">
        <v>8171988600</v>
      </c>
      <c r="G246" s="14">
        <v>418779638</v>
      </c>
      <c r="H246" s="28"/>
      <c r="I246" s="28"/>
      <c r="J246" s="3" t="s">
        <v>721</v>
      </c>
      <c r="K246" s="15" t="s">
        <v>722</v>
      </c>
      <c r="L246" s="19" t="s">
        <v>723</v>
      </c>
      <c r="M246" s="20" t="s">
        <v>724</v>
      </c>
      <c r="N246" s="15" t="s">
        <v>725</v>
      </c>
      <c r="O246" s="3"/>
      <c r="P246" s="37" t="s">
        <v>25</v>
      </c>
      <c r="Q246" s="3"/>
      <c r="R246" s="3"/>
      <c r="S246" s="3"/>
      <c r="T246" s="3"/>
      <c r="U246" s="3"/>
      <c r="V246" s="3"/>
      <c r="W246" s="3"/>
      <c r="X246" s="3"/>
      <c r="Y246" s="3"/>
      <c r="Z246" s="3"/>
      <c r="AA246" s="3"/>
      <c r="AB246" s="3"/>
      <c r="AC246" s="3"/>
      <c r="AD246" s="3"/>
    </row>
    <row r="247" spans="1:30" s="7" customFormat="1">
      <c r="A247" s="14">
        <v>10416</v>
      </c>
      <c r="B247" s="14" t="s">
        <v>726</v>
      </c>
      <c r="C247" s="14" t="s">
        <v>691</v>
      </c>
      <c r="D247" s="4" t="s">
        <v>19</v>
      </c>
      <c r="E247" s="14">
        <v>113170</v>
      </c>
      <c r="F247" s="14">
        <v>16354087548</v>
      </c>
      <c r="G247" s="14">
        <v>521876204</v>
      </c>
      <c r="H247" s="28"/>
      <c r="I247" s="28"/>
      <c r="J247" s="3" t="s">
        <v>727</v>
      </c>
      <c r="K247" s="15" t="s">
        <v>728</v>
      </c>
      <c r="L247" s="19" t="s">
        <v>729</v>
      </c>
      <c r="M247" s="20" t="s">
        <v>730</v>
      </c>
      <c r="N247" s="15" t="s">
        <v>731</v>
      </c>
      <c r="O247" s="3"/>
      <c r="P247" s="37" t="s">
        <v>25</v>
      </c>
      <c r="Q247" s="3"/>
      <c r="R247" s="3"/>
      <c r="S247" s="3"/>
      <c r="T247" s="3"/>
      <c r="U247" s="3"/>
      <c r="V247" s="3"/>
      <c r="W247" s="3"/>
      <c r="X247" s="3"/>
      <c r="Y247" s="3"/>
      <c r="Z247" s="3"/>
      <c r="AA247" s="3"/>
      <c r="AB247" s="3"/>
      <c r="AC247" s="3"/>
      <c r="AD247" s="3"/>
    </row>
    <row r="248" spans="1:30" s="7" customFormat="1">
      <c r="A248" s="14">
        <v>10417</v>
      </c>
      <c r="B248" s="14"/>
      <c r="C248" s="14" t="s">
        <v>689</v>
      </c>
      <c r="D248" s="14"/>
      <c r="E248" s="14"/>
      <c r="F248" s="14"/>
      <c r="G248" s="14"/>
      <c r="H248" s="28"/>
      <c r="I248" s="28"/>
      <c r="J248" s="3"/>
      <c r="K248" s="3"/>
      <c r="L248" s="19"/>
      <c r="M248" s="3"/>
      <c r="N248" s="3"/>
      <c r="O248" s="3"/>
      <c r="P248" s="3"/>
      <c r="Q248" s="3"/>
      <c r="R248" s="3"/>
      <c r="S248" s="3"/>
      <c r="T248" s="3"/>
      <c r="U248" s="3"/>
      <c r="V248" s="3"/>
      <c r="W248" s="3"/>
      <c r="X248" s="3"/>
      <c r="Y248" s="3"/>
      <c r="Z248" s="3"/>
      <c r="AA248" s="3"/>
      <c r="AB248" s="3"/>
      <c r="AC248" s="3"/>
      <c r="AD248" s="3"/>
    </row>
    <row r="249" spans="1:30" s="7" customFormat="1">
      <c r="A249" s="14">
        <v>10418</v>
      </c>
      <c r="B249" s="14"/>
      <c r="C249" s="14" t="s">
        <v>689</v>
      </c>
      <c r="D249" s="14"/>
      <c r="E249" s="14"/>
      <c r="F249" s="14"/>
      <c r="G249" s="14"/>
      <c r="H249" s="28"/>
      <c r="I249" s="28"/>
      <c r="J249" s="3"/>
      <c r="K249" s="3"/>
      <c r="L249" s="19"/>
      <c r="M249" s="3"/>
      <c r="N249" s="3"/>
      <c r="O249" s="3"/>
      <c r="P249" s="3"/>
      <c r="Q249" s="3"/>
      <c r="R249" s="3"/>
      <c r="S249" s="3"/>
      <c r="T249" s="3"/>
      <c r="U249" s="3"/>
      <c r="V249" s="3"/>
      <c r="W249" s="3"/>
      <c r="X249" s="3"/>
      <c r="Y249" s="3"/>
      <c r="Z249" s="3"/>
      <c r="AA249" s="3"/>
      <c r="AB249" s="3"/>
      <c r="AC249" s="3"/>
      <c r="AD249" s="3"/>
    </row>
    <row r="250" spans="1:30" s="7" customFormat="1">
      <c r="A250" s="14">
        <v>10419</v>
      </c>
      <c r="B250" s="14"/>
      <c r="C250" s="14" t="s">
        <v>689</v>
      </c>
      <c r="D250" s="14"/>
      <c r="E250" s="14"/>
      <c r="F250" s="14"/>
      <c r="G250" s="14"/>
      <c r="H250" s="28"/>
      <c r="I250" s="28"/>
      <c r="J250" s="3"/>
      <c r="K250" s="3"/>
      <c r="L250" s="19"/>
      <c r="M250" s="3"/>
      <c r="N250" s="3"/>
      <c r="O250" s="3"/>
      <c r="P250" s="3"/>
      <c r="Q250" s="3"/>
      <c r="R250" s="3"/>
      <c r="S250" s="3"/>
      <c r="T250" s="3"/>
      <c r="U250" s="3"/>
      <c r="V250" s="3"/>
      <c r="W250" s="3"/>
      <c r="X250" s="3"/>
      <c r="Y250" s="3"/>
      <c r="Z250" s="3"/>
      <c r="AA250" s="3"/>
      <c r="AB250" s="3"/>
      <c r="AC250" s="3"/>
      <c r="AD250" s="3"/>
    </row>
    <row r="251" spans="1:30" s="7" customFormat="1">
      <c r="A251" s="14">
        <v>10420</v>
      </c>
      <c r="B251" s="14"/>
      <c r="C251" s="14" t="s">
        <v>689</v>
      </c>
      <c r="D251" s="14"/>
      <c r="E251" s="14"/>
      <c r="F251" s="14"/>
      <c r="G251" s="14"/>
      <c r="H251" s="28"/>
      <c r="I251" s="28"/>
      <c r="J251" s="3"/>
      <c r="K251" s="3"/>
      <c r="L251" s="19"/>
      <c r="M251" s="3"/>
      <c r="N251" s="3"/>
      <c r="O251" s="3"/>
      <c r="P251" s="3"/>
      <c r="Q251" s="3"/>
      <c r="R251" s="3"/>
      <c r="S251" s="3"/>
      <c r="T251" s="3"/>
      <c r="U251" s="3"/>
      <c r="V251" s="3"/>
      <c r="W251" s="3"/>
      <c r="X251" s="3"/>
      <c r="Y251" s="3"/>
      <c r="Z251" s="3"/>
      <c r="AA251" s="3"/>
      <c r="AB251" s="3"/>
      <c r="AC251" s="3"/>
      <c r="AD251" s="3"/>
    </row>
    <row r="252" spans="1:30" s="7" customFormat="1">
      <c r="A252" s="14">
        <v>10421</v>
      </c>
      <c r="B252" s="14"/>
      <c r="C252" s="14" t="s">
        <v>689</v>
      </c>
      <c r="D252" s="14"/>
      <c r="E252" s="14"/>
      <c r="F252" s="14"/>
      <c r="G252" s="14"/>
      <c r="H252" s="28"/>
      <c r="I252" s="28"/>
      <c r="J252" s="3"/>
      <c r="K252" s="3"/>
      <c r="L252" s="19"/>
      <c r="M252" s="3"/>
      <c r="N252" s="3"/>
      <c r="O252" s="3"/>
      <c r="P252" s="3"/>
      <c r="Q252" s="3"/>
      <c r="R252" s="3"/>
      <c r="S252" s="3"/>
      <c r="T252" s="3"/>
      <c r="U252" s="3"/>
      <c r="V252" s="3"/>
      <c r="W252" s="3"/>
      <c r="X252" s="3"/>
      <c r="Y252" s="3"/>
      <c r="Z252" s="3"/>
      <c r="AA252" s="3"/>
      <c r="AB252" s="3"/>
      <c r="AC252" s="3"/>
      <c r="AD252" s="3"/>
    </row>
    <row r="253" spans="1:30" s="7" customFormat="1">
      <c r="A253" s="14">
        <v>10422</v>
      </c>
      <c r="B253" s="14"/>
      <c r="C253" s="14" t="s">
        <v>689</v>
      </c>
      <c r="D253" s="14"/>
      <c r="E253" s="14"/>
      <c r="F253" s="14"/>
      <c r="G253" s="14"/>
      <c r="H253" s="28"/>
      <c r="I253" s="28"/>
      <c r="J253" s="3"/>
      <c r="K253" s="3"/>
      <c r="L253" s="19"/>
      <c r="M253" s="3"/>
      <c r="N253" s="3"/>
      <c r="O253" s="3"/>
      <c r="P253" s="3"/>
      <c r="Q253" s="3"/>
      <c r="R253" s="3"/>
      <c r="S253" s="3"/>
      <c r="T253" s="3"/>
      <c r="U253" s="3"/>
      <c r="V253" s="3"/>
      <c r="W253" s="3"/>
      <c r="X253" s="3"/>
      <c r="Y253" s="3"/>
      <c r="Z253" s="3"/>
      <c r="AA253" s="3"/>
      <c r="AB253" s="3"/>
      <c r="AC253" s="3"/>
      <c r="AD253" s="3"/>
    </row>
    <row r="254" spans="1:30" s="7" customFormat="1">
      <c r="A254" s="14">
        <v>10423</v>
      </c>
      <c r="B254" s="14"/>
      <c r="C254" s="14" t="s">
        <v>689</v>
      </c>
      <c r="D254" s="14"/>
      <c r="E254" s="14"/>
      <c r="F254" s="14"/>
      <c r="G254" s="14"/>
      <c r="H254" s="28"/>
      <c r="I254" s="28"/>
      <c r="J254" s="3"/>
      <c r="K254" s="3"/>
      <c r="L254" s="19"/>
      <c r="M254" s="3"/>
      <c r="N254" s="3"/>
      <c r="O254" s="3"/>
      <c r="P254" s="3"/>
      <c r="Q254" s="3"/>
      <c r="R254" s="3"/>
      <c r="S254" s="3"/>
      <c r="T254" s="3"/>
      <c r="U254" s="3"/>
      <c r="V254" s="3"/>
      <c r="W254" s="3"/>
      <c r="X254" s="3"/>
      <c r="Y254" s="3"/>
      <c r="Z254" s="3"/>
      <c r="AA254" s="3"/>
      <c r="AB254" s="3"/>
      <c r="AC254" s="3"/>
      <c r="AD254" s="3"/>
    </row>
    <row r="255" spans="1:30" s="7" customFormat="1">
      <c r="A255" s="14">
        <v>10424</v>
      </c>
      <c r="B255" s="14" t="s">
        <v>732</v>
      </c>
      <c r="C255" s="14" t="s">
        <v>689</v>
      </c>
      <c r="D255" s="4" t="s">
        <v>19</v>
      </c>
      <c r="E255" s="14">
        <v>101521</v>
      </c>
      <c r="F255" s="14">
        <v>10076572877</v>
      </c>
      <c r="G255" s="14">
        <v>441567326</v>
      </c>
      <c r="H255" s="28"/>
      <c r="I255" s="28"/>
      <c r="J255" s="3" t="s">
        <v>733</v>
      </c>
      <c r="K255" s="15" t="s">
        <v>734</v>
      </c>
      <c r="L255" s="19" t="s">
        <v>735</v>
      </c>
      <c r="M255" s="20" t="s">
        <v>736</v>
      </c>
      <c r="N255" s="15" t="s">
        <v>737</v>
      </c>
      <c r="O255" s="3"/>
      <c r="P255" s="37" t="s">
        <v>25</v>
      </c>
      <c r="Q255" s="3"/>
      <c r="R255" s="3"/>
      <c r="S255" s="3"/>
      <c r="T255" s="3"/>
      <c r="U255" s="3"/>
      <c r="V255" s="3"/>
      <c r="W255" s="3"/>
      <c r="X255" s="3"/>
      <c r="Y255" s="3"/>
      <c r="Z255" s="3"/>
      <c r="AA255" s="3"/>
      <c r="AB255" s="3"/>
      <c r="AC255" s="3"/>
      <c r="AD255" s="3"/>
    </row>
    <row r="256" spans="1:30" s="7" customFormat="1">
      <c r="A256" s="14">
        <v>10425</v>
      </c>
      <c r="B256" s="14"/>
      <c r="C256" s="14" t="s">
        <v>689</v>
      </c>
      <c r="D256" s="14"/>
      <c r="E256" s="14"/>
      <c r="F256" s="14"/>
      <c r="G256" s="14"/>
      <c r="H256" s="28"/>
      <c r="I256" s="28"/>
      <c r="J256" s="3"/>
      <c r="K256" s="3"/>
      <c r="L256" s="19"/>
      <c r="M256" s="3"/>
      <c r="N256" s="3"/>
      <c r="O256" s="3"/>
      <c r="P256" s="3"/>
      <c r="Q256" s="3"/>
      <c r="R256" s="3"/>
      <c r="S256" s="3"/>
      <c r="T256" s="3"/>
      <c r="U256" s="3"/>
      <c r="V256" s="3"/>
      <c r="W256" s="3"/>
      <c r="X256" s="3"/>
      <c r="Y256" s="3"/>
      <c r="Z256" s="3"/>
      <c r="AA256" s="3"/>
      <c r="AB256" s="3"/>
      <c r="AC256" s="3"/>
      <c r="AD256" s="3"/>
    </row>
    <row r="257" spans="1:30" s="7" customFormat="1">
      <c r="A257" s="14">
        <v>10426</v>
      </c>
      <c r="B257" s="14"/>
      <c r="C257" s="14" t="s">
        <v>689</v>
      </c>
      <c r="D257" s="14"/>
      <c r="E257" s="14"/>
      <c r="F257" s="14"/>
      <c r="G257" s="14"/>
      <c r="H257" s="28"/>
      <c r="I257" s="28"/>
      <c r="J257" s="3"/>
      <c r="K257" s="3"/>
      <c r="L257" s="19"/>
      <c r="M257" s="3"/>
      <c r="N257" s="3"/>
      <c r="O257" s="3"/>
      <c r="P257" s="3"/>
      <c r="Q257" s="3"/>
      <c r="R257" s="3"/>
      <c r="S257" s="3"/>
      <c r="T257" s="3"/>
      <c r="U257" s="3"/>
      <c r="V257" s="3"/>
      <c r="W257" s="3"/>
      <c r="X257" s="3"/>
      <c r="Y257" s="3"/>
      <c r="Z257" s="3"/>
      <c r="AA257" s="3"/>
      <c r="AB257" s="3"/>
      <c r="AC257" s="3"/>
      <c r="AD257" s="3"/>
    </row>
    <row r="258" spans="1:30" s="7" customFormat="1">
      <c r="A258" s="14">
        <v>10427</v>
      </c>
      <c r="B258" s="14"/>
      <c r="C258" s="14" t="s">
        <v>689</v>
      </c>
      <c r="D258" s="14"/>
      <c r="E258" s="14"/>
      <c r="F258" s="14"/>
      <c r="G258" s="14"/>
      <c r="H258" s="28"/>
      <c r="I258" s="28"/>
      <c r="J258" s="3"/>
      <c r="K258" s="3"/>
      <c r="L258" s="19"/>
      <c r="M258" s="3"/>
      <c r="N258" s="3"/>
      <c r="O258" s="3"/>
      <c r="P258" s="3"/>
      <c r="Q258" s="3"/>
      <c r="R258" s="3"/>
      <c r="S258" s="3"/>
      <c r="T258" s="3"/>
      <c r="U258" s="3"/>
      <c r="V258" s="3"/>
      <c r="W258" s="3"/>
      <c r="X258" s="3"/>
      <c r="Y258" s="3"/>
      <c r="Z258" s="3"/>
      <c r="AA258" s="3"/>
      <c r="AB258" s="3"/>
      <c r="AC258" s="3"/>
      <c r="AD258" s="3"/>
    </row>
    <row r="259" spans="1:30" s="7" customFormat="1">
      <c r="A259" s="14">
        <v>10428</v>
      </c>
      <c r="B259" s="14" t="s">
        <v>738</v>
      </c>
      <c r="C259" s="14" t="s">
        <v>691</v>
      </c>
      <c r="D259" s="4" t="s">
        <v>19</v>
      </c>
      <c r="E259" s="14">
        <v>104150</v>
      </c>
      <c r="F259" s="14">
        <v>10748608116</v>
      </c>
      <c r="G259" s="14">
        <v>450071046</v>
      </c>
      <c r="H259" s="28"/>
      <c r="I259" s="28"/>
      <c r="J259" s="3" t="s">
        <v>738</v>
      </c>
      <c r="K259" s="15" t="s">
        <v>739</v>
      </c>
      <c r="L259" s="19" t="s">
        <v>740</v>
      </c>
      <c r="M259" s="20" t="s">
        <v>740</v>
      </c>
      <c r="N259" s="15" t="s">
        <v>741</v>
      </c>
      <c r="O259" s="3"/>
      <c r="P259" s="37" t="s">
        <v>25</v>
      </c>
      <c r="Q259" s="3"/>
      <c r="R259" s="3"/>
      <c r="S259" s="3"/>
      <c r="T259" s="3"/>
      <c r="U259" s="3"/>
      <c r="V259" s="3"/>
      <c r="W259" s="3"/>
      <c r="X259" s="3"/>
      <c r="Y259" s="3"/>
      <c r="Z259" s="3"/>
      <c r="AA259" s="3"/>
      <c r="AB259" s="3"/>
      <c r="AC259" s="3"/>
      <c r="AD259" s="3"/>
    </row>
    <row r="260" spans="1:30" s="7" customFormat="1">
      <c r="A260" s="14">
        <v>10429</v>
      </c>
      <c r="B260" s="14"/>
      <c r="C260" s="14" t="s">
        <v>689</v>
      </c>
      <c r="D260" s="14"/>
      <c r="E260" s="14"/>
      <c r="F260" s="14"/>
      <c r="G260" s="14"/>
      <c r="H260" s="28"/>
      <c r="I260" s="28"/>
      <c r="J260" s="3"/>
      <c r="K260" s="3"/>
      <c r="L260" s="19"/>
      <c r="M260" s="3"/>
      <c r="N260" s="3"/>
      <c r="O260" s="3"/>
      <c r="P260" s="3"/>
      <c r="Q260" s="3"/>
      <c r="R260" s="3"/>
      <c r="S260" s="3"/>
      <c r="T260" s="3"/>
      <c r="U260" s="3"/>
      <c r="V260" s="3"/>
      <c r="W260" s="3"/>
      <c r="X260" s="3"/>
      <c r="Y260" s="3"/>
      <c r="Z260" s="3"/>
      <c r="AA260" s="3"/>
      <c r="AB260" s="3"/>
      <c r="AC260" s="3"/>
      <c r="AD260" s="3"/>
    </row>
    <row r="261" spans="1:30" s="7" customFormat="1">
      <c r="A261" s="14">
        <v>10430</v>
      </c>
      <c r="B261" s="14"/>
      <c r="C261" s="14" t="s">
        <v>689</v>
      </c>
      <c r="D261" s="14"/>
      <c r="E261" s="14"/>
      <c r="F261" s="14"/>
      <c r="G261" s="14"/>
      <c r="H261" s="28"/>
      <c r="I261" s="28"/>
      <c r="J261" s="3"/>
      <c r="K261" s="3"/>
      <c r="L261" s="19"/>
      <c r="M261" s="3"/>
      <c r="N261" s="3"/>
      <c r="O261" s="3"/>
      <c r="P261" s="3"/>
      <c r="Q261" s="3"/>
      <c r="R261" s="3"/>
      <c r="S261" s="3"/>
      <c r="T261" s="3"/>
      <c r="U261" s="3"/>
      <c r="V261" s="3"/>
      <c r="W261" s="3"/>
      <c r="X261" s="3"/>
      <c r="Y261" s="3"/>
      <c r="Z261" s="3"/>
      <c r="AA261" s="3"/>
      <c r="AB261" s="3"/>
      <c r="AC261" s="3"/>
      <c r="AD261" s="3"/>
    </row>
    <row r="262" spans="1:30" s="7" customFormat="1">
      <c r="A262" s="14">
        <v>10431</v>
      </c>
      <c r="B262" s="14"/>
      <c r="C262" s="14" t="s">
        <v>689</v>
      </c>
      <c r="D262" s="14"/>
      <c r="E262" s="14"/>
      <c r="F262" s="14"/>
      <c r="G262" s="14"/>
      <c r="H262" s="28"/>
      <c r="I262" s="28"/>
      <c r="J262" s="3"/>
      <c r="K262" s="3"/>
      <c r="L262" s="19"/>
      <c r="M262" s="3"/>
      <c r="N262" s="3"/>
      <c r="O262" s="3"/>
      <c r="P262" s="3"/>
      <c r="Q262" s="3"/>
      <c r="R262" s="3"/>
      <c r="S262" s="3"/>
      <c r="T262" s="3"/>
      <c r="U262" s="3"/>
      <c r="V262" s="3"/>
      <c r="W262" s="3"/>
      <c r="X262" s="3"/>
      <c r="Y262" s="3"/>
      <c r="Z262" s="3"/>
      <c r="AA262" s="3"/>
      <c r="AB262" s="3"/>
      <c r="AC262" s="3"/>
      <c r="AD262" s="3"/>
    </row>
    <row r="263" spans="1:30" s="7" customFormat="1">
      <c r="A263" s="14">
        <v>10432</v>
      </c>
      <c r="B263" s="14" t="s">
        <v>742</v>
      </c>
      <c r="C263" s="14" t="s">
        <v>689</v>
      </c>
      <c r="D263" s="4" t="s">
        <v>19</v>
      </c>
      <c r="E263" s="14">
        <v>110332</v>
      </c>
      <c r="F263" s="14">
        <v>14837180431</v>
      </c>
      <c r="G263" s="14">
        <v>502634339</v>
      </c>
      <c r="H263" s="28"/>
      <c r="I263" s="28"/>
      <c r="J263" s="3" t="s">
        <v>743</v>
      </c>
      <c r="K263" s="15" t="s">
        <v>744</v>
      </c>
      <c r="L263" s="19" t="s">
        <v>745</v>
      </c>
      <c r="M263" s="20" t="s">
        <v>746</v>
      </c>
      <c r="N263" s="15" t="s">
        <v>747</v>
      </c>
      <c r="O263" s="3"/>
      <c r="P263" s="37" t="s">
        <v>25</v>
      </c>
      <c r="Q263" s="3"/>
      <c r="R263" s="3"/>
      <c r="S263" s="3"/>
      <c r="T263" s="3"/>
      <c r="U263" s="3"/>
      <c r="V263" s="3"/>
      <c r="W263" s="3"/>
      <c r="X263" s="3"/>
      <c r="Y263" s="3"/>
      <c r="Z263" s="3"/>
      <c r="AA263" s="3"/>
      <c r="AB263" s="3"/>
      <c r="AC263" s="3"/>
      <c r="AD263" s="3"/>
    </row>
    <row r="264" spans="1:30" s="7" customFormat="1">
      <c r="A264" s="14">
        <v>10433</v>
      </c>
      <c r="B264" s="14" t="s">
        <v>748</v>
      </c>
      <c r="C264" s="14" t="s">
        <v>689</v>
      </c>
      <c r="D264" s="4" t="s">
        <v>19</v>
      </c>
      <c r="E264" s="14">
        <v>99319</v>
      </c>
      <c r="F264" s="14">
        <v>8319394669</v>
      </c>
      <c r="G264" s="14">
        <v>420272276</v>
      </c>
      <c r="H264" s="28"/>
      <c r="I264" s="28"/>
      <c r="J264" s="3" t="s">
        <v>749</v>
      </c>
      <c r="K264" s="15" t="s">
        <v>750</v>
      </c>
      <c r="L264" s="19" t="s">
        <v>751</v>
      </c>
      <c r="M264" s="20" t="s">
        <v>752</v>
      </c>
      <c r="N264" s="15" t="s">
        <v>753</v>
      </c>
      <c r="O264" s="3"/>
      <c r="P264" s="37" t="s">
        <v>25</v>
      </c>
      <c r="Q264" s="3"/>
      <c r="R264" s="3"/>
      <c r="S264" s="3"/>
      <c r="T264" s="3"/>
      <c r="U264" s="3"/>
      <c r="V264" s="3"/>
      <c r="W264" s="3"/>
      <c r="X264" s="3"/>
      <c r="Y264" s="3"/>
      <c r="Z264" s="3"/>
      <c r="AA264" s="3"/>
      <c r="AB264" s="3"/>
      <c r="AC264" s="3"/>
      <c r="AD264" s="3"/>
    </row>
    <row r="265" spans="1:30" s="7" customFormat="1">
      <c r="A265" s="14">
        <v>10434</v>
      </c>
      <c r="B265" s="14"/>
      <c r="C265" s="14" t="s">
        <v>689</v>
      </c>
      <c r="D265" s="14"/>
      <c r="E265" s="14"/>
      <c r="F265" s="14"/>
      <c r="G265" s="14"/>
      <c r="H265" s="28"/>
      <c r="I265" s="28"/>
      <c r="J265" s="3"/>
      <c r="K265" s="3"/>
      <c r="L265" s="19"/>
      <c r="M265" s="3"/>
      <c r="N265" s="3"/>
      <c r="O265" s="3"/>
      <c r="P265" s="3"/>
      <c r="Q265" s="3"/>
      <c r="R265" s="3"/>
      <c r="S265" s="3"/>
      <c r="T265" s="3"/>
      <c r="U265" s="3"/>
      <c r="V265" s="3"/>
      <c r="W265" s="3"/>
      <c r="X265" s="3"/>
      <c r="Y265" s="3"/>
      <c r="Z265" s="3"/>
      <c r="AA265" s="3"/>
      <c r="AB265" s="3"/>
      <c r="AC265" s="3"/>
      <c r="AD265" s="3"/>
    </row>
    <row r="266" spans="1:30" s="7" customFormat="1">
      <c r="A266" s="14">
        <v>10435</v>
      </c>
      <c r="B266" s="14"/>
      <c r="C266" s="14" t="s">
        <v>689</v>
      </c>
      <c r="D266" s="14"/>
      <c r="E266" s="14"/>
      <c r="F266" s="14"/>
      <c r="G266" s="14"/>
      <c r="H266" s="28"/>
      <c r="I266" s="28"/>
      <c r="J266" s="3"/>
      <c r="K266" s="3"/>
      <c r="L266" s="19"/>
      <c r="M266" s="3"/>
      <c r="N266" s="3"/>
      <c r="O266" s="3"/>
      <c r="P266" s="3"/>
      <c r="Q266" s="3"/>
      <c r="R266" s="3"/>
      <c r="S266" s="3"/>
      <c r="T266" s="3"/>
      <c r="U266" s="3"/>
      <c r="V266" s="3"/>
      <c r="W266" s="3"/>
      <c r="X266" s="3"/>
      <c r="Y266" s="3"/>
      <c r="Z266" s="3"/>
      <c r="AA266" s="3"/>
      <c r="AB266" s="3"/>
      <c r="AC266" s="3"/>
      <c r="AD266" s="3"/>
    </row>
    <row r="267" spans="1:30" s="7" customFormat="1">
      <c r="A267" s="14">
        <v>10436</v>
      </c>
      <c r="B267" s="14"/>
      <c r="C267" s="14" t="s">
        <v>689</v>
      </c>
      <c r="D267" s="14"/>
      <c r="E267" s="14"/>
      <c r="F267" s="14"/>
      <c r="G267" s="14"/>
      <c r="H267" s="28"/>
      <c r="I267" s="28"/>
      <c r="J267" s="3"/>
      <c r="K267" s="3"/>
      <c r="L267" s="19"/>
      <c r="M267" s="3"/>
      <c r="N267" s="3"/>
      <c r="O267" s="3"/>
      <c r="P267" s="3"/>
      <c r="Q267" s="3"/>
      <c r="R267" s="3"/>
      <c r="S267" s="3"/>
      <c r="T267" s="3"/>
      <c r="U267" s="3"/>
      <c r="V267" s="3"/>
      <c r="W267" s="3"/>
      <c r="X267" s="3"/>
      <c r="Y267" s="3"/>
      <c r="Z267" s="3"/>
      <c r="AA267" s="3"/>
      <c r="AB267" s="3"/>
      <c r="AC267" s="3"/>
      <c r="AD267" s="3"/>
    </row>
    <row r="268" spans="1:30" s="7" customFormat="1">
      <c r="A268" s="14">
        <v>10437</v>
      </c>
      <c r="B268" s="14"/>
      <c r="C268" s="14" t="s">
        <v>689</v>
      </c>
      <c r="D268" s="14"/>
      <c r="E268" s="14"/>
      <c r="F268" s="14"/>
      <c r="G268" s="14"/>
      <c r="H268" s="28"/>
      <c r="I268" s="28"/>
      <c r="J268" s="3"/>
      <c r="K268" s="3"/>
      <c r="L268" s="19"/>
      <c r="M268" s="3"/>
      <c r="N268" s="3"/>
      <c r="O268" s="3"/>
      <c r="P268" s="3"/>
      <c r="Q268" s="3"/>
      <c r="R268" s="3"/>
      <c r="S268" s="3"/>
      <c r="T268" s="3"/>
      <c r="U268" s="3"/>
      <c r="V268" s="3"/>
      <c r="W268" s="3"/>
      <c r="X268" s="3"/>
      <c r="Y268" s="3"/>
      <c r="Z268" s="3"/>
      <c r="AA268" s="3"/>
      <c r="AB268" s="3"/>
      <c r="AC268" s="3"/>
      <c r="AD268" s="3"/>
    </row>
    <row r="269" spans="1:30" s="7" customFormat="1">
      <c r="A269" s="14">
        <v>10438</v>
      </c>
      <c r="B269" s="14"/>
      <c r="C269" s="14" t="s">
        <v>689</v>
      </c>
      <c r="D269" s="14"/>
      <c r="E269" s="14"/>
      <c r="F269" s="14"/>
      <c r="G269" s="14"/>
      <c r="H269" s="28"/>
      <c r="I269" s="28"/>
      <c r="J269" s="3"/>
      <c r="K269" s="3"/>
      <c r="L269" s="19"/>
      <c r="M269" s="3"/>
      <c r="N269" s="3"/>
      <c r="O269" s="3"/>
      <c r="P269" s="3"/>
      <c r="Q269" s="3"/>
      <c r="R269" s="3"/>
      <c r="S269" s="3"/>
      <c r="T269" s="3"/>
      <c r="U269" s="3"/>
      <c r="V269" s="3"/>
      <c r="W269" s="3"/>
      <c r="X269" s="3"/>
      <c r="Y269" s="3"/>
      <c r="Z269" s="3"/>
      <c r="AA269" s="3"/>
      <c r="AB269" s="3"/>
      <c r="AC269" s="3"/>
      <c r="AD269" s="3"/>
    </row>
    <row r="270" spans="1:30" s="7" customFormat="1">
      <c r="A270" s="14">
        <v>10439</v>
      </c>
      <c r="B270" s="14" t="s">
        <v>754</v>
      </c>
      <c r="C270" s="14" t="s">
        <v>689</v>
      </c>
      <c r="D270" s="4" t="s">
        <v>19</v>
      </c>
      <c r="E270" s="14">
        <v>99303</v>
      </c>
      <c r="F270" s="14">
        <v>8319038138</v>
      </c>
      <c r="G270" s="14">
        <v>420272283</v>
      </c>
      <c r="H270" s="28"/>
      <c r="I270" s="28"/>
      <c r="J270" s="3" t="s">
        <v>755</v>
      </c>
      <c r="K270" s="15" t="s">
        <v>756</v>
      </c>
      <c r="L270" s="19" t="s">
        <v>757</v>
      </c>
      <c r="M270" s="21" t="s">
        <v>758</v>
      </c>
      <c r="N270" s="15" t="s">
        <v>759</v>
      </c>
      <c r="O270" s="3"/>
      <c r="P270" s="37" t="s">
        <v>25</v>
      </c>
      <c r="Q270" s="3"/>
      <c r="R270" s="3"/>
      <c r="S270" s="3"/>
      <c r="T270" s="3"/>
      <c r="U270" s="3"/>
      <c r="V270" s="3"/>
      <c r="W270" s="3"/>
      <c r="X270" s="3"/>
      <c r="Y270" s="3"/>
      <c r="Z270" s="3"/>
      <c r="AA270" s="3"/>
      <c r="AB270" s="3"/>
      <c r="AC270" s="3"/>
      <c r="AD270" s="3"/>
    </row>
    <row r="271" spans="1:30" s="7" customFormat="1">
      <c r="A271" s="14">
        <v>10440</v>
      </c>
      <c r="B271" s="14" t="s">
        <v>760</v>
      </c>
      <c r="C271" s="14" t="s">
        <v>689</v>
      </c>
      <c r="D271" s="4" t="s">
        <v>19</v>
      </c>
      <c r="E271" s="14">
        <v>98981</v>
      </c>
      <c r="F271" s="14">
        <v>8171907827</v>
      </c>
      <c r="G271" s="14">
        <v>418779625</v>
      </c>
      <c r="H271" s="28"/>
      <c r="I271" s="28"/>
      <c r="J271" s="3" t="s">
        <v>761</v>
      </c>
      <c r="K271" s="15" t="s">
        <v>762</v>
      </c>
      <c r="L271" s="19" t="s">
        <v>763</v>
      </c>
      <c r="M271" s="20" t="s">
        <v>764</v>
      </c>
      <c r="N271" s="15" t="s">
        <v>765</v>
      </c>
      <c r="O271" s="3"/>
      <c r="P271" s="37" t="s">
        <v>25</v>
      </c>
      <c r="Q271" s="3"/>
      <c r="R271" s="3"/>
      <c r="S271" s="3"/>
      <c r="T271" s="3"/>
      <c r="U271" s="3"/>
      <c r="V271" s="3"/>
      <c r="W271" s="3"/>
      <c r="X271" s="3"/>
      <c r="Y271" s="3"/>
      <c r="Z271" s="3"/>
      <c r="AA271" s="3"/>
      <c r="AB271" s="3"/>
      <c r="AC271" s="3"/>
      <c r="AD271" s="3"/>
    </row>
    <row r="272" spans="1:30" s="7" customFormat="1">
      <c r="A272" s="14">
        <v>10441</v>
      </c>
      <c r="B272" s="14"/>
      <c r="C272" s="14" t="s">
        <v>689</v>
      </c>
      <c r="D272" s="14"/>
      <c r="E272" s="14"/>
      <c r="F272" s="14"/>
      <c r="G272" s="14"/>
      <c r="H272" s="28"/>
      <c r="I272" s="28"/>
      <c r="J272" s="3"/>
      <c r="K272" s="3"/>
      <c r="L272" s="19"/>
      <c r="M272" s="3"/>
      <c r="N272" s="3"/>
      <c r="O272" s="3"/>
      <c r="P272" s="3"/>
      <c r="Q272" s="3"/>
      <c r="R272" s="3"/>
      <c r="S272" s="3"/>
      <c r="T272" s="3"/>
      <c r="U272" s="3"/>
      <c r="V272" s="3"/>
      <c r="W272" s="3"/>
      <c r="X272" s="3"/>
      <c r="Y272" s="3"/>
      <c r="Z272" s="3"/>
      <c r="AA272" s="3"/>
      <c r="AB272" s="3"/>
      <c r="AC272" s="3"/>
      <c r="AD272" s="3"/>
    </row>
    <row r="273" spans="1:30" s="7" customFormat="1">
      <c r="A273" s="14">
        <v>10442</v>
      </c>
      <c r="B273" s="14"/>
      <c r="C273" s="14" t="s">
        <v>689</v>
      </c>
      <c r="D273" s="14"/>
      <c r="E273" s="14"/>
      <c r="F273" s="14"/>
      <c r="G273" s="14"/>
      <c r="H273" s="28"/>
      <c r="I273" s="28"/>
      <c r="J273" s="3"/>
      <c r="K273" s="3"/>
      <c r="L273" s="19"/>
      <c r="M273" s="3"/>
      <c r="N273" s="3"/>
      <c r="O273" s="3"/>
      <c r="P273" s="3"/>
      <c r="Q273" s="3"/>
      <c r="R273" s="3"/>
      <c r="S273" s="3"/>
      <c r="T273" s="3"/>
      <c r="U273" s="3"/>
      <c r="V273" s="3"/>
      <c r="W273" s="3"/>
      <c r="X273" s="3"/>
      <c r="Y273" s="3"/>
      <c r="Z273" s="3"/>
      <c r="AA273" s="3"/>
      <c r="AB273" s="3"/>
      <c r="AC273" s="3"/>
      <c r="AD273" s="3"/>
    </row>
    <row r="274" spans="1:30" s="7" customFormat="1">
      <c r="A274" s="14">
        <v>10443</v>
      </c>
      <c r="B274" s="14"/>
      <c r="C274" s="14" t="s">
        <v>689</v>
      </c>
      <c r="D274" s="14"/>
      <c r="E274" s="14"/>
      <c r="F274" s="14"/>
      <c r="G274" s="14"/>
      <c r="H274" s="28"/>
      <c r="I274" s="28"/>
      <c r="J274" s="3"/>
      <c r="K274" s="3"/>
      <c r="L274" s="19"/>
      <c r="M274" s="3"/>
      <c r="N274" s="3"/>
      <c r="O274" s="3"/>
      <c r="P274" s="3"/>
      <c r="Q274" s="3"/>
      <c r="R274" s="3"/>
      <c r="S274" s="3"/>
      <c r="T274" s="3"/>
      <c r="U274" s="3"/>
      <c r="V274" s="3"/>
      <c r="W274" s="3"/>
      <c r="X274" s="3"/>
      <c r="Y274" s="3"/>
      <c r="Z274" s="3"/>
      <c r="AA274" s="3"/>
      <c r="AB274" s="3"/>
      <c r="AC274" s="3"/>
      <c r="AD274" s="3"/>
    </row>
    <row r="275" spans="1:30" s="7" customFormat="1">
      <c r="A275" s="14">
        <v>10444</v>
      </c>
      <c r="B275" s="14"/>
      <c r="C275" s="14" t="s">
        <v>689</v>
      </c>
      <c r="D275" s="14"/>
      <c r="E275" s="14"/>
      <c r="F275" s="14"/>
      <c r="G275" s="14"/>
      <c r="H275" s="28"/>
      <c r="I275" s="28"/>
      <c r="J275" s="3"/>
      <c r="K275" s="3"/>
      <c r="L275" s="19"/>
      <c r="M275" s="3"/>
      <c r="N275" s="3"/>
      <c r="O275" s="3"/>
      <c r="P275" s="3"/>
      <c r="Q275" s="3"/>
      <c r="R275" s="3"/>
      <c r="S275" s="3"/>
      <c r="T275" s="3"/>
      <c r="U275" s="3"/>
      <c r="V275" s="3"/>
      <c r="W275" s="3"/>
      <c r="X275" s="3"/>
      <c r="Y275" s="3"/>
      <c r="Z275" s="3"/>
      <c r="AA275" s="3"/>
      <c r="AB275" s="3"/>
      <c r="AC275" s="3"/>
      <c r="AD275" s="3"/>
    </row>
    <row r="276" spans="1:30" s="7" customFormat="1">
      <c r="A276" s="14">
        <v>10445</v>
      </c>
      <c r="B276" s="14" t="s">
        <v>766</v>
      </c>
      <c r="C276" s="14" t="s">
        <v>689</v>
      </c>
      <c r="D276" s="4" t="s">
        <v>19</v>
      </c>
      <c r="E276" s="14">
        <v>101525</v>
      </c>
      <c r="F276" s="14">
        <v>10076622853</v>
      </c>
      <c r="G276" s="14">
        <v>441567324</v>
      </c>
      <c r="H276" s="28"/>
      <c r="I276" s="28"/>
      <c r="J276" s="3" t="s">
        <v>767</v>
      </c>
      <c r="K276" s="15" t="s">
        <v>768</v>
      </c>
      <c r="L276" s="19" t="s">
        <v>769</v>
      </c>
      <c r="M276" s="20" t="s">
        <v>770</v>
      </c>
      <c r="N276" s="15" t="s">
        <v>771</v>
      </c>
      <c r="O276" s="3"/>
      <c r="P276" s="37" t="s">
        <v>25</v>
      </c>
      <c r="Q276" s="3"/>
      <c r="R276" s="3"/>
      <c r="S276" s="3"/>
      <c r="T276" s="3"/>
      <c r="U276" s="3"/>
      <c r="V276" s="3"/>
      <c r="W276" s="3"/>
      <c r="X276" s="3"/>
      <c r="Y276" s="3"/>
      <c r="Z276" s="3"/>
      <c r="AA276" s="3"/>
      <c r="AB276" s="3"/>
      <c r="AC276" s="3"/>
      <c r="AD276" s="3"/>
    </row>
    <row r="277" spans="1:30" s="7" customFormat="1">
      <c r="A277" s="14">
        <v>10446</v>
      </c>
      <c r="B277" s="14"/>
      <c r="C277" s="14" t="s">
        <v>689</v>
      </c>
      <c r="D277" s="14"/>
      <c r="E277" s="14"/>
      <c r="F277" s="14"/>
      <c r="G277" s="14"/>
      <c r="H277" s="28"/>
      <c r="I277" s="28"/>
      <c r="J277" s="3"/>
      <c r="K277" s="3"/>
      <c r="L277" s="19"/>
      <c r="M277" s="3"/>
      <c r="N277" s="3"/>
      <c r="O277" s="3"/>
      <c r="P277" s="3"/>
      <c r="Q277" s="3"/>
      <c r="R277" s="3"/>
      <c r="S277" s="3"/>
      <c r="T277" s="3"/>
      <c r="U277" s="3"/>
      <c r="V277" s="3"/>
      <c r="W277" s="3"/>
      <c r="X277" s="3"/>
      <c r="Y277" s="3"/>
      <c r="Z277" s="3"/>
      <c r="AA277" s="3"/>
      <c r="AB277" s="3"/>
      <c r="AC277" s="3"/>
      <c r="AD277" s="3"/>
    </row>
    <row r="278" spans="1:30" s="7" customFormat="1">
      <c r="A278" s="14">
        <v>10447</v>
      </c>
      <c r="B278" s="14"/>
      <c r="C278" s="14" t="s">
        <v>689</v>
      </c>
      <c r="D278" s="14"/>
      <c r="E278" s="14"/>
      <c r="F278" s="14"/>
      <c r="G278" s="14"/>
      <c r="H278" s="28"/>
      <c r="I278" s="28"/>
      <c r="J278" s="3"/>
      <c r="K278" s="3"/>
      <c r="L278" s="19"/>
      <c r="M278" s="3"/>
      <c r="N278" s="3"/>
      <c r="O278" s="3"/>
      <c r="P278" s="3"/>
      <c r="Q278" s="3"/>
      <c r="R278" s="3"/>
      <c r="S278" s="3"/>
      <c r="T278" s="3"/>
      <c r="U278" s="3"/>
      <c r="V278" s="3"/>
      <c r="W278" s="3"/>
      <c r="X278" s="3"/>
      <c r="Y278" s="3"/>
      <c r="Z278" s="3"/>
      <c r="AA278" s="3"/>
      <c r="AB278" s="3"/>
      <c r="AC278" s="3"/>
      <c r="AD278" s="3"/>
    </row>
    <row r="279" spans="1:30" s="7" customFormat="1">
      <c r="A279" s="14">
        <v>10448</v>
      </c>
      <c r="B279" s="14"/>
      <c r="C279" s="14" t="s">
        <v>689</v>
      </c>
      <c r="D279" s="14"/>
      <c r="E279" s="14"/>
      <c r="F279" s="14"/>
      <c r="G279" s="14"/>
      <c r="H279" s="28"/>
      <c r="I279" s="28"/>
      <c r="J279" s="3"/>
      <c r="K279" s="3"/>
      <c r="L279" s="19"/>
      <c r="M279" s="3"/>
      <c r="N279" s="3"/>
      <c r="O279" s="3"/>
      <c r="P279" s="3"/>
      <c r="Q279" s="3"/>
      <c r="R279" s="3"/>
      <c r="S279" s="3"/>
      <c r="T279" s="3"/>
      <c r="U279" s="3"/>
      <c r="V279" s="3"/>
      <c r="W279" s="3"/>
      <c r="X279" s="3"/>
      <c r="Y279" s="3"/>
      <c r="Z279" s="3"/>
      <c r="AA279" s="3"/>
      <c r="AB279" s="3"/>
      <c r="AC279" s="3"/>
      <c r="AD279" s="3"/>
    </row>
    <row r="280" spans="1:30" s="7" customFormat="1">
      <c r="A280" s="14">
        <v>10449</v>
      </c>
      <c r="B280" s="14" t="s">
        <v>772</v>
      </c>
      <c r="C280" s="14" t="s">
        <v>689</v>
      </c>
      <c r="D280" s="4" t="s">
        <v>19</v>
      </c>
      <c r="E280" s="14">
        <v>99321</v>
      </c>
      <c r="F280" s="14">
        <v>8319441946</v>
      </c>
      <c r="G280" s="14">
        <v>420272267</v>
      </c>
      <c r="H280" s="28"/>
      <c r="I280" s="28"/>
      <c r="J280" s="3" t="s">
        <v>773</v>
      </c>
      <c r="K280" s="15" t="s">
        <v>774</v>
      </c>
      <c r="L280" s="19" t="s">
        <v>775</v>
      </c>
      <c r="M280" s="20" t="s">
        <v>776</v>
      </c>
      <c r="N280" s="15" t="s">
        <v>777</v>
      </c>
      <c r="O280" s="3"/>
      <c r="P280" s="37" t="s">
        <v>25</v>
      </c>
      <c r="Q280" s="3"/>
      <c r="R280" s="3"/>
      <c r="S280" s="3"/>
      <c r="T280" s="3"/>
      <c r="U280" s="3"/>
      <c r="V280" s="3"/>
      <c r="W280" s="3"/>
      <c r="X280" s="3"/>
      <c r="Y280" s="3"/>
      <c r="Z280" s="3"/>
      <c r="AA280" s="3"/>
      <c r="AB280" s="3"/>
      <c r="AC280" s="3"/>
      <c r="AD280" s="3"/>
    </row>
    <row r="281" spans="1:30" s="7" customFormat="1">
      <c r="A281" s="14">
        <v>10450</v>
      </c>
      <c r="B281" s="14" t="s">
        <v>778</v>
      </c>
      <c r="C281" s="14" t="s">
        <v>689</v>
      </c>
      <c r="D281" s="4" t="s">
        <v>19</v>
      </c>
      <c r="E281" s="14">
        <v>98967</v>
      </c>
      <c r="F281" s="14">
        <v>8169311128</v>
      </c>
      <c r="G281" s="14">
        <v>418779639</v>
      </c>
      <c r="H281" s="28"/>
      <c r="I281" s="28"/>
      <c r="J281" s="3" t="s">
        <v>779</v>
      </c>
      <c r="K281" s="15" t="s">
        <v>780</v>
      </c>
      <c r="L281" s="19" t="s">
        <v>781</v>
      </c>
      <c r="M281" s="21" t="s">
        <v>782</v>
      </c>
      <c r="N281" s="15" t="s">
        <v>783</v>
      </c>
      <c r="O281" s="3"/>
      <c r="P281" s="37" t="s">
        <v>25</v>
      </c>
      <c r="Q281" s="3"/>
      <c r="R281" s="3"/>
      <c r="S281" s="3"/>
      <c r="T281" s="3"/>
      <c r="U281" s="3"/>
      <c r="V281" s="3"/>
      <c r="W281" s="3"/>
      <c r="X281" s="3"/>
      <c r="Y281" s="3"/>
      <c r="Z281" s="3"/>
      <c r="AA281" s="3"/>
      <c r="AB281" s="3"/>
      <c r="AC281" s="3"/>
      <c r="AD281" s="3"/>
    </row>
    <row r="282" spans="1:30" s="7" customFormat="1">
      <c r="A282" s="14">
        <v>10451</v>
      </c>
      <c r="B282" s="14" t="s">
        <v>784</v>
      </c>
      <c r="C282" s="14" t="s">
        <v>689</v>
      </c>
      <c r="D282" s="4" t="s">
        <v>19</v>
      </c>
      <c r="E282" s="14">
        <v>99320</v>
      </c>
      <c r="F282" s="14">
        <v>8319441945</v>
      </c>
      <c r="G282" s="14">
        <v>420272270</v>
      </c>
      <c r="H282" s="28"/>
      <c r="I282" s="28"/>
      <c r="J282" s="3" t="s">
        <v>785</v>
      </c>
      <c r="K282" s="15" t="s">
        <v>786</v>
      </c>
      <c r="L282" s="19" t="s">
        <v>787</v>
      </c>
      <c r="M282" s="20" t="s">
        <v>788</v>
      </c>
      <c r="N282" s="15" t="s">
        <v>789</v>
      </c>
      <c r="O282" s="3"/>
      <c r="P282" s="37" t="s">
        <v>25</v>
      </c>
      <c r="Q282" s="3"/>
      <c r="R282" s="3"/>
      <c r="S282" s="3"/>
      <c r="T282" s="3"/>
      <c r="U282" s="3"/>
      <c r="V282" s="3"/>
      <c r="W282" s="3"/>
      <c r="X282" s="3"/>
      <c r="Y282" s="3"/>
      <c r="Z282" s="3"/>
      <c r="AA282" s="3"/>
      <c r="AB282" s="3"/>
      <c r="AC282" s="3"/>
      <c r="AD282" s="3"/>
    </row>
    <row r="283" spans="1:30" s="7" customFormat="1">
      <c r="A283" s="14">
        <v>10452</v>
      </c>
      <c r="B283" s="14"/>
      <c r="C283" s="14" t="s">
        <v>689</v>
      </c>
      <c r="D283" s="14"/>
      <c r="E283" s="14"/>
      <c r="F283" s="14"/>
      <c r="G283" s="14"/>
      <c r="H283" s="28"/>
      <c r="I283" s="28"/>
      <c r="J283" s="3"/>
      <c r="K283" s="3"/>
      <c r="L283" s="19"/>
      <c r="M283" s="3"/>
      <c r="N283" s="3"/>
      <c r="O283" s="3"/>
      <c r="P283" s="3"/>
      <c r="Q283" s="3"/>
      <c r="R283" s="3"/>
      <c r="S283" s="3"/>
      <c r="T283" s="3"/>
      <c r="U283" s="3"/>
      <c r="V283" s="3"/>
      <c r="W283" s="3"/>
      <c r="X283" s="3"/>
      <c r="Y283" s="3"/>
      <c r="Z283" s="3"/>
      <c r="AA283" s="3"/>
      <c r="AB283" s="3"/>
      <c r="AC283" s="3"/>
      <c r="AD283" s="3"/>
    </row>
    <row r="284" spans="1:30" s="7" customFormat="1">
      <c r="A284" s="14">
        <v>10453</v>
      </c>
      <c r="B284" s="14"/>
      <c r="C284" s="14" t="s">
        <v>689</v>
      </c>
      <c r="D284" s="14"/>
      <c r="E284" s="14"/>
      <c r="F284" s="14"/>
      <c r="G284" s="14"/>
      <c r="H284" s="28"/>
      <c r="I284" s="28"/>
      <c r="J284" s="3"/>
      <c r="K284" s="3"/>
      <c r="L284" s="19"/>
      <c r="M284" s="3"/>
      <c r="N284" s="3"/>
      <c r="O284" s="3"/>
      <c r="P284" s="3"/>
      <c r="Q284" s="3"/>
      <c r="R284" s="3"/>
      <c r="S284" s="3"/>
      <c r="T284" s="3"/>
      <c r="U284" s="3"/>
      <c r="V284" s="3"/>
      <c r="W284" s="3"/>
      <c r="X284" s="3"/>
      <c r="Y284" s="3"/>
      <c r="Z284" s="3"/>
      <c r="AA284" s="3"/>
      <c r="AB284" s="3"/>
      <c r="AC284" s="3"/>
      <c r="AD284" s="3"/>
    </row>
    <row r="285" spans="1:30" s="7" customFormat="1">
      <c r="A285" s="14">
        <v>10454</v>
      </c>
      <c r="B285" s="14"/>
      <c r="C285" s="14" t="s">
        <v>689</v>
      </c>
      <c r="D285" s="14"/>
      <c r="E285" s="14"/>
      <c r="F285" s="14"/>
      <c r="G285" s="14"/>
      <c r="H285" s="28"/>
      <c r="I285" s="28"/>
      <c r="J285" s="3"/>
      <c r="K285" s="3"/>
      <c r="L285" s="19"/>
      <c r="M285" s="3"/>
      <c r="N285" s="3"/>
      <c r="O285" s="3"/>
      <c r="P285" s="3"/>
      <c r="Q285" s="3"/>
      <c r="R285" s="3"/>
      <c r="S285" s="3"/>
      <c r="T285" s="3"/>
      <c r="U285" s="3"/>
      <c r="V285" s="3"/>
      <c r="W285" s="3"/>
      <c r="X285" s="3"/>
      <c r="Y285" s="3"/>
      <c r="Z285" s="3"/>
      <c r="AA285" s="3"/>
      <c r="AB285" s="3"/>
      <c r="AC285" s="3"/>
      <c r="AD285" s="3"/>
    </row>
    <row r="286" spans="1:30" s="7" customFormat="1">
      <c r="A286" s="14">
        <v>10455</v>
      </c>
      <c r="B286" s="14"/>
      <c r="C286" s="14" t="s">
        <v>689</v>
      </c>
      <c r="D286" s="14"/>
      <c r="E286" s="14"/>
      <c r="F286" s="14"/>
      <c r="G286" s="14"/>
      <c r="H286" s="28"/>
      <c r="I286" s="28"/>
      <c r="J286" s="3"/>
      <c r="K286" s="3"/>
      <c r="L286" s="19"/>
      <c r="M286" s="3"/>
      <c r="N286" s="3"/>
      <c r="O286" s="3"/>
      <c r="P286" s="3"/>
      <c r="Q286" s="3"/>
      <c r="R286" s="3"/>
      <c r="S286" s="3"/>
      <c r="T286" s="3"/>
      <c r="U286" s="3"/>
      <c r="V286" s="3"/>
      <c r="W286" s="3"/>
      <c r="X286" s="3"/>
      <c r="Y286" s="3"/>
      <c r="Z286" s="3"/>
      <c r="AA286" s="3"/>
      <c r="AB286" s="3"/>
      <c r="AC286" s="3"/>
      <c r="AD286" s="3"/>
    </row>
    <row r="287" spans="1:30" s="7" customFormat="1">
      <c r="A287" s="14">
        <v>10456</v>
      </c>
      <c r="B287" s="14"/>
      <c r="C287" s="14" t="s">
        <v>689</v>
      </c>
      <c r="D287" s="14"/>
      <c r="E287" s="14"/>
      <c r="F287" s="14"/>
      <c r="G287" s="14"/>
      <c r="H287" s="28"/>
      <c r="I287" s="28"/>
      <c r="J287" s="3"/>
      <c r="K287" s="3"/>
      <c r="L287" s="19"/>
      <c r="M287" s="3"/>
      <c r="N287" s="3"/>
      <c r="O287" s="3"/>
      <c r="P287" s="3"/>
      <c r="Q287" s="3"/>
      <c r="R287" s="3"/>
      <c r="S287" s="3"/>
      <c r="T287" s="3"/>
      <c r="U287" s="3"/>
      <c r="V287" s="3"/>
      <c r="W287" s="3"/>
      <c r="X287" s="3"/>
      <c r="Y287" s="3"/>
      <c r="Z287" s="3"/>
      <c r="AA287" s="3"/>
      <c r="AB287" s="3"/>
      <c r="AC287" s="3"/>
      <c r="AD287" s="3"/>
    </row>
    <row r="288" spans="1:30" s="7" customFormat="1">
      <c r="A288" s="14">
        <v>10457</v>
      </c>
      <c r="B288" s="14"/>
      <c r="C288" s="14" t="s">
        <v>689</v>
      </c>
      <c r="D288" s="14"/>
      <c r="E288" s="14"/>
      <c r="F288" s="14"/>
      <c r="G288" s="14"/>
      <c r="H288" s="28"/>
      <c r="I288" s="28"/>
      <c r="J288" s="3"/>
      <c r="K288" s="3"/>
      <c r="L288" s="19"/>
      <c r="M288" s="3"/>
      <c r="N288" s="3"/>
      <c r="O288" s="3"/>
      <c r="P288" s="3"/>
      <c r="Q288" s="3"/>
      <c r="R288" s="3"/>
      <c r="S288" s="3"/>
      <c r="T288" s="3"/>
      <c r="U288" s="3"/>
      <c r="V288" s="3"/>
      <c r="W288" s="3"/>
      <c r="X288" s="3"/>
      <c r="Y288" s="3"/>
      <c r="Z288" s="3"/>
      <c r="AA288" s="3"/>
      <c r="AB288" s="3"/>
      <c r="AC288" s="3"/>
      <c r="AD288" s="3"/>
    </row>
    <row r="289" spans="1:30" s="7" customFormat="1">
      <c r="A289" s="14">
        <v>10458</v>
      </c>
      <c r="B289" s="14"/>
      <c r="C289" s="14" t="s">
        <v>689</v>
      </c>
      <c r="D289" s="14"/>
      <c r="E289" s="14"/>
      <c r="F289" s="14"/>
      <c r="G289" s="14"/>
      <c r="H289" s="28"/>
      <c r="I289" s="28"/>
      <c r="J289" s="3"/>
      <c r="K289" s="3"/>
      <c r="L289" s="19"/>
      <c r="M289" s="3"/>
      <c r="N289" s="3"/>
      <c r="O289" s="3"/>
      <c r="P289" s="3"/>
      <c r="Q289" s="3"/>
      <c r="R289" s="3"/>
      <c r="S289" s="3"/>
      <c r="T289" s="3"/>
      <c r="U289" s="3"/>
      <c r="V289" s="3"/>
      <c r="W289" s="3"/>
      <c r="X289" s="3"/>
      <c r="Y289" s="3"/>
      <c r="Z289" s="3"/>
      <c r="AA289" s="3"/>
      <c r="AB289" s="3"/>
      <c r="AC289" s="3"/>
      <c r="AD289" s="3"/>
    </row>
    <row r="290" spans="1:30" s="7" customFormat="1">
      <c r="A290" s="14">
        <v>10459</v>
      </c>
      <c r="B290" s="14"/>
      <c r="C290" s="14" t="s">
        <v>689</v>
      </c>
      <c r="D290" s="14"/>
      <c r="E290" s="14"/>
      <c r="F290" s="14"/>
      <c r="G290" s="14"/>
      <c r="H290" s="28"/>
      <c r="I290" s="28"/>
      <c r="J290" s="3"/>
      <c r="K290" s="3"/>
      <c r="L290" s="19"/>
      <c r="M290" s="3"/>
      <c r="N290" s="3"/>
      <c r="O290" s="3"/>
      <c r="P290" s="3"/>
      <c r="Q290" s="3"/>
      <c r="R290" s="3"/>
      <c r="S290" s="3"/>
      <c r="T290" s="3"/>
      <c r="U290" s="3"/>
      <c r="V290" s="3"/>
      <c r="W290" s="3"/>
      <c r="X290" s="3"/>
      <c r="Y290" s="3"/>
      <c r="Z290" s="3"/>
      <c r="AA290" s="3"/>
      <c r="AB290" s="3"/>
      <c r="AC290" s="3"/>
      <c r="AD290" s="3"/>
    </row>
    <row r="291" spans="1:30" s="7" customFormat="1">
      <c r="A291" s="14">
        <v>10460</v>
      </c>
      <c r="B291" s="14" t="s">
        <v>790</v>
      </c>
      <c r="C291" s="14" t="s">
        <v>689</v>
      </c>
      <c r="D291" s="4" t="s">
        <v>19</v>
      </c>
      <c r="E291" s="14">
        <v>110337</v>
      </c>
      <c r="F291" s="14">
        <v>14837230405</v>
      </c>
      <c r="G291" s="14">
        <v>502634338</v>
      </c>
      <c r="H291" s="28"/>
      <c r="I291" s="28"/>
      <c r="J291" s="3" t="s">
        <v>791</v>
      </c>
      <c r="K291" s="15" t="s">
        <v>792</v>
      </c>
      <c r="L291" s="41" t="s">
        <v>793</v>
      </c>
      <c r="M291" s="20" t="s">
        <v>794</v>
      </c>
      <c r="N291" s="16" t="s">
        <v>795</v>
      </c>
      <c r="O291" s="3"/>
      <c r="P291" s="37" t="s">
        <v>25</v>
      </c>
      <c r="Q291" s="3"/>
      <c r="R291" s="3"/>
      <c r="S291" s="3"/>
      <c r="T291" s="3"/>
      <c r="U291" s="3"/>
      <c r="V291" s="3"/>
      <c r="W291" s="3"/>
      <c r="X291" s="3"/>
      <c r="Y291" s="3"/>
      <c r="Z291" s="3"/>
      <c r="AA291" s="3"/>
      <c r="AB291" s="3"/>
      <c r="AC291" s="3"/>
      <c r="AD291" s="3"/>
    </row>
    <row r="292" spans="1:30" s="7" customFormat="1">
      <c r="A292" s="14">
        <v>10461</v>
      </c>
      <c r="B292" s="14"/>
      <c r="C292" s="14" t="s">
        <v>689</v>
      </c>
      <c r="D292" s="14"/>
      <c r="E292" s="14"/>
      <c r="F292" s="14"/>
      <c r="G292" s="14"/>
      <c r="H292" s="28"/>
      <c r="I292" s="28"/>
      <c r="J292" s="3"/>
      <c r="K292" s="3"/>
      <c r="L292" s="19"/>
      <c r="M292" s="3"/>
      <c r="N292" s="3"/>
      <c r="O292" s="3"/>
      <c r="P292" s="3"/>
      <c r="Q292" s="3"/>
      <c r="R292" s="3"/>
      <c r="S292" s="3"/>
      <c r="T292" s="3"/>
      <c r="U292" s="3"/>
      <c r="V292" s="3"/>
      <c r="W292" s="3"/>
      <c r="X292" s="3"/>
      <c r="Y292" s="3"/>
      <c r="Z292" s="3"/>
      <c r="AA292" s="3"/>
      <c r="AB292" s="3"/>
      <c r="AC292" s="3"/>
      <c r="AD292" s="3"/>
    </row>
    <row r="293" spans="1:30" s="7" customFormat="1">
      <c r="A293" s="14">
        <v>10462</v>
      </c>
      <c r="B293" s="14"/>
      <c r="C293" s="14" t="s">
        <v>689</v>
      </c>
      <c r="D293" s="14"/>
      <c r="E293" s="14"/>
      <c r="F293" s="14"/>
      <c r="G293" s="14"/>
      <c r="H293" s="28"/>
      <c r="I293" s="28"/>
      <c r="J293" s="3"/>
      <c r="K293" s="3"/>
      <c r="L293" s="19"/>
      <c r="M293" s="3"/>
      <c r="N293" s="3"/>
      <c r="O293" s="3"/>
      <c r="P293" s="3"/>
      <c r="Q293" s="3"/>
      <c r="R293" s="3"/>
      <c r="S293" s="3"/>
      <c r="T293" s="3"/>
      <c r="U293" s="3"/>
      <c r="V293" s="3"/>
      <c r="W293" s="3"/>
      <c r="X293" s="3"/>
      <c r="Y293" s="3"/>
      <c r="Z293" s="3"/>
      <c r="AA293" s="3"/>
      <c r="AB293" s="3"/>
      <c r="AC293" s="3"/>
      <c r="AD293" s="3"/>
    </row>
    <row r="294" spans="1:30" s="7" customFormat="1">
      <c r="A294" s="14">
        <v>10463</v>
      </c>
      <c r="B294" s="14"/>
      <c r="C294" s="14" t="s">
        <v>689</v>
      </c>
      <c r="D294" s="14"/>
      <c r="E294" s="14"/>
      <c r="F294" s="14"/>
      <c r="G294" s="14"/>
      <c r="H294" s="28"/>
      <c r="I294" s="28"/>
      <c r="J294" s="3"/>
      <c r="K294" s="3"/>
      <c r="L294" s="19"/>
      <c r="M294" s="3"/>
      <c r="N294" s="3"/>
      <c r="O294" s="3"/>
      <c r="P294" s="3"/>
      <c r="Q294" s="3"/>
      <c r="R294" s="3"/>
      <c r="S294" s="3"/>
      <c r="T294" s="3"/>
      <c r="U294" s="3"/>
      <c r="V294" s="3"/>
      <c r="W294" s="3"/>
      <c r="X294" s="3"/>
      <c r="Y294" s="3"/>
      <c r="Z294" s="3"/>
      <c r="AA294" s="3"/>
      <c r="AB294" s="3"/>
      <c r="AC294" s="3"/>
      <c r="AD294" s="3"/>
    </row>
    <row r="295" spans="1:30" s="7" customFormat="1">
      <c r="A295" s="14">
        <v>10464</v>
      </c>
      <c r="B295" s="14" t="s">
        <v>796</v>
      </c>
      <c r="C295" s="14" t="s">
        <v>689</v>
      </c>
      <c r="D295" s="4" t="s">
        <v>19</v>
      </c>
      <c r="E295" s="14">
        <v>99308</v>
      </c>
      <c r="F295" s="14">
        <v>8319131277</v>
      </c>
      <c r="G295" s="14">
        <v>420272273</v>
      </c>
      <c r="H295" s="28"/>
      <c r="I295" s="28"/>
      <c r="J295" s="3" t="s">
        <v>797</v>
      </c>
      <c r="K295" s="15" t="s">
        <v>798</v>
      </c>
      <c r="L295" s="19" t="s">
        <v>799</v>
      </c>
      <c r="M295" s="20" t="s">
        <v>800</v>
      </c>
      <c r="N295" s="15" t="s">
        <v>801</v>
      </c>
      <c r="O295" s="3"/>
      <c r="P295" s="37" t="s">
        <v>25</v>
      </c>
      <c r="Q295" s="3"/>
      <c r="R295" s="3"/>
      <c r="S295" s="3"/>
      <c r="T295" s="3"/>
      <c r="U295" s="3"/>
      <c r="V295" s="3"/>
      <c r="W295" s="3"/>
      <c r="X295" s="3"/>
      <c r="Y295" s="3"/>
      <c r="Z295" s="3"/>
      <c r="AA295" s="3"/>
      <c r="AB295" s="3"/>
      <c r="AC295" s="3"/>
      <c r="AD295" s="3"/>
    </row>
    <row r="296" spans="1:30" s="7" customFormat="1">
      <c r="A296" s="14">
        <v>10465</v>
      </c>
      <c r="B296" s="14" t="s">
        <v>802</v>
      </c>
      <c r="C296" s="14" t="s">
        <v>689</v>
      </c>
      <c r="D296" s="4" t="s">
        <v>19</v>
      </c>
      <c r="E296" s="14">
        <v>111977</v>
      </c>
      <c r="F296" s="14">
        <v>15836617483</v>
      </c>
      <c r="G296" s="14">
        <v>515581910</v>
      </c>
      <c r="H296" s="28"/>
      <c r="I296" s="28"/>
      <c r="J296" s="3" t="s">
        <v>803</v>
      </c>
      <c r="K296" s="15" t="s">
        <v>804</v>
      </c>
      <c r="L296" s="19" t="s">
        <v>805</v>
      </c>
      <c r="M296" s="20" t="s">
        <v>806</v>
      </c>
      <c r="N296" s="15" t="s">
        <v>807</v>
      </c>
      <c r="O296" s="3"/>
      <c r="P296" s="37" t="s">
        <v>25</v>
      </c>
      <c r="Q296" s="3"/>
      <c r="R296" s="3"/>
      <c r="S296" s="3"/>
      <c r="T296" s="3"/>
      <c r="U296" s="3"/>
      <c r="V296" s="3"/>
      <c r="W296" s="3"/>
      <c r="X296" s="3"/>
      <c r="Y296" s="3"/>
      <c r="Z296" s="3"/>
      <c r="AA296" s="3"/>
      <c r="AB296" s="3"/>
      <c r="AC296" s="3"/>
      <c r="AD296" s="3"/>
    </row>
    <row r="297" spans="1:30" s="7" customFormat="1">
      <c r="A297" s="14">
        <v>10466</v>
      </c>
      <c r="B297" s="14" t="s">
        <v>808</v>
      </c>
      <c r="C297" s="14" t="s">
        <v>689</v>
      </c>
      <c r="D297" s="4" t="s">
        <v>19</v>
      </c>
      <c r="E297" s="14">
        <v>110336</v>
      </c>
      <c r="F297" s="14">
        <v>14837182620</v>
      </c>
      <c r="G297" s="14">
        <v>502634340</v>
      </c>
      <c r="H297" s="28"/>
      <c r="I297" s="28"/>
      <c r="J297" s="3" t="s">
        <v>809</v>
      </c>
      <c r="K297" s="15" t="s">
        <v>810</v>
      </c>
      <c r="L297" s="41" t="s">
        <v>811</v>
      </c>
      <c r="M297" s="20" t="s">
        <v>812</v>
      </c>
      <c r="N297" s="15" t="s">
        <v>813</v>
      </c>
      <c r="O297" s="3"/>
      <c r="P297" s="37" t="s">
        <v>25</v>
      </c>
      <c r="Q297" s="3"/>
      <c r="R297" s="3"/>
      <c r="S297" s="3"/>
      <c r="T297" s="3"/>
      <c r="U297" s="3"/>
      <c r="V297" s="3"/>
      <c r="W297" s="3"/>
      <c r="X297" s="3"/>
      <c r="Y297" s="3"/>
      <c r="Z297" s="3"/>
      <c r="AA297" s="3"/>
      <c r="AB297" s="3"/>
      <c r="AC297" s="3"/>
      <c r="AD297" s="3"/>
    </row>
    <row r="298" spans="1:30" s="7" customFormat="1">
      <c r="A298" s="14">
        <v>10467</v>
      </c>
      <c r="B298" s="14"/>
      <c r="C298" s="14" t="s">
        <v>689</v>
      </c>
      <c r="D298" s="14"/>
      <c r="E298" s="14"/>
      <c r="F298" s="14"/>
      <c r="G298" s="14"/>
      <c r="H298" s="28"/>
      <c r="I298" s="28"/>
      <c r="J298" s="3"/>
      <c r="K298" s="3"/>
      <c r="L298" s="19"/>
      <c r="M298" s="3"/>
      <c r="N298" s="3"/>
      <c r="O298" s="3"/>
      <c r="P298" s="3"/>
      <c r="Q298" s="3"/>
      <c r="R298" s="3"/>
      <c r="S298" s="3"/>
      <c r="T298" s="3"/>
      <c r="U298" s="3"/>
      <c r="V298" s="3"/>
      <c r="W298" s="3"/>
      <c r="X298" s="3"/>
      <c r="Y298" s="3"/>
      <c r="Z298" s="3"/>
      <c r="AA298" s="3"/>
      <c r="AB298" s="3"/>
      <c r="AC298" s="3"/>
      <c r="AD298" s="3"/>
    </row>
    <row r="299" spans="1:30" s="7" customFormat="1">
      <c r="A299" s="14">
        <v>10468</v>
      </c>
      <c r="B299" s="14"/>
      <c r="C299" s="14" t="s">
        <v>689</v>
      </c>
      <c r="D299" s="14"/>
      <c r="E299" s="14"/>
      <c r="F299" s="14"/>
      <c r="G299" s="14"/>
      <c r="H299" s="28"/>
      <c r="I299" s="28"/>
      <c r="J299" s="3"/>
      <c r="K299" s="3"/>
      <c r="L299" s="19"/>
      <c r="M299" s="3"/>
      <c r="N299" s="3"/>
      <c r="O299" s="3"/>
      <c r="P299" s="3"/>
      <c r="Q299" s="3"/>
      <c r="R299" s="3"/>
      <c r="S299" s="3"/>
      <c r="T299" s="3"/>
      <c r="U299" s="3"/>
      <c r="V299" s="3"/>
      <c r="W299" s="3"/>
      <c r="X299" s="3"/>
      <c r="Y299" s="3"/>
      <c r="Z299" s="3"/>
      <c r="AA299" s="3"/>
      <c r="AB299" s="3"/>
      <c r="AC299" s="3"/>
      <c r="AD299" s="3"/>
    </row>
    <row r="300" spans="1:30" s="7" customFormat="1">
      <c r="A300" s="14">
        <v>10469</v>
      </c>
      <c r="B300" s="14"/>
      <c r="C300" s="14" t="s">
        <v>689</v>
      </c>
      <c r="D300" s="14"/>
      <c r="E300" s="14"/>
      <c r="F300" s="14"/>
      <c r="G300" s="14"/>
      <c r="H300" s="28"/>
      <c r="I300" s="28"/>
      <c r="J300" s="3"/>
      <c r="K300" s="3"/>
      <c r="L300" s="19"/>
      <c r="M300" s="3"/>
      <c r="N300" s="3"/>
      <c r="O300" s="3"/>
      <c r="P300" s="3"/>
      <c r="Q300" s="3"/>
      <c r="R300" s="3"/>
      <c r="S300" s="3"/>
      <c r="T300" s="3"/>
      <c r="U300" s="3"/>
      <c r="V300" s="3"/>
      <c r="W300" s="3"/>
      <c r="X300" s="3"/>
      <c r="Y300" s="3"/>
      <c r="Z300" s="3"/>
      <c r="AA300" s="3"/>
      <c r="AB300" s="3"/>
      <c r="AC300" s="3"/>
      <c r="AD300" s="3"/>
    </row>
    <row r="301" spans="1:30" s="7" customFormat="1">
      <c r="A301" s="14">
        <v>10470</v>
      </c>
      <c r="B301" s="14" t="s">
        <v>814</v>
      </c>
      <c r="C301" s="14" t="s">
        <v>689</v>
      </c>
      <c r="D301" s="4" t="s">
        <v>19</v>
      </c>
      <c r="E301" s="14">
        <v>110333</v>
      </c>
      <c r="F301" s="14">
        <v>14837181748</v>
      </c>
      <c r="G301" s="14">
        <v>502634335</v>
      </c>
      <c r="H301" s="28"/>
      <c r="I301" s="28"/>
      <c r="J301" s="3" t="s">
        <v>815</v>
      </c>
      <c r="K301" s="3" t="s">
        <v>816</v>
      </c>
      <c r="L301" s="19" t="s">
        <v>817</v>
      </c>
      <c r="M301" s="20" t="s">
        <v>818</v>
      </c>
      <c r="N301" s="15" t="s">
        <v>819</v>
      </c>
      <c r="O301" s="3"/>
      <c r="P301" s="37" t="s">
        <v>25</v>
      </c>
      <c r="Q301" s="3"/>
      <c r="R301" s="3"/>
      <c r="S301" s="3"/>
      <c r="T301" s="3"/>
      <c r="U301" s="3"/>
      <c r="V301" s="3"/>
      <c r="W301" s="3"/>
      <c r="X301" s="3"/>
      <c r="Y301" s="3"/>
      <c r="Z301" s="3"/>
      <c r="AA301" s="3"/>
      <c r="AB301" s="3"/>
      <c r="AC301" s="3"/>
      <c r="AD301" s="3"/>
    </row>
    <row r="302" spans="1:30" s="7" customFormat="1">
      <c r="A302" s="14">
        <v>10471</v>
      </c>
      <c r="B302" s="14"/>
      <c r="C302" s="14" t="s">
        <v>689</v>
      </c>
      <c r="D302" s="14"/>
      <c r="E302" s="14"/>
      <c r="F302" s="14"/>
      <c r="G302" s="14"/>
      <c r="H302" s="28"/>
      <c r="I302" s="28"/>
      <c r="J302" s="3"/>
      <c r="K302" s="3"/>
      <c r="L302" s="19"/>
      <c r="M302" s="3"/>
      <c r="N302" s="3"/>
      <c r="O302" s="3"/>
      <c r="P302" s="3"/>
      <c r="Q302" s="3"/>
      <c r="R302" s="3"/>
      <c r="S302" s="3"/>
      <c r="T302" s="3"/>
      <c r="U302" s="3"/>
      <c r="V302" s="3"/>
      <c r="W302" s="3"/>
      <c r="X302" s="3"/>
      <c r="Y302" s="3"/>
      <c r="Z302" s="3"/>
      <c r="AA302" s="3"/>
      <c r="AB302" s="3"/>
      <c r="AC302" s="3"/>
      <c r="AD302" s="3"/>
    </row>
    <row r="303" spans="1:30" s="7" customFormat="1">
      <c r="A303" s="14">
        <v>10472</v>
      </c>
      <c r="B303" s="14" t="s">
        <v>820</v>
      </c>
      <c r="C303" s="14" t="s">
        <v>689</v>
      </c>
      <c r="D303" s="4" t="s">
        <v>19</v>
      </c>
      <c r="E303" s="14">
        <v>111975</v>
      </c>
      <c r="F303" s="14">
        <v>15836608730</v>
      </c>
      <c r="G303" s="14">
        <v>515581901</v>
      </c>
      <c r="H303" s="28"/>
      <c r="I303" s="28"/>
      <c r="J303" s="3" t="s">
        <v>821</v>
      </c>
      <c r="K303" s="15" t="s">
        <v>822</v>
      </c>
      <c r="L303" s="19" t="s">
        <v>823</v>
      </c>
      <c r="M303" s="20" t="s">
        <v>824</v>
      </c>
      <c r="N303" s="15" t="s">
        <v>825</v>
      </c>
      <c r="O303" s="3"/>
      <c r="P303" s="37" t="s">
        <v>25</v>
      </c>
      <c r="Q303" s="3"/>
      <c r="R303" s="3"/>
      <c r="S303" s="3"/>
      <c r="T303" s="3"/>
      <c r="U303" s="3"/>
      <c r="V303" s="3"/>
      <c r="W303" s="3"/>
      <c r="X303" s="3"/>
      <c r="Y303" s="3"/>
      <c r="Z303" s="3"/>
      <c r="AA303" s="3"/>
      <c r="AB303" s="3"/>
      <c r="AC303" s="3"/>
      <c r="AD303" s="3"/>
    </row>
    <row r="304" spans="1:30" s="7" customFormat="1">
      <c r="A304" s="14">
        <v>10473</v>
      </c>
      <c r="B304" s="14" t="s">
        <v>826</v>
      </c>
      <c r="C304" s="14" t="s">
        <v>689</v>
      </c>
      <c r="D304" s="4" t="s">
        <v>19</v>
      </c>
      <c r="E304" s="14">
        <v>110335</v>
      </c>
      <c r="F304" s="14">
        <v>14837182619</v>
      </c>
      <c r="G304" s="14">
        <v>502634336</v>
      </c>
      <c r="H304" s="28"/>
      <c r="I304" s="28"/>
      <c r="J304" s="3" t="s">
        <v>827</v>
      </c>
      <c r="K304" s="15" t="s">
        <v>828</v>
      </c>
      <c r="L304" s="19" t="s">
        <v>829</v>
      </c>
      <c r="M304" s="20" t="s">
        <v>830</v>
      </c>
      <c r="N304" s="15" t="s">
        <v>831</v>
      </c>
      <c r="O304" s="3"/>
      <c r="P304" s="37" t="s">
        <v>25</v>
      </c>
      <c r="Q304" s="3"/>
      <c r="R304" s="3"/>
      <c r="S304" s="3"/>
      <c r="T304" s="3"/>
      <c r="U304" s="3"/>
      <c r="V304" s="3"/>
      <c r="W304" s="3"/>
      <c r="X304" s="3"/>
      <c r="Y304" s="3"/>
      <c r="Z304" s="3"/>
      <c r="AA304" s="3"/>
      <c r="AB304" s="3"/>
      <c r="AC304" s="3"/>
      <c r="AD304" s="3"/>
    </row>
    <row r="305" spans="1:30" s="7" customFormat="1">
      <c r="A305" s="14">
        <v>10474</v>
      </c>
      <c r="B305" s="14" t="s">
        <v>832</v>
      </c>
      <c r="C305" s="14" t="s">
        <v>689</v>
      </c>
      <c r="D305" s="4" t="s">
        <v>19</v>
      </c>
      <c r="E305" s="14">
        <v>111972</v>
      </c>
      <c r="F305" s="14">
        <v>15836569901</v>
      </c>
      <c r="G305" s="14">
        <v>515581921</v>
      </c>
      <c r="H305" s="28"/>
      <c r="I305" s="28"/>
      <c r="J305" s="3" t="s">
        <v>833</v>
      </c>
      <c r="K305" s="15" t="s">
        <v>834</v>
      </c>
      <c r="L305" s="19" t="s">
        <v>835</v>
      </c>
      <c r="M305" s="20" t="s">
        <v>836</v>
      </c>
      <c r="N305" s="15" t="s">
        <v>837</v>
      </c>
      <c r="O305" s="3"/>
      <c r="P305" s="37" t="s">
        <v>25</v>
      </c>
      <c r="Q305" s="3"/>
      <c r="R305" s="3"/>
      <c r="S305" s="3"/>
      <c r="T305" s="3"/>
      <c r="U305" s="3"/>
      <c r="V305" s="3"/>
      <c r="W305" s="3"/>
      <c r="X305" s="3"/>
      <c r="Y305" s="3"/>
      <c r="Z305" s="3"/>
      <c r="AA305" s="3"/>
      <c r="AB305" s="3"/>
      <c r="AC305" s="3"/>
      <c r="AD305" s="3"/>
    </row>
    <row r="306" spans="1:30" s="7" customFormat="1">
      <c r="A306" s="14">
        <v>10475</v>
      </c>
      <c r="B306" s="14"/>
      <c r="C306" s="14" t="s">
        <v>689</v>
      </c>
      <c r="D306" s="14"/>
      <c r="E306" s="14"/>
      <c r="F306" s="14"/>
      <c r="G306" s="14"/>
      <c r="H306" s="28"/>
      <c r="I306" s="28"/>
      <c r="J306" s="3"/>
      <c r="K306" s="3"/>
      <c r="L306" s="19"/>
      <c r="M306" s="3"/>
      <c r="N306" s="3"/>
      <c r="O306" s="3"/>
      <c r="P306" s="3"/>
      <c r="Q306" s="3"/>
      <c r="R306" s="3"/>
      <c r="S306" s="3"/>
      <c r="T306" s="3"/>
      <c r="U306" s="3"/>
      <c r="V306" s="3"/>
      <c r="W306" s="3"/>
      <c r="X306" s="3"/>
      <c r="Y306" s="3"/>
      <c r="Z306" s="3"/>
      <c r="AA306" s="3"/>
      <c r="AB306" s="3"/>
      <c r="AC306" s="3"/>
      <c r="AD306" s="3"/>
    </row>
    <row r="307" spans="1:30" s="7" customFormat="1">
      <c r="A307" s="14">
        <v>10476</v>
      </c>
      <c r="B307" s="14"/>
      <c r="C307" s="14" t="s">
        <v>689</v>
      </c>
      <c r="D307" s="14"/>
      <c r="E307" s="14"/>
      <c r="F307" s="14"/>
      <c r="G307" s="14"/>
      <c r="H307" s="28"/>
      <c r="I307" s="28"/>
      <c r="J307" s="3"/>
      <c r="K307" s="3"/>
      <c r="L307" s="19"/>
      <c r="M307" s="3"/>
      <c r="N307" s="3"/>
      <c r="O307" s="3"/>
      <c r="P307" s="3"/>
      <c r="Q307" s="3"/>
      <c r="R307" s="3"/>
      <c r="S307" s="3"/>
      <c r="T307" s="3"/>
      <c r="U307" s="3"/>
      <c r="V307" s="3"/>
      <c r="W307" s="3"/>
      <c r="X307" s="3"/>
      <c r="Y307" s="3"/>
      <c r="Z307" s="3"/>
      <c r="AA307" s="3"/>
      <c r="AB307" s="3"/>
      <c r="AC307" s="3"/>
      <c r="AD307" s="3"/>
    </row>
    <row r="308" spans="1:30" s="7" customFormat="1">
      <c r="A308" s="14">
        <v>10477</v>
      </c>
      <c r="B308" s="14"/>
      <c r="C308" s="14" t="s">
        <v>689</v>
      </c>
      <c r="D308" s="14"/>
      <c r="E308" s="14"/>
      <c r="F308" s="14"/>
      <c r="G308" s="14"/>
      <c r="H308" s="28"/>
      <c r="I308" s="28"/>
      <c r="J308" s="3"/>
      <c r="K308" s="3"/>
      <c r="L308" s="19"/>
      <c r="M308" s="3"/>
      <c r="N308" s="3"/>
      <c r="O308" s="3"/>
      <c r="P308" s="3"/>
      <c r="Q308" s="3"/>
      <c r="R308" s="3"/>
      <c r="S308" s="3"/>
      <c r="T308" s="3"/>
      <c r="U308" s="3"/>
      <c r="V308" s="3"/>
      <c r="W308" s="3"/>
      <c r="X308" s="3"/>
      <c r="Y308" s="3"/>
      <c r="Z308" s="3"/>
      <c r="AA308" s="3"/>
      <c r="AB308" s="3"/>
      <c r="AC308" s="3"/>
      <c r="AD308" s="3"/>
    </row>
    <row r="309" spans="1:30" s="7" customFormat="1">
      <c r="A309" s="14">
        <v>10478</v>
      </c>
      <c r="B309" s="14" t="s">
        <v>838</v>
      </c>
      <c r="C309" s="14" t="s">
        <v>689</v>
      </c>
      <c r="D309" s="4" t="s">
        <v>19</v>
      </c>
      <c r="E309" s="14">
        <v>112550</v>
      </c>
      <c r="F309" s="14">
        <v>16106037568</v>
      </c>
      <c r="G309" s="14">
        <v>519562725</v>
      </c>
      <c r="H309" s="28"/>
      <c r="I309" s="28"/>
      <c r="J309" s="3" t="s">
        <v>839</v>
      </c>
      <c r="K309" s="15" t="s">
        <v>840</v>
      </c>
      <c r="L309" s="19" t="s">
        <v>841</v>
      </c>
      <c r="M309" s="20" t="s">
        <v>842</v>
      </c>
      <c r="N309" s="15" t="s">
        <v>843</v>
      </c>
      <c r="O309" s="3"/>
      <c r="P309" s="37" t="s">
        <v>25</v>
      </c>
      <c r="Q309" s="3"/>
      <c r="R309" s="3"/>
      <c r="S309" s="3"/>
      <c r="T309" s="3"/>
      <c r="U309" s="3"/>
      <c r="V309" s="3"/>
      <c r="W309" s="3"/>
      <c r="X309" s="3"/>
      <c r="Y309" s="3"/>
      <c r="Z309" s="3"/>
      <c r="AA309" s="3"/>
      <c r="AB309" s="3"/>
      <c r="AC309" s="3"/>
      <c r="AD309" s="3"/>
    </row>
    <row r="310" spans="1:30" s="7" customFormat="1">
      <c r="A310" s="14">
        <v>10479</v>
      </c>
      <c r="B310" s="14"/>
      <c r="C310" s="14" t="s">
        <v>689</v>
      </c>
      <c r="D310" s="14"/>
      <c r="E310" s="14"/>
      <c r="F310" s="14"/>
      <c r="G310" s="14"/>
      <c r="H310" s="28"/>
      <c r="I310" s="28"/>
      <c r="J310" s="3"/>
      <c r="K310" s="3"/>
      <c r="L310" s="19"/>
      <c r="M310" s="3"/>
      <c r="N310" s="3"/>
      <c r="O310" s="3"/>
      <c r="P310" s="3"/>
      <c r="Q310" s="3"/>
      <c r="R310" s="3"/>
      <c r="S310" s="3"/>
      <c r="T310" s="3"/>
      <c r="U310" s="3"/>
      <c r="V310" s="3"/>
      <c r="W310" s="3"/>
      <c r="X310" s="3"/>
      <c r="Y310" s="3"/>
      <c r="Z310" s="3"/>
      <c r="AA310" s="3"/>
      <c r="AB310" s="3"/>
      <c r="AC310" s="3"/>
      <c r="AD310" s="3"/>
    </row>
    <row r="311" spans="1:30" s="7" customFormat="1">
      <c r="A311" s="14">
        <v>10480</v>
      </c>
      <c r="B311" s="14" t="s">
        <v>844</v>
      </c>
      <c r="C311" s="14" t="s">
        <v>689</v>
      </c>
      <c r="D311" s="4" t="s">
        <v>19</v>
      </c>
      <c r="E311" s="14">
        <v>101526</v>
      </c>
      <c r="F311" s="14">
        <v>10076628593</v>
      </c>
      <c r="G311" s="14">
        <v>500453494</v>
      </c>
      <c r="H311" s="28"/>
      <c r="I311" s="28"/>
      <c r="J311" s="3" t="s">
        <v>845</v>
      </c>
      <c r="K311" s="15" t="s">
        <v>846</v>
      </c>
      <c r="L311" s="19" t="s">
        <v>847</v>
      </c>
      <c r="M311" s="20" t="s">
        <v>848</v>
      </c>
      <c r="N311" s="3"/>
      <c r="O311" s="3"/>
      <c r="P311" s="37" t="s">
        <v>25</v>
      </c>
      <c r="Q311" s="3"/>
      <c r="R311" s="3"/>
      <c r="S311" s="3"/>
      <c r="T311" s="3"/>
      <c r="U311" s="3"/>
      <c r="V311" s="3"/>
      <c r="W311" s="3"/>
      <c r="X311" s="3"/>
      <c r="Y311" s="3"/>
      <c r="Z311" s="3"/>
      <c r="AA311" s="3"/>
      <c r="AB311" s="3"/>
      <c r="AC311" s="3"/>
      <c r="AD311" s="3"/>
    </row>
    <row r="312" spans="1:30" s="7" customFormat="1">
      <c r="A312" s="14">
        <v>10481</v>
      </c>
      <c r="B312" s="14" t="s">
        <v>849</v>
      </c>
      <c r="C312" s="14" t="s">
        <v>689</v>
      </c>
      <c r="D312" s="4" t="s">
        <v>19</v>
      </c>
      <c r="E312" s="14">
        <v>109832</v>
      </c>
      <c r="F312" s="14">
        <v>14663760672</v>
      </c>
      <c r="G312" s="14">
        <v>500453496</v>
      </c>
      <c r="H312" s="28"/>
      <c r="I312" s="28"/>
      <c r="J312" s="3" t="s">
        <v>850</v>
      </c>
      <c r="K312" s="15" t="s">
        <v>851</v>
      </c>
      <c r="L312" s="19" t="s">
        <v>852</v>
      </c>
      <c r="M312" s="20" t="s">
        <v>853</v>
      </c>
      <c r="N312" s="15" t="s">
        <v>854</v>
      </c>
      <c r="O312" s="3"/>
      <c r="P312" s="37" t="s">
        <v>25</v>
      </c>
      <c r="Q312" s="3"/>
      <c r="R312" s="3"/>
      <c r="S312" s="3"/>
      <c r="T312" s="3"/>
      <c r="U312" s="3"/>
      <c r="V312" s="3"/>
      <c r="W312" s="3"/>
      <c r="X312" s="3"/>
      <c r="Y312" s="3"/>
      <c r="Z312" s="3"/>
      <c r="AA312" s="3"/>
      <c r="AB312" s="3"/>
      <c r="AC312" s="3"/>
      <c r="AD312" s="3"/>
    </row>
    <row r="313" spans="1:30" s="7" customFormat="1">
      <c r="A313" s="14">
        <v>10482</v>
      </c>
      <c r="B313" s="14"/>
      <c r="C313" s="14" t="s">
        <v>689</v>
      </c>
      <c r="D313" s="14"/>
      <c r="E313" s="14"/>
      <c r="F313" s="14"/>
      <c r="G313" s="14"/>
      <c r="H313" s="28"/>
      <c r="I313" s="28"/>
      <c r="J313" s="3"/>
      <c r="K313" s="3"/>
      <c r="L313" s="19"/>
      <c r="M313" s="3"/>
      <c r="N313" s="3"/>
      <c r="O313" s="3"/>
      <c r="P313" s="3"/>
      <c r="Q313" s="3"/>
      <c r="R313" s="3"/>
      <c r="S313" s="3"/>
      <c r="T313" s="3"/>
      <c r="U313" s="3"/>
      <c r="V313" s="3"/>
      <c r="W313" s="3"/>
      <c r="X313" s="3"/>
      <c r="Y313" s="3"/>
      <c r="Z313" s="3"/>
      <c r="AA313" s="3"/>
      <c r="AB313" s="3"/>
      <c r="AC313" s="3"/>
      <c r="AD313" s="3"/>
    </row>
    <row r="314" spans="1:30" s="7" customFormat="1">
      <c r="A314" s="14">
        <v>10483</v>
      </c>
      <c r="B314" s="14"/>
      <c r="C314" s="14" t="s">
        <v>689</v>
      </c>
      <c r="D314" s="14"/>
      <c r="E314" s="14"/>
      <c r="F314" s="14"/>
      <c r="G314" s="14"/>
      <c r="H314" s="28"/>
      <c r="I314" s="28"/>
      <c r="J314" s="3"/>
      <c r="K314" s="3"/>
      <c r="L314" s="19"/>
      <c r="M314" s="3"/>
      <c r="N314" s="3"/>
      <c r="O314" s="3"/>
      <c r="P314" s="3"/>
      <c r="Q314" s="3"/>
      <c r="R314" s="3"/>
      <c r="S314" s="3"/>
      <c r="T314" s="3"/>
      <c r="U314" s="3"/>
      <c r="V314" s="3"/>
      <c r="W314" s="3"/>
      <c r="X314" s="3"/>
      <c r="Y314" s="3"/>
      <c r="Z314" s="3"/>
      <c r="AA314" s="3"/>
      <c r="AB314" s="3"/>
      <c r="AC314" s="3"/>
      <c r="AD314" s="3"/>
    </row>
    <row r="315" spans="1:30" s="7" customFormat="1">
      <c r="A315" s="14">
        <v>10484</v>
      </c>
      <c r="B315" s="14" t="s">
        <v>855</v>
      </c>
      <c r="C315" s="14" t="s">
        <v>691</v>
      </c>
      <c r="D315" s="4" t="s">
        <v>19</v>
      </c>
      <c r="E315" s="14">
        <v>99976</v>
      </c>
      <c r="F315" s="14">
        <v>8750617679</v>
      </c>
      <c r="G315" s="14">
        <v>424579023</v>
      </c>
      <c r="H315" s="28"/>
      <c r="I315" s="28"/>
      <c r="J315" s="3" t="s">
        <v>856</v>
      </c>
      <c r="K315" s="15" t="s">
        <v>857</v>
      </c>
      <c r="L315" t="s">
        <v>858</v>
      </c>
      <c r="M315" t="s">
        <v>858</v>
      </c>
      <c r="N315" s="15" t="s">
        <v>859</v>
      </c>
      <c r="O315" s="3"/>
      <c r="P315" s="37" t="s">
        <v>25</v>
      </c>
      <c r="Q315" s="3"/>
      <c r="R315" s="3"/>
      <c r="S315" s="3"/>
      <c r="T315" s="3"/>
      <c r="U315" s="3"/>
      <c r="V315" s="3"/>
      <c r="W315" s="3"/>
      <c r="X315" s="3"/>
      <c r="Y315" s="3"/>
      <c r="Z315" s="3"/>
      <c r="AA315" s="3"/>
      <c r="AB315" s="3"/>
      <c r="AC315" s="3"/>
      <c r="AD315" s="3"/>
    </row>
    <row r="316" spans="1:30" s="7" customFormat="1">
      <c r="A316" s="14">
        <v>10485</v>
      </c>
      <c r="B316" s="14" t="s">
        <v>860</v>
      </c>
      <c r="C316" s="14" t="s">
        <v>689</v>
      </c>
      <c r="D316" s="4" t="s">
        <v>19</v>
      </c>
      <c r="E316" s="14">
        <v>112549</v>
      </c>
      <c r="F316" s="14">
        <v>16106021655</v>
      </c>
      <c r="G316" s="14">
        <v>519562723</v>
      </c>
      <c r="H316" s="28"/>
      <c r="I316" s="28"/>
      <c r="J316" s="3" t="s">
        <v>861</v>
      </c>
      <c r="K316" s="15" t="s">
        <v>862</v>
      </c>
      <c r="L316" s="19" t="s">
        <v>863</v>
      </c>
      <c r="M316" s="20" t="s">
        <v>864</v>
      </c>
      <c r="N316" s="15" t="s">
        <v>865</v>
      </c>
      <c r="O316" s="3"/>
      <c r="P316" s="37" t="s">
        <v>25</v>
      </c>
      <c r="Q316" s="3"/>
      <c r="R316" s="3"/>
      <c r="S316" s="3"/>
      <c r="T316" s="3"/>
      <c r="U316" s="3"/>
      <c r="V316" s="3"/>
      <c r="W316" s="3"/>
      <c r="X316" s="3"/>
      <c r="Y316" s="3"/>
      <c r="Z316" s="3"/>
      <c r="AA316" s="3"/>
      <c r="AB316" s="3"/>
      <c r="AC316" s="3"/>
      <c r="AD316" s="3"/>
    </row>
    <row r="317" spans="1:30" s="7" customFormat="1">
      <c r="A317" s="14">
        <v>10486</v>
      </c>
      <c r="B317" s="14" t="s">
        <v>866</v>
      </c>
      <c r="C317" s="14" t="s">
        <v>691</v>
      </c>
      <c r="D317" s="4" t="s">
        <v>19</v>
      </c>
      <c r="E317" s="14">
        <v>105075</v>
      </c>
      <c r="F317" s="14">
        <v>11281612014</v>
      </c>
      <c r="G317" s="14">
        <v>456412655</v>
      </c>
      <c r="H317" s="28"/>
      <c r="I317" s="28"/>
      <c r="J317" s="3" t="s">
        <v>867</v>
      </c>
      <c r="K317" s="15" t="s">
        <v>868</v>
      </c>
      <c r="L317" s="19" t="s">
        <v>869</v>
      </c>
      <c r="M317" s="20" t="s">
        <v>869</v>
      </c>
      <c r="N317" s="15" t="s">
        <v>870</v>
      </c>
      <c r="O317" s="3"/>
      <c r="P317" s="37" t="s">
        <v>25</v>
      </c>
      <c r="Q317" s="3"/>
      <c r="R317" s="3"/>
      <c r="S317" s="3"/>
      <c r="T317" s="3"/>
      <c r="U317" s="3"/>
      <c r="V317" s="3"/>
      <c r="W317" s="3"/>
      <c r="X317" s="3"/>
      <c r="Y317" s="3"/>
      <c r="Z317" s="3"/>
      <c r="AA317" s="3"/>
      <c r="AB317" s="3"/>
      <c r="AC317" s="3"/>
      <c r="AD317" s="3"/>
    </row>
    <row r="318" spans="1:30" s="7" customFormat="1">
      <c r="A318" s="14">
        <v>10487</v>
      </c>
      <c r="B318" s="14"/>
      <c r="C318" s="14" t="s">
        <v>689</v>
      </c>
      <c r="D318" s="14"/>
      <c r="E318" s="14"/>
      <c r="F318" s="14"/>
      <c r="G318" s="14"/>
      <c r="H318" s="28"/>
      <c r="I318" s="28"/>
      <c r="J318" s="3"/>
      <c r="K318" s="3"/>
      <c r="L318" s="19"/>
      <c r="M318" s="3"/>
      <c r="N318" s="3"/>
      <c r="O318" s="3"/>
      <c r="P318" s="3"/>
      <c r="Q318" s="3"/>
      <c r="R318" s="3"/>
      <c r="S318" s="3"/>
      <c r="T318" s="3"/>
      <c r="U318" s="3"/>
      <c r="V318" s="3"/>
      <c r="W318" s="3"/>
      <c r="X318" s="3"/>
      <c r="Y318" s="3"/>
      <c r="Z318" s="3"/>
      <c r="AA318" s="3"/>
      <c r="AB318" s="3"/>
      <c r="AC318" s="3"/>
      <c r="AD318" s="3"/>
    </row>
    <row r="319" spans="1:30" s="7" customFormat="1">
      <c r="A319" s="14">
        <v>10488</v>
      </c>
      <c r="B319" s="14"/>
      <c r="C319" s="14" t="s">
        <v>689</v>
      </c>
      <c r="D319" s="14"/>
      <c r="E319" s="14"/>
      <c r="F319" s="14"/>
      <c r="G319" s="14"/>
      <c r="H319" s="28"/>
      <c r="I319" s="28"/>
      <c r="J319" s="3"/>
      <c r="K319" s="3"/>
      <c r="L319" s="19"/>
      <c r="M319" s="3"/>
      <c r="N319" s="3"/>
      <c r="O319" s="3"/>
      <c r="P319" s="3"/>
      <c r="Q319" s="3"/>
      <c r="R319" s="3"/>
      <c r="S319" s="3"/>
      <c r="T319" s="3"/>
      <c r="U319" s="3"/>
      <c r="V319" s="3"/>
      <c r="W319" s="3"/>
      <c r="X319" s="3"/>
      <c r="Y319" s="3"/>
      <c r="Z319" s="3"/>
      <c r="AA319" s="3"/>
      <c r="AB319" s="3"/>
      <c r="AC319" s="3"/>
      <c r="AD319" s="3"/>
    </row>
    <row r="320" spans="1:30" s="7" customFormat="1">
      <c r="A320" s="14">
        <v>10489</v>
      </c>
      <c r="B320" s="14"/>
      <c r="C320" s="14" t="s">
        <v>689</v>
      </c>
      <c r="D320" s="14"/>
      <c r="E320" s="14"/>
      <c r="F320" s="14"/>
      <c r="G320" s="14"/>
      <c r="H320" s="28"/>
      <c r="I320" s="28"/>
      <c r="J320" s="3"/>
      <c r="K320" s="3"/>
      <c r="L320" s="19"/>
      <c r="M320" s="3"/>
      <c r="N320" s="3"/>
      <c r="O320" s="3"/>
      <c r="P320" s="3"/>
      <c r="Q320" s="3"/>
      <c r="R320" s="3"/>
      <c r="S320" s="3"/>
      <c r="T320" s="3"/>
      <c r="U320" s="3"/>
      <c r="V320" s="3"/>
      <c r="W320" s="3"/>
      <c r="X320" s="3"/>
      <c r="Y320" s="3"/>
      <c r="Z320" s="3"/>
      <c r="AA320" s="3"/>
      <c r="AB320" s="3"/>
      <c r="AC320" s="3"/>
      <c r="AD320" s="3"/>
    </row>
    <row r="321" spans="1:30" s="7" customFormat="1">
      <c r="A321" s="14">
        <v>10490</v>
      </c>
      <c r="B321" s="14" t="s">
        <v>871</v>
      </c>
      <c r="C321" s="14" t="s">
        <v>689</v>
      </c>
      <c r="D321" s="4" t="s">
        <v>19</v>
      </c>
      <c r="E321" s="14">
        <v>111987</v>
      </c>
      <c r="F321" s="14">
        <v>15836631635</v>
      </c>
      <c r="G321" s="14">
        <v>515581916</v>
      </c>
      <c r="H321" s="28"/>
      <c r="I321" s="28"/>
      <c r="J321" s="3" t="s">
        <v>872</v>
      </c>
      <c r="K321" s="15" t="s">
        <v>873</v>
      </c>
      <c r="L321" s="19" t="s">
        <v>874</v>
      </c>
      <c r="M321" s="20" t="s">
        <v>875</v>
      </c>
      <c r="N321" s="15" t="s">
        <v>876</v>
      </c>
      <c r="O321" s="3"/>
      <c r="P321" s="37" t="s">
        <v>25</v>
      </c>
      <c r="Q321" s="3"/>
      <c r="R321" s="3"/>
      <c r="S321" s="3"/>
      <c r="T321" s="3"/>
      <c r="U321" s="3"/>
      <c r="V321" s="3"/>
      <c r="W321" s="3"/>
      <c r="X321" s="3"/>
      <c r="Y321" s="3"/>
      <c r="Z321" s="3"/>
      <c r="AA321" s="3"/>
      <c r="AB321" s="3"/>
      <c r="AC321" s="3"/>
      <c r="AD321" s="3"/>
    </row>
    <row r="322" spans="1:30" s="7" customFormat="1">
      <c r="A322" s="14">
        <v>10491</v>
      </c>
      <c r="B322" s="14"/>
      <c r="C322" s="14" t="s">
        <v>689</v>
      </c>
      <c r="D322" s="14"/>
      <c r="E322" s="14"/>
      <c r="F322" s="14"/>
      <c r="G322" s="14"/>
      <c r="H322" s="28"/>
      <c r="I322" s="28"/>
      <c r="J322" s="3"/>
      <c r="K322" s="3"/>
      <c r="L322" s="19"/>
      <c r="M322" s="3"/>
      <c r="N322" s="3"/>
      <c r="O322" s="3"/>
      <c r="P322" s="3"/>
      <c r="Q322" s="3"/>
      <c r="R322" s="3"/>
      <c r="S322" s="3"/>
      <c r="T322" s="3"/>
      <c r="U322" s="3"/>
      <c r="V322" s="3"/>
      <c r="W322" s="3"/>
      <c r="X322" s="3"/>
      <c r="Y322" s="3"/>
      <c r="Z322" s="3"/>
      <c r="AA322" s="3"/>
      <c r="AB322" s="3"/>
      <c r="AC322" s="3"/>
      <c r="AD322" s="3"/>
    </row>
    <row r="323" spans="1:30" s="7" customFormat="1">
      <c r="A323" s="14">
        <v>10492</v>
      </c>
      <c r="B323" s="14" t="s">
        <v>877</v>
      </c>
      <c r="C323" s="14" t="s">
        <v>689</v>
      </c>
      <c r="D323" s="4" t="s">
        <v>19</v>
      </c>
      <c r="E323" s="14">
        <v>111971</v>
      </c>
      <c r="F323" s="14">
        <v>15836548374</v>
      </c>
      <c r="G323" s="14">
        <v>515581911</v>
      </c>
      <c r="H323" s="28"/>
      <c r="I323" s="28"/>
      <c r="J323" s="3" t="s">
        <v>878</v>
      </c>
      <c r="K323" s="15" t="s">
        <v>879</v>
      </c>
      <c r="L323" s="19" t="s">
        <v>880</v>
      </c>
      <c r="M323" s="20" t="s">
        <v>881</v>
      </c>
      <c r="N323" s="15" t="s">
        <v>882</v>
      </c>
      <c r="O323" s="3"/>
      <c r="P323" s="37" t="s">
        <v>25</v>
      </c>
      <c r="Q323" s="3"/>
      <c r="R323" s="3"/>
      <c r="S323" s="3"/>
      <c r="T323" s="3"/>
      <c r="U323" s="3"/>
      <c r="V323" s="3"/>
      <c r="W323" s="3"/>
      <c r="X323" s="3"/>
      <c r="Y323" s="3"/>
      <c r="Z323" s="3"/>
      <c r="AA323" s="3"/>
      <c r="AB323" s="3"/>
      <c r="AC323" s="3"/>
      <c r="AD323" s="3"/>
    </row>
    <row r="324" spans="1:30" s="7" customFormat="1">
      <c r="A324" s="14">
        <v>10493</v>
      </c>
      <c r="B324" s="14"/>
      <c r="C324" s="14" t="s">
        <v>689</v>
      </c>
      <c r="D324" s="14"/>
      <c r="E324" s="14"/>
      <c r="F324" s="14"/>
      <c r="G324" s="14"/>
      <c r="H324" s="28"/>
      <c r="I324" s="28"/>
      <c r="J324" s="3"/>
      <c r="K324" s="3"/>
      <c r="L324" s="19"/>
      <c r="M324" s="3"/>
      <c r="N324" s="3"/>
      <c r="O324" s="3"/>
      <c r="P324" s="3"/>
      <c r="Q324" s="3"/>
      <c r="R324" s="3"/>
      <c r="S324" s="3"/>
      <c r="T324" s="3"/>
      <c r="U324" s="3"/>
      <c r="V324" s="3"/>
      <c r="W324" s="3"/>
      <c r="X324" s="3"/>
      <c r="Y324" s="3"/>
      <c r="Z324" s="3"/>
      <c r="AA324" s="3"/>
      <c r="AB324" s="3"/>
      <c r="AC324" s="3"/>
      <c r="AD324" s="3"/>
    </row>
    <row r="325" spans="1:30" s="7" customFormat="1">
      <c r="A325" s="14">
        <v>10494</v>
      </c>
      <c r="B325" s="14" t="s">
        <v>883</v>
      </c>
      <c r="C325" s="14" t="s">
        <v>689</v>
      </c>
      <c r="D325" s="4" t="s">
        <v>19</v>
      </c>
      <c r="E325" s="14">
        <v>99322</v>
      </c>
      <c r="F325" s="14">
        <v>8319486797</v>
      </c>
      <c r="G325" s="14">
        <v>420272279</v>
      </c>
      <c r="H325" s="28"/>
      <c r="I325" s="28"/>
      <c r="J325" s="3" t="s">
        <v>884</v>
      </c>
      <c r="K325" s="15" t="s">
        <v>885</v>
      </c>
      <c r="L325" s="19" t="s">
        <v>886</v>
      </c>
      <c r="M325" s="20" t="s">
        <v>887</v>
      </c>
      <c r="N325" s="15" t="s">
        <v>888</v>
      </c>
      <c r="O325" s="3"/>
      <c r="P325" s="37" t="s">
        <v>25</v>
      </c>
      <c r="Q325" s="3"/>
      <c r="R325" s="3"/>
      <c r="S325" s="3"/>
      <c r="T325" s="3"/>
      <c r="U325" s="3"/>
      <c r="V325" s="3"/>
      <c r="W325" s="3"/>
      <c r="X325" s="3"/>
      <c r="Y325" s="3"/>
      <c r="Z325" s="3"/>
      <c r="AA325" s="3"/>
      <c r="AB325" s="3"/>
      <c r="AC325" s="3"/>
      <c r="AD325" s="3"/>
    </row>
    <row r="326" spans="1:30" s="7" customFormat="1">
      <c r="A326" s="14">
        <v>10495</v>
      </c>
      <c r="B326" s="14" t="s">
        <v>889</v>
      </c>
      <c r="C326" s="14" t="s">
        <v>689</v>
      </c>
      <c r="D326" s="4" t="s">
        <v>19</v>
      </c>
      <c r="E326" s="14">
        <v>101523</v>
      </c>
      <c r="F326" s="14">
        <v>10076573101</v>
      </c>
      <c r="G326" s="14">
        <v>441567329</v>
      </c>
      <c r="H326" s="28"/>
      <c r="I326" s="28"/>
      <c r="J326" s="3" t="s">
        <v>890</v>
      </c>
      <c r="K326" s="15" t="s">
        <v>891</v>
      </c>
      <c r="L326" s="19" t="s">
        <v>892</v>
      </c>
      <c r="M326" s="20" t="s">
        <v>893</v>
      </c>
      <c r="N326" s="15" t="s">
        <v>894</v>
      </c>
      <c r="O326" s="3"/>
      <c r="P326" s="37" t="s">
        <v>25</v>
      </c>
      <c r="Q326" s="3"/>
      <c r="R326" s="3"/>
      <c r="S326" s="3"/>
      <c r="T326" s="3"/>
      <c r="U326" s="3"/>
      <c r="V326" s="3"/>
      <c r="W326" s="3"/>
      <c r="X326" s="3"/>
      <c r="Y326" s="3"/>
      <c r="Z326" s="3"/>
      <c r="AA326" s="3"/>
      <c r="AB326" s="3"/>
      <c r="AC326" s="3"/>
      <c r="AD326" s="3"/>
    </row>
    <row r="327" spans="1:30" s="7" customFormat="1">
      <c r="A327" s="14">
        <v>10496</v>
      </c>
      <c r="B327" s="14"/>
      <c r="C327" s="14" t="s">
        <v>689</v>
      </c>
      <c r="D327" s="14"/>
      <c r="E327" s="14"/>
      <c r="F327" s="14"/>
      <c r="G327" s="14"/>
      <c r="H327" s="28"/>
      <c r="I327" s="28"/>
      <c r="J327" s="3"/>
      <c r="K327" s="3"/>
      <c r="L327" s="19"/>
      <c r="M327" s="3"/>
      <c r="N327" s="3"/>
      <c r="O327" s="3"/>
      <c r="P327" s="3"/>
      <c r="Q327" s="3"/>
      <c r="R327" s="3"/>
      <c r="S327" s="3"/>
      <c r="T327" s="3"/>
      <c r="U327" s="3"/>
      <c r="V327" s="3"/>
      <c r="W327" s="3"/>
      <c r="X327" s="3"/>
      <c r="Y327" s="3"/>
      <c r="Z327" s="3"/>
      <c r="AA327" s="3"/>
      <c r="AB327" s="3"/>
      <c r="AC327" s="3"/>
      <c r="AD327" s="3"/>
    </row>
    <row r="328" spans="1:30" s="7" customFormat="1">
      <c r="A328" s="14">
        <v>10497</v>
      </c>
      <c r="B328" s="14"/>
      <c r="C328" s="14" t="s">
        <v>689</v>
      </c>
      <c r="D328" s="14"/>
      <c r="E328" s="14"/>
      <c r="F328" s="14"/>
      <c r="G328" s="14"/>
      <c r="H328" s="28"/>
      <c r="I328" s="28"/>
      <c r="J328" s="3"/>
      <c r="K328" s="3"/>
      <c r="L328" s="19"/>
      <c r="M328" s="3"/>
      <c r="N328" s="3"/>
      <c r="O328" s="3"/>
      <c r="P328" s="3"/>
      <c r="Q328" s="3"/>
      <c r="R328" s="3"/>
      <c r="S328" s="3"/>
      <c r="T328" s="3"/>
      <c r="U328" s="3"/>
      <c r="V328" s="3"/>
      <c r="W328" s="3"/>
      <c r="X328" s="3"/>
      <c r="Y328" s="3"/>
      <c r="Z328" s="3"/>
      <c r="AA328" s="3"/>
      <c r="AB328" s="3"/>
      <c r="AC328" s="3"/>
      <c r="AD328" s="3"/>
    </row>
    <row r="329" spans="1:30" s="7" customFormat="1">
      <c r="A329" s="14">
        <v>10498</v>
      </c>
      <c r="B329" s="14"/>
      <c r="C329" s="14" t="s">
        <v>689</v>
      </c>
      <c r="D329" s="14"/>
      <c r="E329" s="14"/>
      <c r="F329" s="14"/>
      <c r="G329" s="14"/>
      <c r="H329" s="28"/>
      <c r="I329" s="28"/>
      <c r="J329" s="3"/>
      <c r="K329" s="3"/>
      <c r="L329" s="19"/>
      <c r="M329" s="3"/>
      <c r="N329" s="3"/>
      <c r="O329" s="3"/>
      <c r="P329" s="3"/>
      <c r="Q329" s="3"/>
      <c r="R329" s="3"/>
      <c r="S329" s="3"/>
      <c r="T329" s="3"/>
      <c r="U329" s="3"/>
      <c r="V329" s="3"/>
      <c r="W329" s="3"/>
      <c r="X329" s="3"/>
      <c r="Y329" s="3"/>
      <c r="Z329" s="3"/>
      <c r="AA329" s="3"/>
      <c r="AB329" s="3"/>
      <c r="AC329" s="3"/>
      <c r="AD329" s="3"/>
    </row>
    <row r="330" spans="1:30" s="7" customFormat="1">
      <c r="A330" s="14">
        <v>10499</v>
      </c>
      <c r="B330" s="14"/>
      <c r="C330" s="14" t="s">
        <v>689</v>
      </c>
      <c r="D330" s="14"/>
      <c r="E330" s="14"/>
      <c r="F330" s="14"/>
      <c r="G330" s="14"/>
      <c r="H330" s="28"/>
      <c r="I330" s="28"/>
      <c r="J330" s="3"/>
      <c r="K330" s="3"/>
      <c r="L330" s="19"/>
      <c r="M330" s="3"/>
      <c r="N330" s="3"/>
      <c r="O330" s="3"/>
      <c r="P330" s="3"/>
      <c r="Q330" s="3"/>
      <c r="R330" s="3"/>
      <c r="S330" s="3"/>
      <c r="T330" s="3"/>
      <c r="U330" s="3"/>
      <c r="V330" s="3"/>
      <c r="W330" s="3"/>
      <c r="X330" s="3"/>
      <c r="Y330" s="3"/>
      <c r="Z330" s="3"/>
      <c r="AA330" s="3"/>
      <c r="AB330" s="3"/>
      <c r="AC330" s="3"/>
      <c r="AD330" s="3"/>
    </row>
    <row r="331" spans="1:30" s="7" customFormat="1">
      <c r="A331" s="14">
        <v>10500</v>
      </c>
      <c r="B331" s="14"/>
      <c r="C331" s="14" t="s">
        <v>689</v>
      </c>
      <c r="D331" s="14"/>
      <c r="E331" s="14"/>
      <c r="F331" s="14"/>
      <c r="G331" s="14"/>
      <c r="H331" s="28"/>
      <c r="I331" s="28"/>
      <c r="J331" s="3"/>
      <c r="K331" s="3"/>
      <c r="L331" s="19"/>
      <c r="M331" s="3"/>
      <c r="N331" s="3"/>
      <c r="O331" s="3"/>
      <c r="P331" s="3"/>
      <c r="Q331" s="3"/>
      <c r="R331" s="3"/>
      <c r="S331" s="3"/>
      <c r="T331" s="3"/>
      <c r="U331" s="3"/>
      <c r="V331" s="3"/>
      <c r="W331" s="3"/>
      <c r="X331" s="3"/>
      <c r="Y331" s="3"/>
      <c r="Z331" s="3"/>
      <c r="AA331" s="3"/>
      <c r="AB331" s="3"/>
      <c r="AC331" s="3"/>
      <c r="AD331" s="3"/>
    </row>
    <row r="332" spans="1:30" s="7" customFormat="1">
      <c r="A332" s="14">
        <v>10501</v>
      </c>
      <c r="B332" s="14"/>
      <c r="C332" s="14" t="s">
        <v>689</v>
      </c>
      <c r="D332" s="14"/>
      <c r="E332" s="14"/>
      <c r="F332" s="14"/>
      <c r="G332" s="14"/>
      <c r="H332" s="28"/>
      <c r="I332" s="28"/>
      <c r="J332" s="3"/>
      <c r="K332" s="3"/>
      <c r="L332" s="19"/>
      <c r="M332" s="3"/>
      <c r="N332" s="3"/>
      <c r="O332" s="3"/>
      <c r="P332" s="3"/>
      <c r="Q332" s="3"/>
      <c r="R332" s="3"/>
      <c r="S332" s="3"/>
      <c r="T332" s="3"/>
      <c r="U332" s="3"/>
      <c r="V332" s="3"/>
      <c r="W332" s="3"/>
      <c r="X332" s="3"/>
      <c r="Y332" s="3"/>
      <c r="Z332" s="3"/>
      <c r="AA332" s="3"/>
      <c r="AB332" s="3"/>
      <c r="AC332" s="3"/>
      <c r="AD332" s="3"/>
    </row>
    <row r="333" spans="1:30" s="7" customFormat="1">
      <c r="A333" s="14">
        <v>10502</v>
      </c>
      <c r="B333" s="14" t="s">
        <v>895</v>
      </c>
      <c r="C333" s="14" t="s">
        <v>689</v>
      </c>
      <c r="D333" s="4" t="s">
        <v>19</v>
      </c>
      <c r="E333" s="14">
        <v>99307</v>
      </c>
      <c r="F333" s="14">
        <v>8319131276</v>
      </c>
      <c r="G333" s="14">
        <v>420272282</v>
      </c>
      <c r="H333" s="28"/>
      <c r="I333" s="28"/>
      <c r="J333" s="3" t="s">
        <v>896</v>
      </c>
      <c r="K333" s="15" t="s">
        <v>897</v>
      </c>
      <c r="L333" s="19" t="s">
        <v>898</v>
      </c>
      <c r="M333" s="20" t="s">
        <v>899</v>
      </c>
      <c r="N333" s="15" t="s">
        <v>900</v>
      </c>
      <c r="O333" s="3"/>
      <c r="P333" s="37" t="s">
        <v>25</v>
      </c>
      <c r="Q333" s="3"/>
      <c r="R333" s="3"/>
      <c r="S333" s="3"/>
      <c r="T333" s="3"/>
      <c r="U333" s="3"/>
      <c r="V333" s="3"/>
      <c r="W333" s="3"/>
      <c r="X333" s="3"/>
      <c r="Y333" s="3"/>
      <c r="Z333" s="3"/>
      <c r="AA333" s="3"/>
      <c r="AB333" s="3"/>
      <c r="AC333" s="3"/>
      <c r="AD333" s="3"/>
    </row>
    <row r="334" spans="1:30" s="7" customFormat="1">
      <c r="A334" s="14">
        <v>10503</v>
      </c>
      <c r="B334" s="14" t="s">
        <v>901</v>
      </c>
      <c r="C334" s="14" t="s">
        <v>689</v>
      </c>
      <c r="D334" s="4" t="s">
        <v>19</v>
      </c>
      <c r="E334" s="14">
        <v>99311</v>
      </c>
      <c r="F334" s="14">
        <v>8319202418</v>
      </c>
      <c r="G334" s="14">
        <v>420272277</v>
      </c>
      <c r="H334" s="28"/>
      <c r="I334" s="28"/>
      <c r="J334" s="3" t="s">
        <v>902</v>
      </c>
      <c r="K334" s="15" t="s">
        <v>903</v>
      </c>
      <c r="L334" s="19" t="s">
        <v>904</v>
      </c>
      <c r="M334" s="20" t="s">
        <v>905</v>
      </c>
      <c r="N334" s="15" t="s">
        <v>906</v>
      </c>
      <c r="O334" s="3"/>
      <c r="P334" s="37" t="s">
        <v>25</v>
      </c>
      <c r="Q334" s="3"/>
      <c r="R334" s="3"/>
      <c r="S334" s="3"/>
      <c r="T334" s="3"/>
      <c r="U334" s="3"/>
      <c r="V334" s="3"/>
      <c r="W334" s="3"/>
      <c r="X334" s="3"/>
      <c r="Y334" s="3"/>
      <c r="Z334" s="3"/>
      <c r="AA334" s="3"/>
      <c r="AB334" s="3"/>
      <c r="AC334" s="3"/>
      <c r="AD334" s="3"/>
    </row>
    <row r="335" spans="1:30" s="7" customFormat="1">
      <c r="A335" s="14">
        <v>10504</v>
      </c>
      <c r="B335" s="14"/>
      <c r="C335" s="14" t="s">
        <v>689</v>
      </c>
      <c r="D335" s="14"/>
      <c r="E335" s="14"/>
      <c r="F335" s="14"/>
      <c r="G335" s="14"/>
      <c r="H335" s="28"/>
      <c r="I335" s="28"/>
      <c r="J335" s="3"/>
      <c r="K335" s="3"/>
      <c r="L335" s="19"/>
      <c r="M335" s="3"/>
      <c r="N335" s="3"/>
      <c r="O335" s="3"/>
      <c r="P335" s="3"/>
      <c r="Q335" s="3"/>
      <c r="R335" s="3"/>
      <c r="S335" s="3"/>
      <c r="T335" s="3"/>
      <c r="U335" s="3"/>
      <c r="V335" s="3"/>
      <c r="W335" s="3"/>
      <c r="X335" s="3"/>
      <c r="Y335" s="3"/>
      <c r="Z335" s="3"/>
      <c r="AA335" s="3"/>
      <c r="AB335" s="3"/>
      <c r="AC335" s="3"/>
      <c r="AD335" s="3"/>
    </row>
    <row r="336" spans="1:30" s="7" customFormat="1">
      <c r="A336" s="14">
        <v>10505</v>
      </c>
      <c r="B336" s="14"/>
      <c r="C336" s="14" t="s">
        <v>689</v>
      </c>
      <c r="D336" s="14"/>
      <c r="E336" s="14"/>
      <c r="F336" s="14"/>
      <c r="G336" s="14"/>
      <c r="H336" s="28"/>
      <c r="I336" s="28"/>
      <c r="J336" s="3"/>
      <c r="K336" s="3"/>
      <c r="L336" s="19"/>
      <c r="M336" s="3"/>
      <c r="N336" s="3"/>
      <c r="O336" s="3"/>
      <c r="P336" s="3"/>
      <c r="Q336" s="3"/>
      <c r="R336" s="3"/>
      <c r="S336" s="3"/>
      <c r="T336" s="3"/>
      <c r="U336" s="3"/>
      <c r="V336" s="3"/>
      <c r="W336" s="3"/>
      <c r="X336" s="3"/>
      <c r="Y336" s="3"/>
      <c r="Z336" s="3"/>
      <c r="AA336" s="3"/>
      <c r="AB336" s="3"/>
      <c r="AC336" s="3"/>
      <c r="AD336" s="3"/>
    </row>
    <row r="337" spans="1:30" s="7" customFormat="1">
      <c r="A337" s="14">
        <v>10506</v>
      </c>
      <c r="B337" s="14" t="s">
        <v>907</v>
      </c>
      <c r="C337" s="14" t="s">
        <v>689</v>
      </c>
      <c r="D337" s="4" t="s">
        <v>19</v>
      </c>
      <c r="E337" s="14">
        <v>111985</v>
      </c>
      <c r="F337" s="14">
        <v>15836630978</v>
      </c>
      <c r="G337" s="14">
        <v>515581908</v>
      </c>
      <c r="H337" s="28"/>
      <c r="I337" s="28"/>
      <c r="J337" s="3" t="s">
        <v>908</v>
      </c>
      <c r="K337" s="15" t="s">
        <v>909</v>
      </c>
      <c r="L337" s="19" t="s">
        <v>910</v>
      </c>
      <c r="M337" s="20" t="s">
        <v>911</v>
      </c>
      <c r="N337" s="15" t="s">
        <v>912</v>
      </c>
      <c r="O337" s="3"/>
      <c r="P337" s="37" t="s">
        <v>25</v>
      </c>
      <c r="Q337" s="3"/>
      <c r="R337" s="3"/>
      <c r="S337" s="3"/>
      <c r="T337" s="3"/>
      <c r="U337" s="3"/>
      <c r="V337" s="3"/>
      <c r="W337" s="3"/>
      <c r="X337" s="3"/>
      <c r="Y337" s="3"/>
      <c r="Z337" s="3"/>
      <c r="AA337" s="3"/>
      <c r="AB337" s="3"/>
      <c r="AC337" s="3"/>
      <c r="AD337" s="3"/>
    </row>
    <row r="338" spans="1:30" s="7" customFormat="1">
      <c r="A338" s="14">
        <v>10507</v>
      </c>
      <c r="B338" s="14"/>
      <c r="C338" s="14" t="s">
        <v>689</v>
      </c>
      <c r="D338" s="14"/>
      <c r="E338" s="14"/>
      <c r="F338" s="14"/>
      <c r="G338" s="14"/>
      <c r="H338" s="28"/>
      <c r="I338" s="28"/>
      <c r="J338" s="3"/>
      <c r="K338" s="3"/>
      <c r="L338" s="19"/>
      <c r="M338" s="3"/>
      <c r="N338" s="3"/>
      <c r="O338" s="3"/>
      <c r="P338" s="3"/>
      <c r="Q338" s="3"/>
      <c r="R338" s="3"/>
      <c r="S338" s="3"/>
      <c r="T338" s="3"/>
      <c r="U338" s="3"/>
      <c r="V338" s="3"/>
      <c r="W338" s="3"/>
      <c r="X338" s="3"/>
      <c r="Y338" s="3"/>
      <c r="Z338" s="3"/>
      <c r="AA338" s="3"/>
      <c r="AB338" s="3"/>
      <c r="AC338" s="3"/>
      <c r="AD338" s="3"/>
    </row>
    <row r="339" spans="1:30" s="7" customFormat="1">
      <c r="A339" s="14">
        <v>10508</v>
      </c>
      <c r="B339" s="14"/>
      <c r="C339" s="14" t="s">
        <v>689</v>
      </c>
      <c r="D339" s="14"/>
      <c r="E339" s="14"/>
      <c r="F339" s="14"/>
      <c r="G339" s="14"/>
      <c r="H339" s="28"/>
      <c r="I339" s="28"/>
      <c r="J339" s="3"/>
      <c r="K339" s="3"/>
      <c r="L339" s="19"/>
      <c r="M339" s="3"/>
      <c r="N339" s="3"/>
      <c r="O339" s="3"/>
      <c r="P339" s="3"/>
      <c r="Q339" s="3"/>
      <c r="R339" s="3"/>
      <c r="S339" s="3"/>
      <c r="T339" s="3"/>
      <c r="U339" s="3"/>
      <c r="V339" s="3"/>
      <c r="W339" s="3"/>
      <c r="X339" s="3"/>
      <c r="Y339" s="3"/>
      <c r="Z339" s="3"/>
      <c r="AA339" s="3"/>
      <c r="AB339" s="3"/>
      <c r="AC339" s="3"/>
      <c r="AD339" s="3"/>
    </row>
    <row r="340" spans="1:30" s="7" customFormat="1">
      <c r="A340" s="14">
        <v>10509</v>
      </c>
      <c r="B340" s="14"/>
      <c r="C340" s="14" t="s">
        <v>689</v>
      </c>
      <c r="D340" s="14"/>
      <c r="E340" s="14"/>
      <c r="F340" s="14"/>
      <c r="G340" s="14"/>
      <c r="H340" s="28"/>
      <c r="I340" s="28"/>
      <c r="J340" s="3"/>
      <c r="K340" s="3"/>
      <c r="L340" s="19"/>
      <c r="M340" s="3"/>
      <c r="N340" s="3"/>
      <c r="O340" s="3"/>
      <c r="P340" s="3"/>
      <c r="Q340" s="3"/>
      <c r="R340" s="3"/>
      <c r="S340" s="3"/>
      <c r="T340" s="3"/>
      <c r="U340" s="3"/>
      <c r="V340" s="3"/>
      <c r="W340" s="3"/>
      <c r="X340" s="3"/>
      <c r="Y340" s="3"/>
      <c r="Z340" s="3"/>
      <c r="AA340" s="3"/>
      <c r="AB340" s="3"/>
      <c r="AC340" s="3"/>
      <c r="AD340" s="3"/>
    </row>
    <row r="341" spans="1:30" s="7" customFormat="1">
      <c r="A341" s="14">
        <v>10510</v>
      </c>
      <c r="B341" s="14"/>
      <c r="C341" s="14" t="s">
        <v>689</v>
      </c>
      <c r="D341" s="14"/>
      <c r="E341" s="14"/>
      <c r="F341" s="14"/>
      <c r="G341" s="14"/>
      <c r="H341" s="28"/>
      <c r="I341" s="28"/>
      <c r="J341" s="3"/>
      <c r="K341" s="3"/>
      <c r="L341" s="19"/>
      <c r="M341" s="3"/>
      <c r="N341" s="3"/>
      <c r="O341" s="3"/>
      <c r="P341" s="3"/>
      <c r="Q341" s="3"/>
      <c r="R341" s="3"/>
      <c r="S341" s="3"/>
      <c r="T341" s="3"/>
      <c r="U341" s="3"/>
      <c r="V341" s="3"/>
      <c r="W341" s="3"/>
      <c r="X341" s="3"/>
      <c r="Y341" s="3"/>
      <c r="Z341" s="3"/>
      <c r="AA341" s="3"/>
      <c r="AB341" s="3"/>
      <c r="AC341" s="3"/>
      <c r="AD341" s="3"/>
    </row>
    <row r="342" spans="1:30" s="7" customFormat="1">
      <c r="A342" s="14">
        <v>10511</v>
      </c>
      <c r="B342" s="14" t="s">
        <v>913</v>
      </c>
      <c r="C342" s="14" t="s">
        <v>691</v>
      </c>
      <c r="D342" s="4" t="s">
        <v>19</v>
      </c>
      <c r="E342" s="14">
        <v>99474</v>
      </c>
      <c r="F342" s="14">
        <v>8439686393</v>
      </c>
      <c r="G342" s="14">
        <v>423303772</v>
      </c>
      <c r="H342" s="28"/>
      <c r="I342" s="28"/>
      <c r="J342" s="3" t="s">
        <v>914</v>
      </c>
      <c r="K342" s="15" t="s">
        <v>915</v>
      </c>
      <c r="L342" s="19" t="s">
        <v>916</v>
      </c>
      <c r="M342" s="20" t="s">
        <v>916</v>
      </c>
      <c r="N342" s="15" t="s">
        <v>917</v>
      </c>
      <c r="O342" s="3"/>
      <c r="P342" s="37" t="s">
        <v>25</v>
      </c>
      <c r="Q342" s="3"/>
      <c r="R342" s="3"/>
      <c r="S342" s="3"/>
      <c r="T342" s="3"/>
      <c r="U342" s="3"/>
      <c r="V342" s="3"/>
      <c r="W342" s="3"/>
      <c r="X342" s="3"/>
      <c r="Y342" s="3"/>
      <c r="Z342" s="3"/>
      <c r="AA342" s="3"/>
      <c r="AB342" s="3"/>
      <c r="AC342" s="3"/>
      <c r="AD342" s="3"/>
    </row>
    <row r="343" spans="1:30" s="7" customFormat="1">
      <c r="A343" s="14">
        <v>10512</v>
      </c>
      <c r="B343" s="14"/>
      <c r="C343" s="14" t="s">
        <v>689</v>
      </c>
      <c r="D343" s="14"/>
      <c r="E343" s="14"/>
      <c r="F343" s="14"/>
      <c r="G343" s="14"/>
      <c r="H343" s="28"/>
      <c r="I343" s="28"/>
      <c r="J343" s="3"/>
      <c r="K343" s="3"/>
      <c r="L343" s="19"/>
      <c r="M343" s="3"/>
      <c r="N343" s="3"/>
      <c r="O343" s="3"/>
      <c r="P343" s="3"/>
      <c r="Q343" s="3"/>
      <c r="R343" s="3"/>
      <c r="S343" s="3"/>
      <c r="T343" s="3"/>
      <c r="U343" s="3"/>
      <c r="V343" s="3"/>
      <c r="W343" s="3"/>
      <c r="X343" s="3"/>
      <c r="Y343" s="3"/>
      <c r="Z343" s="3"/>
      <c r="AA343" s="3"/>
      <c r="AB343" s="3"/>
      <c r="AC343" s="3"/>
      <c r="AD343" s="3"/>
    </row>
    <row r="344" spans="1:30" s="7" customFormat="1">
      <c r="A344" s="14">
        <v>10513</v>
      </c>
      <c r="B344" s="14"/>
      <c r="C344" s="14" t="s">
        <v>689</v>
      </c>
      <c r="D344" s="14"/>
      <c r="E344" s="14"/>
      <c r="F344" s="14"/>
      <c r="G344" s="14"/>
      <c r="H344" s="28"/>
      <c r="I344" s="28"/>
      <c r="J344" s="3"/>
      <c r="K344" s="3"/>
      <c r="L344" s="19"/>
      <c r="M344" s="3"/>
      <c r="N344" s="3"/>
      <c r="O344" s="3"/>
      <c r="P344" s="3"/>
      <c r="Q344" s="3"/>
      <c r="R344" s="3"/>
      <c r="S344" s="3"/>
      <c r="T344" s="3"/>
      <c r="U344" s="3"/>
      <c r="V344" s="3"/>
      <c r="W344" s="3"/>
      <c r="X344" s="3"/>
      <c r="Y344" s="3"/>
      <c r="Z344" s="3"/>
      <c r="AA344" s="3"/>
      <c r="AB344" s="3"/>
      <c r="AC344" s="3"/>
      <c r="AD344" s="3"/>
    </row>
    <row r="345" spans="1:30" s="7" customFormat="1">
      <c r="A345" s="14">
        <v>10514</v>
      </c>
      <c r="B345" s="14"/>
      <c r="C345" s="14" t="s">
        <v>689</v>
      </c>
      <c r="D345" s="14"/>
      <c r="E345" s="14"/>
      <c r="F345" s="14"/>
      <c r="G345" s="14"/>
      <c r="H345" s="28"/>
      <c r="I345" s="28"/>
      <c r="J345" s="3"/>
      <c r="K345" s="3"/>
      <c r="L345" s="19"/>
      <c r="M345" s="3"/>
      <c r="N345" s="3"/>
      <c r="O345" s="3"/>
      <c r="P345" s="3"/>
      <c r="Q345" s="3"/>
      <c r="R345" s="3"/>
      <c r="S345" s="3"/>
      <c r="T345" s="3"/>
      <c r="U345" s="3"/>
      <c r="V345" s="3"/>
      <c r="W345" s="3"/>
      <c r="X345" s="3"/>
      <c r="Y345" s="3"/>
      <c r="Z345" s="3"/>
      <c r="AA345" s="3"/>
      <c r="AB345" s="3"/>
      <c r="AC345" s="3"/>
      <c r="AD345" s="3"/>
    </row>
    <row r="346" spans="1:30" s="7" customFormat="1">
      <c r="A346" s="14">
        <v>10515</v>
      </c>
      <c r="B346" s="14"/>
      <c r="C346" s="14" t="s">
        <v>689</v>
      </c>
      <c r="D346" s="14"/>
      <c r="E346" s="14"/>
      <c r="F346" s="14"/>
      <c r="G346" s="14"/>
      <c r="H346" s="28"/>
      <c r="I346" s="28"/>
      <c r="J346" s="3"/>
      <c r="K346" s="3"/>
      <c r="L346" s="19"/>
      <c r="M346" s="3"/>
      <c r="N346" s="3"/>
      <c r="O346" s="3"/>
      <c r="P346" s="3"/>
      <c r="Q346" s="3"/>
      <c r="R346" s="3"/>
      <c r="S346" s="3"/>
      <c r="T346" s="3"/>
      <c r="U346" s="3"/>
      <c r="V346" s="3"/>
      <c r="W346" s="3"/>
      <c r="X346" s="3"/>
      <c r="Y346" s="3"/>
      <c r="Z346" s="3"/>
      <c r="AA346" s="3"/>
      <c r="AB346" s="3"/>
      <c r="AC346" s="3"/>
      <c r="AD346" s="3"/>
    </row>
    <row r="347" spans="1:30" s="7" customFormat="1">
      <c r="A347" s="14">
        <v>10516</v>
      </c>
      <c r="B347" s="14" t="s">
        <v>918</v>
      </c>
      <c r="C347" s="14" t="s">
        <v>691</v>
      </c>
      <c r="D347" s="4" t="s">
        <v>19</v>
      </c>
      <c r="E347" s="14">
        <v>99977</v>
      </c>
      <c r="F347" s="14">
        <v>8750620241</v>
      </c>
      <c r="G347" s="14">
        <v>424579025</v>
      </c>
      <c r="H347" s="28"/>
      <c r="I347" s="28"/>
      <c r="J347" s="3" t="s">
        <v>919</v>
      </c>
      <c r="K347" s="15" t="s">
        <v>920</v>
      </c>
      <c r="L347" s="19" t="s">
        <v>921</v>
      </c>
      <c r="M347" s="20" t="s">
        <v>921</v>
      </c>
      <c r="N347" s="15" t="s">
        <v>922</v>
      </c>
      <c r="O347" s="3"/>
      <c r="P347" s="37" t="s">
        <v>25</v>
      </c>
      <c r="Q347" s="3"/>
      <c r="R347" s="3"/>
      <c r="S347" s="3"/>
      <c r="T347" s="3"/>
      <c r="U347" s="3"/>
      <c r="V347" s="3"/>
      <c r="W347" s="3"/>
      <c r="X347" s="3"/>
      <c r="Y347" s="3"/>
      <c r="Z347" s="3"/>
      <c r="AA347" s="3"/>
      <c r="AB347" s="3"/>
      <c r="AC347" s="3"/>
      <c r="AD347" s="3"/>
    </row>
    <row r="348" spans="1:30" s="7" customFormat="1">
      <c r="A348" s="14">
        <v>10517</v>
      </c>
      <c r="B348" s="14" t="s">
        <v>923</v>
      </c>
      <c r="C348" s="14" t="s">
        <v>689</v>
      </c>
      <c r="D348" s="4" t="s">
        <v>19</v>
      </c>
      <c r="E348" s="14">
        <v>111978</v>
      </c>
      <c r="F348" s="14">
        <v>15836622952</v>
      </c>
      <c r="G348" s="14">
        <v>515581914</v>
      </c>
      <c r="H348" s="28"/>
      <c r="I348" s="28"/>
      <c r="J348" s="3" t="s">
        <v>924</v>
      </c>
      <c r="K348" s="15" t="s">
        <v>925</v>
      </c>
      <c r="L348" s="19" t="s">
        <v>926</v>
      </c>
      <c r="M348" s="20" t="s">
        <v>927</v>
      </c>
      <c r="N348" s="15" t="s">
        <v>928</v>
      </c>
      <c r="O348" s="3"/>
      <c r="P348" s="37" t="s">
        <v>25</v>
      </c>
      <c r="Q348" s="3"/>
      <c r="R348" s="3"/>
      <c r="S348" s="3"/>
      <c r="T348" s="3"/>
      <c r="U348" s="3"/>
      <c r="V348" s="3"/>
      <c r="W348" s="3"/>
      <c r="X348" s="3"/>
      <c r="Y348" s="3"/>
      <c r="Z348" s="3"/>
      <c r="AA348" s="3"/>
      <c r="AB348" s="3"/>
      <c r="AC348" s="3"/>
      <c r="AD348" s="3"/>
    </row>
    <row r="349" spans="1:30" s="7" customFormat="1">
      <c r="A349" s="14">
        <v>10518</v>
      </c>
      <c r="B349" s="14" t="s">
        <v>929</v>
      </c>
      <c r="C349" s="14" t="s">
        <v>689</v>
      </c>
      <c r="D349" s="4" t="s">
        <v>19</v>
      </c>
      <c r="E349" s="14">
        <v>99314</v>
      </c>
      <c r="F349" s="14">
        <v>8319347699</v>
      </c>
      <c r="G349" s="14">
        <v>420272271</v>
      </c>
      <c r="H349" s="28"/>
      <c r="I349" s="28"/>
      <c r="J349" s="3" t="s">
        <v>930</v>
      </c>
      <c r="K349" s="15" t="s">
        <v>931</v>
      </c>
      <c r="L349" s="19" t="s">
        <v>932</v>
      </c>
      <c r="M349" s="20" t="s">
        <v>933</v>
      </c>
      <c r="N349" s="15" t="s">
        <v>934</v>
      </c>
      <c r="O349" s="3"/>
      <c r="P349" s="37" t="s">
        <v>25</v>
      </c>
      <c r="Q349" s="3"/>
      <c r="R349" s="3"/>
      <c r="S349" s="3"/>
      <c r="T349" s="3"/>
      <c r="U349" s="3"/>
      <c r="V349" s="3"/>
      <c r="W349" s="3"/>
      <c r="X349" s="3"/>
      <c r="Y349" s="3"/>
      <c r="Z349" s="3"/>
      <c r="AA349" s="3"/>
      <c r="AB349" s="3"/>
      <c r="AC349" s="3"/>
      <c r="AD349" s="3"/>
    </row>
    <row r="350" spans="1:30" s="7" customFormat="1">
      <c r="A350" s="14">
        <v>10519</v>
      </c>
      <c r="B350" s="14" t="s">
        <v>935</v>
      </c>
      <c r="C350" s="14" t="s">
        <v>689</v>
      </c>
      <c r="D350" s="4" t="s">
        <v>19</v>
      </c>
      <c r="E350" s="14">
        <v>111986</v>
      </c>
      <c r="F350" s="14">
        <v>15836631634</v>
      </c>
      <c r="G350" s="14">
        <v>515581915</v>
      </c>
      <c r="H350" s="28"/>
      <c r="I350" s="28"/>
      <c r="J350" s="3" t="s">
        <v>936</v>
      </c>
      <c r="K350" s="15" t="s">
        <v>937</v>
      </c>
      <c r="L350" s="19" t="s">
        <v>938</v>
      </c>
      <c r="M350" s="20" t="s">
        <v>939</v>
      </c>
      <c r="N350" s="15" t="s">
        <v>940</v>
      </c>
      <c r="O350" s="3"/>
      <c r="P350" s="37" t="s">
        <v>25</v>
      </c>
      <c r="Q350" s="3"/>
      <c r="R350" s="3"/>
      <c r="S350" s="3"/>
      <c r="T350" s="3"/>
      <c r="U350" s="3"/>
      <c r="V350" s="3"/>
      <c r="W350" s="3"/>
      <c r="X350" s="3"/>
      <c r="Y350" s="3"/>
      <c r="Z350" s="3"/>
      <c r="AA350" s="3"/>
      <c r="AB350" s="3"/>
      <c r="AC350" s="3"/>
      <c r="AD350" s="3"/>
    </row>
    <row r="351" spans="1:30" s="7" customFormat="1">
      <c r="A351" s="14">
        <v>10520</v>
      </c>
      <c r="B351" s="14"/>
      <c r="C351" s="14" t="s">
        <v>689</v>
      </c>
      <c r="D351" s="14"/>
      <c r="E351" s="14"/>
      <c r="F351" s="14"/>
      <c r="G351" s="14"/>
      <c r="H351" s="28"/>
      <c r="I351" s="28"/>
      <c r="J351" s="3"/>
      <c r="K351" s="3"/>
      <c r="L351" s="19"/>
      <c r="M351" s="3"/>
      <c r="N351" s="3"/>
      <c r="O351" s="3"/>
      <c r="P351" s="3"/>
      <c r="Q351" s="3"/>
      <c r="R351" s="3"/>
      <c r="S351" s="3"/>
      <c r="T351" s="3"/>
      <c r="U351" s="3"/>
      <c r="V351" s="3"/>
      <c r="W351" s="3"/>
      <c r="X351" s="3"/>
      <c r="Y351" s="3"/>
      <c r="Z351" s="3"/>
      <c r="AA351" s="3"/>
      <c r="AB351" s="3"/>
      <c r="AC351" s="3"/>
      <c r="AD351" s="3"/>
    </row>
    <row r="352" spans="1:30" s="7" customFormat="1">
      <c r="A352" s="14">
        <v>10521</v>
      </c>
      <c r="B352" s="14" t="s">
        <v>941</v>
      </c>
      <c r="C352" s="14" t="s">
        <v>691</v>
      </c>
      <c r="D352" s="4" t="s">
        <v>19</v>
      </c>
      <c r="E352" s="14">
        <v>101975</v>
      </c>
      <c r="F352" s="14">
        <v>10427295943</v>
      </c>
      <c r="G352" s="14">
        <v>446201190</v>
      </c>
      <c r="H352" s="28"/>
      <c r="I352" s="28"/>
      <c r="J352" s="3" t="s">
        <v>942</v>
      </c>
      <c r="K352" s="15" t="s">
        <v>943</v>
      </c>
      <c r="L352" s="19" t="s">
        <v>944</v>
      </c>
      <c r="M352" s="20" t="s">
        <v>944</v>
      </c>
      <c r="N352" s="15" t="s">
        <v>945</v>
      </c>
      <c r="O352" s="3"/>
      <c r="P352" s="37" t="s">
        <v>25</v>
      </c>
      <c r="Q352" s="3"/>
      <c r="R352" s="3"/>
      <c r="S352" s="3"/>
      <c r="T352" s="3"/>
      <c r="U352" s="3"/>
      <c r="V352" s="3"/>
      <c r="W352" s="3"/>
      <c r="X352" s="3"/>
      <c r="Y352" s="3"/>
      <c r="Z352" s="3"/>
      <c r="AA352" s="3"/>
      <c r="AB352" s="3"/>
      <c r="AC352" s="3"/>
      <c r="AD352" s="3"/>
    </row>
    <row r="353" spans="1:30" s="7" customFormat="1">
      <c r="A353" s="14">
        <v>10522</v>
      </c>
      <c r="B353" s="14" t="s">
        <v>946</v>
      </c>
      <c r="C353" s="14" t="s">
        <v>691</v>
      </c>
      <c r="D353" s="4" t="s">
        <v>19</v>
      </c>
      <c r="E353" s="14">
        <v>101974</v>
      </c>
      <c r="F353" s="14">
        <v>10427289051</v>
      </c>
      <c r="G353" s="45">
        <v>446201192</v>
      </c>
      <c r="H353" s="28"/>
      <c r="I353" s="28"/>
      <c r="J353" s="3" t="s">
        <v>947</v>
      </c>
      <c r="K353" s="15" t="s">
        <v>948</v>
      </c>
      <c r="L353" s="19" t="s">
        <v>949</v>
      </c>
      <c r="M353" s="20" t="s">
        <v>949</v>
      </c>
      <c r="N353" s="15" t="s">
        <v>950</v>
      </c>
      <c r="O353" s="3"/>
      <c r="P353" s="37" t="s">
        <v>25</v>
      </c>
      <c r="Q353" s="3"/>
      <c r="R353" s="3"/>
      <c r="S353" s="3"/>
      <c r="T353" s="3"/>
      <c r="U353" s="3"/>
      <c r="V353" s="3"/>
      <c r="W353" s="3"/>
      <c r="X353" s="3"/>
      <c r="Y353" s="3"/>
      <c r="Z353" s="3"/>
      <c r="AA353" s="3"/>
      <c r="AB353" s="3"/>
      <c r="AC353" s="3"/>
      <c r="AD353" s="3"/>
    </row>
    <row r="354" spans="1:30" s="7" customFormat="1">
      <c r="A354" s="14">
        <v>10523</v>
      </c>
      <c r="B354" s="14" t="s">
        <v>951</v>
      </c>
      <c r="C354" s="14" t="s">
        <v>689</v>
      </c>
      <c r="D354" s="4" t="s">
        <v>19</v>
      </c>
      <c r="E354" s="14">
        <v>111968</v>
      </c>
      <c r="F354" s="14">
        <v>15836287183</v>
      </c>
      <c r="G354" s="14">
        <v>515581903</v>
      </c>
      <c r="H354" s="28"/>
      <c r="I354" s="28"/>
      <c r="J354" s="3" t="s">
        <v>952</v>
      </c>
      <c r="K354" s="15" t="s">
        <v>953</v>
      </c>
      <c r="L354" s="19" t="s">
        <v>954</v>
      </c>
      <c r="M354" s="20" t="s">
        <v>955</v>
      </c>
      <c r="N354" s="15" t="s">
        <v>956</v>
      </c>
      <c r="O354" s="3"/>
      <c r="P354" s="37" t="s">
        <v>25</v>
      </c>
      <c r="Q354" s="3"/>
      <c r="R354" s="3"/>
      <c r="S354" s="3"/>
      <c r="T354" s="3"/>
      <c r="U354" s="3"/>
      <c r="V354" s="3"/>
      <c r="W354" s="3"/>
      <c r="X354" s="3"/>
      <c r="Y354" s="3"/>
      <c r="Z354" s="3"/>
      <c r="AA354" s="3"/>
      <c r="AB354" s="3"/>
      <c r="AC354" s="3"/>
      <c r="AD354" s="3"/>
    </row>
    <row r="355" spans="1:30" s="7" customFormat="1">
      <c r="A355" s="14">
        <v>10524</v>
      </c>
      <c r="B355" s="14" t="s">
        <v>957</v>
      </c>
      <c r="C355" s="14" t="s">
        <v>689</v>
      </c>
      <c r="D355" s="4" t="s">
        <v>19</v>
      </c>
      <c r="E355" s="14">
        <v>111967</v>
      </c>
      <c r="F355" s="14">
        <v>15836284916</v>
      </c>
      <c r="G355" s="14">
        <v>515581904</v>
      </c>
      <c r="H355" s="28"/>
      <c r="I355" s="28"/>
      <c r="J355" s="3" t="s">
        <v>958</v>
      </c>
      <c r="K355" s="15" t="s">
        <v>959</v>
      </c>
      <c r="L355" s="19" t="s">
        <v>960</v>
      </c>
      <c r="M355" s="20" t="s">
        <v>961</v>
      </c>
      <c r="N355" s="15" t="s">
        <v>962</v>
      </c>
      <c r="O355" s="3"/>
      <c r="P355" s="37" t="s">
        <v>25</v>
      </c>
      <c r="Q355" s="3"/>
      <c r="R355" s="3"/>
      <c r="S355" s="3"/>
      <c r="T355" s="3"/>
      <c r="U355" s="3"/>
      <c r="V355" s="3"/>
      <c r="W355" s="3"/>
      <c r="X355" s="3"/>
      <c r="Y355" s="3"/>
      <c r="Z355" s="3"/>
      <c r="AA355" s="3"/>
      <c r="AB355" s="3"/>
      <c r="AC355" s="3"/>
      <c r="AD355" s="3"/>
    </row>
    <row r="356" spans="1:30" s="7" customFormat="1">
      <c r="A356" s="14">
        <v>10525</v>
      </c>
      <c r="B356" s="14"/>
      <c r="C356" s="14" t="s">
        <v>689</v>
      </c>
      <c r="D356" s="14"/>
      <c r="E356" s="14"/>
      <c r="F356" s="14"/>
      <c r="G356" s="14"/>
      <c r="H356" s="28"/>
      <c r="I356" s="28"/>
      <c r="J356" s="3"/>
      <c r="K356" s="3"/>
      <c r="L356" s="19"/>
      <c r="M356" s="3"/>
      <c r="N356" s="3"/>
      <c r="O356" s="3"/>
      <c r="P356" s="3"/>
      <c r="Q356" s="3"/>
      <c r="R356" s="3"/>
      <c r="S356" s="3"/>
      <c r="T356" s="3"/>
      <c r="U356" s="3"/>
      <c r="V356" s="3"/>
      <c r="W356" s="3"/>
      <c r="X356" s="3"/>
      <c r="Y356" s="3"/>
      <c r="Z356" s="3"/>
      <c r="AA356" s="3"/>
      <c r="AB356" s="3"/>
      <c r="AC356" s="3"/>
      <c r="AD356" s="3"/>
    </row>
    <row r="357" spans="1:30" s="7" customFormat="1">
      <c r="A357" s="14">
        <v>10526</v>
      </c>
      <c r="B357" s="14" t="s">
        <v>963</v>
      </c>
      <c r="C357" s="14" t="s">
        <v>689</v>
      </c>
      <c r="D357" s="4" t="s">
        <v>19</v>
      </c>
      <c r="E357" s="14">
        <v>111979</v>
      </c>
      <c r="F357" s="14">
        <v>15836622953</v>
      </c>
      <c r="G357" s="14">
        <v>515581919</v>
      </c>
      <c r="H357" s="28"/>
      <c r="I357" s="28"/>
      <c r="J357" s="3" t="s">
        <v>964</v>
      </c>
      <c r="K357" s="15" t="s">
        <v>965</v>
      </c>
      <c r="L357" s="19" t="s">
        <v>966</v>
      </c>
      <c r="M357" s="20" t="s">
        <v>967</v>
      </c>
      <c r="N357" s="15" t="s">
        <v>968</v>
      </c>
      <c r="O357" s="3"/>
      <c r="P357" s="37" t="s">
        <v>25</v>
      </c>
      <c r="Q357" s="3"/>
      <c r="R357" s="3"/>
      <c r="S357" s="3"/>
      <c r="T357" s="3"/>
      <c r="U357" s="3"/>
      <c r="V357" s="3"/>
      <c r="W357" s="3"/>
      <c r="X357" s="3"/>
      <c r="Y357" s="3"/>
      <c r="Z357" s="3"/>
      <c r="AA357" s="3"/>
      <c r="AB357" s="3"/>
      <c r="AC357" s="3"/>
      <c r="AD357" s="3"/>
    </row>
    <row r="358" spans="1:30" s="7" customFormat="1">
      <c r="A358" s="14">
        <v>10527</v>
      </c>
      <c r="B358" s="14"/>
      <c r="C358" s="14" t="s">
        <v>689</v>
      </c>
      <c r="D358" s="14"/>
      <c r="E358" s="14"/>
      <c r="F358" s="14"/>
      <c r="G358" s="14"/>
      <c r="H358" s="28"/>
      <c r="I358" s="28"/>
      <c r="J358" s="3"/>
      <c r="K358" s="3"/>
      <c r="L358" s="19"/>
      <c r="M358" s="3"/>
      <c r="N358" s="3"/>
      <c r="O358" s="3"/>
      <c r="P358" s="3"/>
      <c r="Q358" s="3"/>
      <c r="R358" s="3"/>
      <c r="S358" s="3"/>
      <c r="T358" s="3"/>
      <c r="U358" s="3"/>
      <c r="V358" s="3"/>
      <c r="W358" s="3"/>
      <c r="X358" s="3"/>
      <c r="Y358" s="3"/>
      <c r="Z358" s="3"/>
      <c r="AA358" s="3"/>
      <c r="AB358" s="3"/>
      <c r="AC358" s="3"/>
      <c r="AD358" s="3"/>
    </row>
    <row r="359" spans="1:30" s="7" customFormat="1">
      <c r="A359" s="14">
        <v>10528</v>
      </c>
      <c r="B359" s="14"/>
      <c r="C359" s="14" t="s">
        <v>689</v>
      </c>
      <c r="D359" s="14"/>
      <c r="E359" s="14"/>
      <c r="F359" s="14"/>
      <c r="G359" s="14"/>
      <c r="H359" s="28"/>
      <c r="I359" s="28"/>
      <c r="J359" s="3"/>
      <c r="K359" s="3"/>
      <c r="L359" s="19"/>
      <c r="M359" s="3"/>
      <c r="N359" s="3"/>
      <c r="O359" s="3"/>
      <c r="P359" s="3"/>
      <c r="Q359" s="3"/>
      <c r="R359" s="3"/>
      <c r="S359" s="3"/>
      <c r="T359" s="3"/>
      <c r="U359" s="3"/>
      <c r="V359" s="3"/>
      <c r="W359" s="3"/>
      <c r="X359" s="3"/>
      <c r="Y359" s="3"/>
      <c r="Z359" s="3"/>
      <c r="AA359" s="3"/>
      <c r="AB359" s="3"/>
      <c r="AC359" s="3"/>
      <c r="AD359" s="3"/>
    </row>
    <row r="360" spans="1:30" s="7" customFormat="1">
      <c r="A360" s="14">
        <v>10529</v>
      </c>
      <c r="B360" s="14" t="s">
        <v>969</v>
      </c>
      <c r="C360" s="14" t="s">
        <v>689</v>
      </c>
      <c r="D360" s="4" t="s">
        <v>19</v>
      </c>
      <c r="E360" s="14">
        <v>112548</v>
      </c>
      <c r="F360" s="14">
        <v>16105962502</v>
      </c>
      <c r="G360" s="14">
        <v>519562722</v>
      </c>
      <c r="H360" s="28"/>
      <c r="I360" s="28"/>
      <c r="J360" s="3" t="s">
        <v>970</v>
      </c>
      <c r="K360" s="15" t="s">
        <v>971</v>
      </c>
      <c r="L360" s="19" t="s">
        <v>972</v>
      </c>
      <c r="M360" s="20" t="s">
        <v>973</v>
      </c>
      <c r="N360" s="15" t="s">
        <v>974</v>
      </c>
      <c r="O360" s="3"/>
      <c r="P360" s="37" t="s">
        <v>25</v>
      </c>
      <c r="Q360" s="3"/>
      <c r="R360" s="3"/>
      <c r="S360" s="3"/>
      <c r="T360" s="3"/>
      <c r="U360" s="3"/>
      <c r="V360" s="3"/>
      <c r="W360" s="3"/>
      <c r="X360" s="3"/>
      <c r="Y360" s="3"/>
      <c r="Z360" s="3"/>
      <c r="AA360" s="3"/>
      <c r="AB360" s="3"/>
      <c r="AC360" s="3"/>
      <c r="AD360" s="3"/>
    </row>
    <row r="361" spans="1:30" s="7" customFormat="1">
      <c r="A361" s="14">
        <v>10530</v>
      </c>
      <c r="B361" s="14"/>
      <c r="C361" s="14" t="s">
        <v>689</v>
      </c>
      <c r="D361" s="14"/>
      <c r="E361" s="14"/>
      <c r="F361" s="14"/>
      <c r="G361" s="14"/>
      <c r="H361" s="28"/>
      <c r="I361" s="28"/>
      <c r="J361" s="3"/>
      <c r="K361" s="3"/>
      <c r="L361" s="19"/>
      <c r="M361" s="3"/>
      <c r="N361" s="3"/>
      <c r="O361" s="3"/>
      <c r="P361" s="3"/>
      <c r="Q361" s="3"/>
      <c r="R361" s="3"/>
      <c r="S361" s="3"/>
      <c r="T361" s="3"/>
      <c r="U361" s="3"/>
      <c r="V361" s="3"/>
      <c r="W361" s="3"/>
      <c r="X361" s="3"/>
      <c r="Y361" s="3"/>
      <c r="Z361" s="3"/>
      <c r="AA361" s="3"/>
      <c r="AB361" s="3"/>
      <c r="AC361" s="3"/>
      <c r="AD361" s="3"/>
    </row>
    <row r="362" spans="1:30" s="7" customFormat="1">
      <c r="A362" s="14">
        <v>10531</v>
      </c>
      <c r="B362" s="14"/>
      <c r="C362" s="14" t="s">
        <v>689</v>
      </c>
      <c r="D362" s="14"/>
      <c r="E362" s="14"/>
      <c r="F362" s="14"/>
      <c r="G362" s="14"/>
      <c r="H362" s="28"/>
      <c r="I362" s="28"/>
      <c r="J362" s="3"/>
      <c r="K362" s="3"/>
      <c r="L362" s="19"/>
      <c r="M362" s="3"/>
      <c r="N362" s="3"/>
      <c r="O362" s="3"/>
      <c r="P362" s="3"/>
      <c r="Q362" s="3"/>
      <c r="R362" s="3"/>
      <c r="S362" s="3"/>
      <c r="T362" s="3"/>
      <c r="U362" s="3"/>
      <c r="V362" s="3"/>
      <c r="W362" s="3"/>
      <c r="X362" s="3"/>
      <c r="Y362" s="3"/>
      <c r="Z362" s="3"/>
      <c r="AA362" s="3"/>
      <c r="AB362" s="3"/>
      <c r="AC362" s="3"/>
      <c r="AD362" s="3"/>
    </row>
    <row r="363" spans="1:30" s="7" customFormat="1">
      <c r="A363" s="14">
        <v>10532</v>
      </c>
      <c r="B363" s="14"/>
      <c r="C363" s="14" t="s">
        <v>689</v>
      </c>
      <c r="D363" s="14"/>
      <c r="E363" s="14"/>
      <c r="F363" s="14"/>
      <c r="G363" s="14"/>
      <c r="H363" s="28"/>
      <c r="I363" s="28"/>
      <c r="J363" s="3"/>
      <c r="K363" s="3"/>
      <c r="L363" s="19"/>
      <c r="M363" s="3"/>
      <c r="N363" s="3"/>
      <c r="O363" s="3"/>
      <c r="P363" s="3"/>
      <c r="Q363" s="3"/>
      <c r="R363" s="3"/>
      <c r="S363" s="3"/>
      <c r="T363" s="3"/>
      <c r="U363" s="3"/>
      <c r="V363" s="3"/>
      <c r="W363" s="3"/>
      <c r="X363" s="3"/>
      <c r="Y363" s="3"/>
      <c r="Z363" s="3"/>
      <c r="AA363" s="3"/>
      <c r="AB363" s="3"/>
      <c r="AC363" s="3"/>
      <c r="AD363" s="3"/>
    </row>
    <row r="364" spans="1:30" s="7" customFormat="1">
      <c r="A364" s="14">
        <v>10533</v>
      </c>
      <c r="B364" s="14"/>
      <c r="C364" s="14" t="s">
        <v>689</v>
      </c>
      <c r="D364" s="14"/>
      <c r="E364" s="14"/>
      <c r="F364" s="14"/>
      <c r="G364" s="14"/>
      <c r="H364" s="28"/>
      <c r="I364" s="28"/>
      <c r="J364" s="3"/>
      <c r="K364" s="3"/>
      <c r="L364" s="19"/>
      <c r="M364" s="3"/>
      <c r="N364" s="3"/>
      <c r="O364" s="3"/>
      <c r="P364" s="3"/>
      <c r="Q364" s="3"/>
      <c r="R364" s="3"/>
      <c r="S364" s="3"/>
      <c r="T364" s="3"/>
      <c r="U364" s="3"/>
      <c r="V364" s="3"/>
      <c r="W364" s="3"/>
      <c r="X364" s="3"/>
      <c r="Y364" s="3"/>
      <c r="Z364" s="3"/>
      <c r="AA364" s="3"/>
      <c r="AB364" s="3"/>
      <c r="AC364" s="3"/>
      <c r="AD364" s="3"/>
    </row>
    <row r="365" spans="1:30" s="7" customFormat="1">
      <c r="A365" s="14">
        <v>10534</v>
      </c>
      <c r="B365" s="14"/>
      <c r="C365" s="14" t="s">
        <v>689</v>
      </c>
      <c r="D365" s="14"/>
      <c r="E365" s="14"/>
      <c r="F365" s="14"/>
      <c r="G365" s="14"/>
      <c r="H365" s="28"/>
      <c r="I365" s="28"/>
      <c r="J365" s="3"/>
      <c r="K365" s="3"/>
      <c r="L365" s="19"/>
      <c r="M365" s="3"/>
      <c r="N365" s="3"/>
      <c r="O365" s="3"/>
      <c r="P365" s="3"/>
      <c r="Q365" s="3"/>
      <c r="R365" s="3"/>
      <c r="S365" s="3"/>
      <c r="T365" s="3"/>
      <c r="U365" s="3"/>
      <c r="V365" s="3"/>
      <c r="W365" s="3"/>
      <c r="X365" s="3"/>
      <c r="Y365" s="3"/>
      <c r="Z365" s="3"/>
      <c r="AA365" s="3"/>
      <c r="AB365" s="3"/>
      <c r="AC365" s="3"/>
      <c r="AD365" s="3"/>
    </row>
    <row r="366" spans="1:30" s="7" customFormat="1">
      <c r="A366" s="14">
        <v>10535</v>
      </c>
      <c r="B366" s="14"/>
      <c r="C366" s="14" t="s">
        <v>689</v>
      </c>
      <c r="D366" s="14"/>
      <c r="E366" s="14"/>
      <c r="F366" s="14"/>
      <c r="G366" s="14"/>
      <c r="H366" s="28"/>
      <c r="I366" s="28"/>
      <c r="J366" s="3"/>
      <c r="K366" s="3"/>
      <c r="L366" s="19"/>
      <c r="M366" s="3"/>
      <c r="N366" s="3"/>
      <c r="O366" s="3"/>
      <c r="P366" s="3"/>
      <c r="Q366" s="3"/>
      <c r="R366" s="3"/>
      <c r="S366" s="3"/>
      <c r="T366" s="3"/>
      <c r="U366" s="3"/>
      <c r="V366" s="3"/>
      <c r="W366" s="3"/>
      <c r="X366" s="3"/>
      <c r="Y366" s="3"/>
      <c r="Z366" s="3"/>
      <c r="AA366" s="3"/>
      <c r="AB366" s="3"/>
      <c r="AC366" s="3"/>
      <c r="AD366" s="3"/>
    </row>
    <row r="367" spans="1:30" s="7" customFormat="1">
      <c r="A367" s="14">
        <v>10536</v>
      </c>
      <c r="B367" s="14" t="s">
        <v>975</v>
      </c>
      <c r="C367" s="14" t="s">
        <v>689</v>
      </c>
      <c r="D367" s="4" t="s">
        <v>19</v>
      </c>
      <c r="E367" s="14">
        <v>111982</v>
      </c>
      <c r="F367" s="14">
        <v>15836628187</v>
      </c>
      <c r="G367" s="14">
        <v>515581898</v>
      </c>
      <c r="H367" s="28"/>
      <c r="I367" s="28"/>
      <c r="J367" s="3" t="s">
        <v>976</v>
      </c>
      <c r="K367" s="3" t="s">
        <v>977</v>
      </c>
      <c r="L367" s="19" t="s">
        <v>978</v>
      </c>
      <c r="M367" s="20" t="s">
        <v>979</v>
      </c>
      <c r="N367" s="15" t="s">
        <v>980</v>
      </c>
      <c r="O367" s="3"/>
      <c r="P367" s="37" t="s">
        <v>25</v>
      </c>
      <c r="Q367" s="3"/>
      <c r="R367" s="3"/>
      <c r="S367" s="3"/>
      <c r="T367" s="3"/>
      <c r="U367" s="3"/>
      <c r="V367" s="3"/>
      <c r="W367" s="3"/>
      <c r="X367" s="3"/>
      <c r="Y367" s="3"/>
      <c r="Z367" s="3"/>
      <c r="AA367" s="3"/>
      <c r="AB367" s="3"/>
      <c r="AC367" s="3"/>
      <c r="AD367" s="3"/>
    </row>
    <row r="368" spans="1:30" s="7" customFormat="1">
      <c r="A368" s="14">
        <v>10537</v>
      </c>
      <c r="B368" s="14"/>
      <c r="C368" s="14" t="s">
        <v>689</v>
      </c>
      <c r="D368" s="14"/>
      <c r="E368" s="14"/>
      <c r="F368" s="14"/>
      <c r="G368" s="14"/>
      <c r="H368" s="28"/>
      <c r="I368" s="28"/>
      <c r="J368" s="3"/>
      <c r="K368" s="3"/>
      <c r="L368" s="19"/>
      <c r="M368" s="3"/>
      <c r="N368" s="3"/>
      <c r="O368" s="3"/>
      <c r="P368" s="3"/>
      <c r="Q368" s="3"/>
      <c r="R368" s="3"/>
      <c r="S368" s="3"/>
      <c r="T368" s="3"/>
      <c r="U368" s="3"/>
      <c r="V368" s="3"/>
      <c r="W368" s="3"/>
      <c r="X368" s="3"/>
      <c r="Y368" s="3"/>
      <c r="Z368" s="3"/>
      <c r="AA368" s="3"/>
      <c r="AB368" s="3"/>
      <c r="AC368" s="3"/>
      <c r="AD368" s="3"/>
    </row>
    <row r="369" spans="1:30" s="7" customFormat="1">
      <c r="A369" s="14">
        <v>10538</v>
      </c>
      <c r="B369" s="14" t="s">
        <v>981</v>
      </c>
      <c r="C369" s="14" t="s">
        <v>689</v>
      </c>
      <c r="D369" s="4" t="s">
        <v>19</v>
      </c>
      <c r="E369" s="14">
        <v>111980</v>
      </c>
      <c r="F369" s="14">
        <v>15836625020</v>
      </c>
      <c r="G369" s="14">
        <v>515581905</v>
      </c>
      <c r="H369" s="28"/>
      <c r="I369" s="28"/>
      <c r="J369" s="3" t="s">
        <v>982</v>
      </c>
      <c r="K369" s="15" t="s">
        <v>983</v>
      </c>
      <c r="L369" s="19" t="s">
        <v>984</v>
      </c>
      <c r="M369" s="20" t="s">
        <v>985</v>
      </c>
      <c r="N369" s="15" t="s">
        <v>986</v>
      </c>
      <c r="O369" s="3"/>
      <c r="P369" s="37" t="s">
        <v>25</v>
      </c>
      <c r="Q369" s="3"/>
      <c r="R369" s="3"/>
      <c r="S369" s="3"/>
      <c r="T369" s="3"/>
      <c r="U369" s="3"/>
      <c r="V369" s="3"/>
      <c r="W369" s="3"/>
      <c r="X369" s="3"/>
      <c r="Y369" s="3"/>
      <c r="Z369" s="3"/>
      <c r="AA369" s="3"/>
      <c r="AB369" s="3"/>
      <c r="AC369" s="3"/>
      <c r="AD369" s="3"/>
    </row>
    <row r="370" spans="1:30" s="7" customFormat="1">
      <c r="A370" s="14">
        <v>10539</v>
      </c>
      <c r="B370" s="14"/>
      <c r="C370" s="14" t="s">
        <v>689</v>
      </c>
      <c r="D370" s="14"/>
      <c r="E370" s="14"/>
      <c r="F370" s="14"/>
      <c r="G370" s="14"/>
      <c r="H370" s="28"/>
      <c r="I370" s="28"/>
      <c r="J370" s="3"/>
      <c r="K370" s="3"/>
      <c r="L370" s="19"/>
      <c r="M370" s="3"/>
      <c r="N370" s="3"/>
      <c r="O370" s="3"/>
      <c r="P370" s="3"/>
      <c r="Q370" s="3"/>
      <c r="R370" s="3"/>
      <c r="S370" s="3"/>
      <c r="T370" s="3"/>
      <c r="U370" s="3"/>
      <c r="V370" s="3"/>
      <c r="W370" s="3"/>
      <c r="X370" s="3"/>
      <c r="Y370" s="3"/>
      <c r="Z370" s="3"/>
      <c r="AA370" s="3"/>
      <c r="AB370" s="3"/>
      <c r="AC370" s="3"/>
      <c r="AD370" s="3"/>
    </row>
    <row r="371" spans="1:30" s="7" customFormat="1">
      <c r="A371" s="14">
        <v>10540</v>
      </c>
      <c r="B371" s="14" t="s">
        <v>987</v>
      </c>
      <c r="C371" s="14" t="s">
        <v>689</v>
      </c>
      <c r="D371" s="4" t="s">
        <v>19</v>
      </c>
      <c r="E371" s="14">
        <v>110338</v>
      </c>
      <c r="F371" s="14">
        <v>14837230406</v>
      </c>
      <c r="G371" s="14">
        <v>502634337</v>
      </c>
      <c r="H371" s="28"/>
      <c r="I371" s="28"/>
      <c r="J371" s="3" t="s">
        <v>988</v>
      </c>
      <c r="K371" s="15" t="s">
        <v>989</v>
      </c>
      <c r="L371" s="19" t="s">
        <v>990</v>
      </c>
      <c r="M371" s="20" t="s">
        <v>991</v>
      </c>
      <c r="N371" s="15" t="s">
        <v>992</v>
      </c>
      <c r="O371" s="3"/>
      <c r="P371" s="37" t="s">
        <v>25</v>
      </c>
      <c r="Q371" s="3"/>
      <c r="R371" s="3"/>
      <c r="S371" s="3"/>
      <c r="T371" s="3"/>
      <c r="U371" s="3"/>
      <c r="V371" s="3"/>
      <c r="W371" s="3"/>
      <c r="X371" s="3"/>
      <c r="Y371" s="3"/>
      <c r="Z371" s="3"/>
      <c r="AA371" s="3"/>
      <c r="AB371" s="3"/>
      <c r="AC371" s="3"/>
      <c r="AD371" s="3"/>
    </row>
    <row r="372" spans="1:30" s="7" customFormat="1">
      <c r="A372" s="14">
        <v>10541</v>
      </c>
      <c r="B372" s="14" t="s">
        <v>993</v>
      </c>
      <c r="C372" s="14" t="s">
        <v>689</v>
      </c>
      <c r="D372" s="4" t="s">
        <v>19</v>
      </c>
      <c r="E372" s="14">
        <v>99313</v>
      </c>
      <c r="F372" s="14">
        <v>8319313060</v>
      </c>
      <c r="G372" s="14">
        <v>420272264</v>
      </c>
      <c r="H372" s="28"/>
      <c r="I372" s="28"/>
      <c r="J372" s="3" t="s">
        <v>994</v>
      </c>
      <c r="K372" s="15" t="s">
        <v>995</v>
      </c>
      <c r="L372" s="19" t="s">
        <v>996</v>
      </c>
      <c r="M372" s="20" t="s">
        <v>997</v>
      </c>
      <c r="N372" s="15" t="s">
        <v>998</v>
      </c>
      <c r="O372" s="3"/>
      <c r="P372" s="37" t="s">
        <v>25</v>
      </c>
      <c r="Q372" s="3"/>
      <c r="R372" s="3"/>
      <c r="S372" s="3"/>
      <c r="T372" s="3"/>
      <c r="U372" s="3"/>
      <c r="V372" s="3"/>
      <c r="W372" s="3"/>
      <c r="X372" s="3"/>
      <c r="Y372" s="3"/>
      <c r="Z372" s="3"/>
      <c r="AA372" s="3"/>
      <c r="AB372" s="3"/>
      <c r="AC372" s="3"/>
      <c r="AD372" s="3"/>
    </row>
    <row r="373" spans="1:30" s="7" customFormat="1">
      <c r="A373" s="14">
        <v>10542</v>
      </c>
      <c r="B373" s="14"/>
      <c r="C373" s="14" t="s">
        <v>689</v>
      </c>
      <c r="D373" s="14"/>
      <c r="E373" s="14"/>
      <c r="F373" s="14"/>
      <c r="G373" s="14"/>
      <c r="H373" s="28"/>
      <c r="I373" s="28"/>
      <c r="J373" s="3"/>
      <c r="K373" s="3"/>
      <c r="L373" s="19"/>
      <c r="M373" s="3"/>
      <c r="N373" s="3"/>
      <c r="O373" s="3"/>
      <c r="P373" s="3"/>
      <c r="Q373" s="3"/>
      <c r="R373" s="3"/>
      <c r="S373" s="3"/>
      <c r="T373" s="3"/>
      <c r="U373" s="3"/>
      <c r="V373" s="3"/>
      <c r="W373" s="3"/>
      <c r="X373" s="3"/>
      <c r="Y373" s="3"/>
      <c r="Z373" s="3"/>
      <c r="AA373" s="3"/>
      <c r="AB373" s="3"/>
      <c r="AC373" s="3"/>
      <c r="AD373" s="3"/>
    </row>
    <row r="374" spans="1:30" s="7" customFormat="1">
      <c r="A374" s="14">
        <v>10543</v>
      </c>
      <c r="B374" s="14"/>
      <c r="C374" s="14" t="s">
        <v>689</v>
      </c>
      <c r="D374" s="14"/>
      <c r="E374" s="14"/>
      <c r="F374" s="14"/>
      <c r="G374" s="14"/>
      <c r="H374" s="28"/>
      <c r="I374" s="28"/>
      <c r="J374" s="3"/>
      <c r="K374" s="3"/>
      <c r="L374" s="19"/>
      <c r="M374" s="3"/>
      <c r="N374" s="3"/>
      <c r="O374" s="3"/>
      <c r="P374" s="3"/>
      <c r="Q374" s="3"/>
      <c r="R374" s="3"/>
      <c r="S374" s="3"/>
      <c r="T374" s="3"/>
      <c r="U374" s="3"/>
      <c r="V374" s="3"/>
      <c r="W374" s="3"/>
      <c r="X374" s="3"/>
      <c r="Y374" s="3"/>
      <c r="Z374" s="3"/>
      <c r="AA374" s="3"/>
      <c r="AB374" s="3"/>
      <c r="AC374" s="3"/>
      <c r="AD374" s="3"/>
    </row>
    <row r="375" spans="1:30" s="7" customFormat="1">
      <c r="A375" s="14">
        <v>10544</v>
      </c>
      <c r="B375" s="14"/>
      <c r="C375" s="14" t="s">
        <v>689</v>
      </c>
      <c r="D375" s="14"/>
      <c r="E375" s="14"/>
      <c r="F375" s="14"/>
      <c r="G375" s="14"/>
      <c r="H375" s="28"/>
      <c r="I375" s="28"/>
      <c r="J375" s="3"/>
      <c r="K375" s="3"/>
      <c r="L375" s="19"/>
      <c r="M375" s="3"/>
      <c r="N375" s="3"/>
      <c r="O375" s="3"/>
      <c r="P375" s="3"/>
      <c r="Q375" s="3"/>
      <c r="R375" s="3"/>
      <c r="S375" s="3"/>
      <c r="T375" s="3"/>
      <c r="U375" s="3"/>
      <c r="V375" s="3"/>
      <c r="W375" s="3"/>
      <c r="X375" s="3"/>
      <c r="Y375" s="3"/>
      <c r="Z375" s="3"/>
      <c r="AA375" s="3"/>
      <c r="AB375" s="3"/>
      <c r="AC375" s="3"/>
      <c r="AD375" s="3"/>
    </row>
    <row r="376" spans="1:30" s="7" customFormat="1">
      <c r="A376" s="14">
        <v>10545</v>
      </c>
      <c r="B376" s="14"/>
      <c r="C376" s="14" t="s">
        <v>689</v>
      </c>
      <c r="D376" s="14"/>
      <c r="E376" s="14"/>
      <c r="F376" s="14"/>
      <c r="G376" s="14"/>
      <c r="H376" s="28"/>
      <c r="I376" s="28"/>
      <c r="J376" s="3"/>
      <c r="K376" s="3"/>
      <c r="L376" s="19"/>
      <c r="M376" s="3"/>
      <c r="N376" s="3"/>
      <c r="O376" s="3"/>
      <c r="P376" s="3"/>
      <c r="Q376" s="3"/>
      <c r="R376" s="3"/>
      <c r="S376" s="3"/>
      <c r="T376" s="3"/>
      <c r="U376" s="3"/>
      <c r="V376" s="3"/>
      <c r="W376" s="3"/>
      <c r="X376" s="3"/>
      <c r="Y376" s="3"/>
      <c r="Z376" s="3"/>
      <c r="AA376" s="3"/>
      <c r="AB376" s="3"/>
      <c r="AC376" s="3"/>
      <c r="AD376" s="3"/>
    </row>
    <row r="377" spans="1:30" s="7" customFormat="1">
      <c r="A377" s="14">
        <v>10546</v>
      </c>
      <c r="B377" s="14"/>
      <c r="C377" s="14" t="s">
        <v>689</v>
      </c>
      <c r="D377" s="14"/>
      <c r="E377" s="14"/>
      <c r="F377" s="14"/>
      <c r="G377" s="14"/>
      <c r="H377" s="28"/>
      <c r="I377" s="28"/>
      <c r="J377" s="3"/>
      <c r="K377" s="3"/>
      <c r="L377" s="19"/>
      <c r="M377" s="3"/>
      <c r="N377" s="3"/>
      <c r="O377" s="3"/>
      <c r="P377" s="3"/>
      <c r="Q377" s="3"/>
      <c r="R377" s="3"/>
      <c r="S377" s="3"/>
      <c r="T377" s="3"/>
      <c r="U377" s="3"/>
      <c r="V377" s="3"/>
      <c r="W377" s="3"/>
      <c r="X377" s="3"/>
      <c r="Y377" s="3"/>
      <c r="Z377" s="3"/>
      <c r="AA377" s="3"/>
      <c r="AB377" s="3"/>
      <c r="AC377" s="3"/>
      <c r="AD377" s="3"/>
    </row>
    <row r="378" spans="1:30" s="7" customFormat="1">
      <c r="A378" s="14">
        <v>10547</v>
      </c>
      <c r="B378" s="14"/>
      <c r="C378" s="14" t="s">
        <v>689</v>
      </c>
      <c r="D378" s="14"/>
      <c r="E378" s="14"/>
      <c r="F378" s="14"/>
      <c r="G378" s="14"/>
      <c r="H378" s="28"/>
      <c r="I378" s="28"/>
      <c r="J378" s="3"/>
      <c r="K378" s="3"/>
      <c r="L378" s="19"/>
      <c r="M378" s="3"/>
      <c r="N378" s="3"/>
      <c r="O378" s="3"/>
      <c r="P378" s="3"/>
      <c r="Q378" s="3"/>
      <c r="R378" s="3"/>
      <c r="S378" s="3"/>
      <c r="T378" s="3"/>
      <c r="U378" s="3"/>
      <c r="V378" s="3"/>
      <c r="W378" s="3"/>
      <c r="X378" s="3"/>
      <c r="Y378" s="3"/>
      <c r="Z378" s="3"/>
      <c r="AA378" s="3"/>
      <c r="AB378" s="3"/>
      <c r="AC378" s="3"/>
      <c r="AD378" s="3"/>
    </row>
    <row r="379" spans="1:30" s="7" customFormat="1">
      <c r="A379" s="14">
        <v>10548</v>
      </c>
      <c r="B379" s="14" t="s">
        <v>999</v>
      </c>
      <c r="C379" s="14" t="s">
        <v>689</v>
      </c>
      <c r="D379" s="4" t="s">
        <v>19</v>
      </c>
      <c r="E379" s="14">
        <v>111984</v>
      </c>
      <c r="F379" s="14">
        <v>15836630433</v>
      </c>
      <c r="G379" s="14">
        <v>515581909</v>
      </c>
      <c r="H379" s="28"/>
      <c r="I379" s="28"/>
      <c r="J379" s="3" t="s">
        <v>1000</v>
      </c>
      <c r="K379" s="15" t="s">
        <v>1001</v>
      </c>
      <c r="L379" s="19" t="s">
        <v>1002</v>
      </c>
      <c r="M379" s="20" t="s">
        <v>1003</v>
      </c>
      <c r="N379" s="15" t="s">
        <v>1004</v>
      </c>
      <c r="O379" s="3"/>
      <c r="P379" s="37" t="s">
        <v>25</v>
      </c>
      <c r="Q379" s="3"/>
      <c r="R379" s="3"/>
      <c r="S379" s="3"/>
      <c r="T379" s="3"/>
      <c r="U379" s="3"/>
      <c r="V379" s="3"/>
      <c r="W379" s="3"/>
      <c r="X379" s="3"/>
      <c r="Y379" s="3"/>
      <c r="Z379" s="3"/>
      <c r="AA379" s="3"/>
      <c r="AB379" s="3"/>
      <c r="AC379" s="3"/>
      <c r="AD379" s="3"/>
    </row>
    <row r="380" spans="1:30" s="7" customFormat="1">
      <c r="A380" s="14">
        <v>10549</v>
      </c>
      <c r="B380" s="14" t="s">
        <v>1005</v>
      </c>
      <c r="C380" s="14" t="s">
        <v>689</v>
      </c>
      <c r="D380" s="4" t="s">
        <v>19</v>
      </c>
      <c r="E380" s="14">
        <v>99310</v>
      </c>
      <c r="F380" s="14">
        <v>8319202417</v>
      </c>
      <c r="G380" s="14">
        <v>420272259</v>
      </c>
      <c r="H380" s="28"/>
      <c r="I380" s="28"/>
      <c r="J380" s="3" t="s">
        <v>1006</v>
      </c>
      <c r="K380" s="15" t="s">
        <v>1007</v>
      </c>
      <c r="L380" s="19" t="s">
        <v>1008</v>
      </c>
      <c r="M380" s="20" t="s">
        <v>1009</v>
      </c>
      <c r="N380" s="15" t="s">
        <v>1010</v>
      </c>
      <c r="O380" s="3"/>
      <c r="P380" s="37" t="s">
        <v>25</v>
      </c>
      <c r="Q380" s="3"/>
      <c r="R380" s="3"/>
      <c r="S380" s="3"/>
      <c r="T380" s="3"/>
      <c r="U380" s="3"/>
      <c r="V380" s="3"/>
      <c r="W380" s="3"/>
      <c r="X380" s="3"/>
      <c r="Y380" s="3"/>
      <c r="Z380" s="3"/>
      <c r="AA380" s="3"/>
      <c r="AB380" s="3"/>
      <c r="AC380" s="3"/>
      <c r="AD380" s="3"/>
    </row>
    <row r="381" spans="1:30" s="7" customFormat="1">
      <c r="A381" s="14">
        <v>10550</v>
      </c>
      <c r="B381" s="14" t="s">
        <v>1011</v>
      </c>
      <c r="C381" s="14" t="s">
        <v>689</v>
      </c>
      <c r="D381" s="4" t="s">
        <v>19</v>
      </c>
      <c r="E381" s="14">
        <v>101524</v>
      </c>
      <c r="F381" s="14">
        <v>10076573547</v>
      </c>
      <c r="G381" s="14">
        <v>441567325</v>
      </c>
      <c r="H381" s="28"/>
      <c r="I381" s="28"/>
      <c r="J381" s="3" t="s">
        <v>1012</v>
      </c>
      <c r="K381" s="15" t="s">
        <v>1013</v>
      </c>
      <c r="L381" s="19" t="s">
        <v>1014</v>
      </c>
      <c r="M381" s="20" t="s">
        <v>1015</v>
      </c>
      <c r="N381" s="15" t="s">
        <v>1016</v>
      </c>
      <c r="O381" s="3"/>
      <c r="P381" s="37" t="s">
        <v>25</v>
      </c>
      <c r="Q381" s="3"/>
      <c r="R381" s="3"/>
      <c r="S381" s="3"/>
      <c r="T381" s="3"/>
      <c r="U381" s="3"/>
      <c r="V381" s="3"/>
      <c r="W381" s="3"/>
      <c r="X381" s="3"/>
      <c r="Y381" s="3"/>
      <c r="Z381" s="3"/>
      <c r="AA381" s="3"/>
      <c r="AB381" s="3"/>
      <c r="AC381" s="3"/>
      <c r="AD381" s="3"/>
    </row>
    <row r="382" spans="1:30" s="7" customFormat="1">
      <c r="A382" s="14">
        <v>10551</v>
      </c>
      <c r="B382" s="14"/>
      <c r="C382" s="14" t="s">
        <v>689</v>
      </c>
      <c r="D382" s="14"/>
      <c r="E382" s="14"/>
      <c r="F382" s="14"/>
      <c r="G382" s="14"/>
      <c r="H382" s="28"/>
      <c r="I382" s="28"/>
      <c r="J382" s="3"/>
      <c r="K382" s="3"/>
      <c r="L382" s="19"/>
      <c r="M382" s="3"/>
      <c r="N382" s="3"/>
      <c r="O382" s="3"/>
      <c r="P382" s="3"/>
      <c r="Q382" s="3"/>
      <c r="R382" s="3"/>
      <c r="S382" s="3"/>
      <c r="T382" s="3"/>
      <c r="U382" s="3"/>
      <c r="V382" s="3"/>
      <c r="W382" s="3"/>
      <c r="X382" s="3"/>
      <c r="Y382" s="3"/>
      <c r="Z382" s="3"/>
      <c r="AA382" s="3"/>
      <c r="AB382" s="3"/>
      <c r="AC382" s="3"/>
      <c r="AD382" s="3"/>
    </row>
    <row r="383" spans="1:30" s="7" customFormat="1">
      <c r="A383" s="14">
        <v>10552</v>
      </c>
      <c r="B383" s="14"/>
      <c r="C383" s="14" t="s">
        <v>689</v>
      </c>
      <c r="D383" s="14"/>
      <c r="E383" s="14"/>
      <c r="F383" s="14"/>
      <c r="G383" s="14"/>
      <c r="H383" s="28"/>
      <c r="I383" s="28"/>
      <c r="J383" s="3"/>
      <c r="K383" s="3"/>
      <c r="L383" s="19"/>
      <c r="M383" s="3"/>
      <c r="N383" s="3"/>
      <c r="O383" s="3"/>
      <c r="P383" s="3"/>
      <c r="Q383" s="3"/>
      <c r="R383" s="3"/>
      <c r="S383" s="3"/>
      <c r="T383" s="3"/>
      <c r="U383" s="3"/>
      <c r="V383" s="3"/>
      <c r="W383" s="3"/>
      <c r="X383" s="3"/>
      <c r="Y383" s="3"/>
      <c r="Z383" s="3"/>
      <c r="AA383" s="3"/>
      <c r="AB383" s="3"/>
      <c r="AC383" s="3"/>
      <c r="AD383" s="3"/>
    </row>
    <row r="384" spans="1:30" s="7" customFormat="1">
      <c r="A384" s="14">
        <v>10553</v>
      </c>
      <c r="B384" s="14"/>
      <c r="C384" s="14" t="s">
        <v>689</v>
      </c>
      <c r="D384" s="14"/>
      <c r="E384" s="14"/>
      <c r="F384" s="14"/>
      <c r="G384" s="14"/>
      <c r="H384" s="28"/>
      <c r="I384" s="28"/>
      <c r="J384" s="3"/>
      <c r="K384" s="3"/>
      <c r="L384" s="19"/>
      <c r="M384" s="3"/>
      <c r="N384" s="3"/>
      <c r="O384" s="3"/>
      <c r="P384" s="3"/>
      <c r="Q384" s="3"/>
      <c r="R384" s="3"/>
      <c r="S384" s="3"/>
      <c r="T384" s="3"/>
      <c r="U384" s="3"/>
      <c r="V384" s="3"/>
      <c r="W384" s="3"/>
      <c r="X384" s="3"/>
      <c r="Y384" s="3"/>
      <c r="Z384" s="3"/>
      <c r="AA384" s="3"/>
      <c r="AB384" s="3"/>
      <c r="AC384" s="3"/>
      <c r="AD384" s="3"/>
    </row>
    <row r="385" spans="1:30" s="7" customFormat="1">
      <c r="A385" s="14">
        <v>10554</v>
      </c>
      <c r="B385" s="14"/>
      <c r="C385" s="14" t="s">
        <v>689</v>
      </c>
      <c r="D385" s="14"/>
      <c r="E385" s="14"/>
      <c r="F385" s="14"/>
      <c r="G385" s="14"/>
      <c r="H385" s="28"/>
      <c r="I385" s="28"/>
      <c r="J385" s="3"/>
      <c r="K385" s="3"/>
      <c r="L385" s="19"/>
      <c r="M385" s="3"/>
      <c r="N385" s="3"/>
      <c r="O385" s="3"/>
      <c r="P385" s="3"/>
      <c r="Q385" s="3"/>
      <c r="R385" s="3"/>
      <c r="S385" s="3"/>
      <c r="T385" s="3"/>
      <c r="U385" s="3"/>
      <c r="V385" s="3"/>
      <c r="W385" s="3"/>
      <c r="X385" s="3"/>
      <c r="Y385" s="3"/>
      <c r="Z385" s="3"/>
      <c r="AA385" s="3"/>
      <c r="AB385" s="3"/>
      <c r="AC385" s="3"/>
      <c r="AD385" s="3"/>
    </row>
    <row r="386" spans="1:30" s="7" customFormat="1">
      <c r="A386" s="14">
        <v>10555</v>
      </c>
      <c r="B386" s="14" t="s">
        <v>1017</v>
      </c>
      <c r="C386" s="14" t="s">
        <v>691</v>
      </c>
      <c r="D386" s="4" t="s">
        <v>19</v>
      </c>
      <c r="E386" s="14">
        <v>105088</v>
      </c>
      <c r="F386" s="14">
        <v>11301336465</v>
      </c>
      <c r="G386" s="14">
        <v>456662109</v>
      </c>
      <c r="H386" s="28"/>
      <c r="I386" s="28"/>
      <c r="J386" s="3" t="s">
        <v>1018</v>
      </c>
      <c r="K386" s="15" t="s">
        <v>1019</v>
      </c>
      <c r="L386" s="19" t="s">
        <v>1020</v>
      </c>
      <c r="M386" s="20" t="s">
        <v>1020</v>
      </c>
      <c r="N386" s="15" t="s">
        <v>1021</v>
      </c>
      <c r="O386" s="3"/>
      <c r="P386" s="37" t="s">
        <v>25</v>
      </c>
      <c r="Q386" s="3"/>
      <c r="R386" s="3"/>
      <c r="S386" s="3"/>
      <c r="T386" s="3"/>
      <c r="U386" s="3"/>
      <c r="V386" s="3"/>
      <c r="W386" s="3"/>
      <c r="X386" s="3"/>
      <c r="Y386" s="3"/>
      <c r="Z386" s="3"/>
      <c r="AA386" s="3"/>
      <c r="AB386" s="3"/>
      <c r="AC386" s="3"/>
      <c r="AD386" s="3"/>
    </row>
    <row r="387" spans="1:30" s="7" customFormat="1">
      <c r="A387" s="14">
        <v>10556</v>
      </c>
      <c r="B387" s="14"/>
      <c r="C387" s="14" t="s">
        <v>689</v>
      </c>
      <c r="D387" s="14"/>
      <c r="E387" s="14"/>
      <c r="F387" s="14"/>
      <c r="G387" s="14"/>
      <c r="H387" s="28"/>
      <c r="I387" s="28"/>
      <c r="J387" s="3"/>
      <c r="K387" s="3"/>
      <c r="L387" s="19"/>
      <c r="M387" s="3"/>
      <c r="N387" s="3"/>
      <c r="O387" s="3"/>
      <c r="P387" s="3"/>
      <c r="Q387" s="3"/>
      <c r="R387" s="3"/>
      <c r="S387" s="3"/>
      <c r="T387" s="3"/>
      <c r="U387" s="3"/>
      <c r="V387" s="3"/>
      <c r="W387" s="3"/>
      <c r="X387" s="3"/>
      <c r="Y387" s="3"/>
      <c r="Z387" s="3"/>
      <c r="AA387" s="3"/>
      <c r="AB387" s="3"/>
      <c r="AC387" s="3"/>
      <c r="AD387" s="3"/>
    </row>
    <row r="388" spans="1:30" s="7" customFormat="1">
      <c r="A388" s="14">
        <v>10557</v>
      </c>
      <c r="B388" s="14" t="s">
        <v>1022</v>
      </c>
      <c r="C388" s="14" t="s">
        <v>689</v>
      </c>
      <c r="D388" s="4" t="s">
        <v>19</v>
      </c>
      <c r="E388" s="14">
        <v>111966</v>
      </c>
      <c r="F388" s="14">
        <v>15836283923</v>
      </c>
      <c r="G388" s="14">
        <v>515581906</v>
      </c>
      <c r="H388" s="28"/>
      <c r="I388" s="28"/>
      <c r="J388" s="3" t="s">
        <v>1023</v>
      </c>
      <c r="K388" s="15" t="s">
        <v>1024</v>
      </c>
      <c r="L388" s="19" t="s">
        <v>1025</v>
      </c>
      <c r="M388" s="20" t="s">
        <v>1026</v>
      </c>
      <c r="N388" s="15" t="s">
        <v>1027</v>
      </c>
      <c r="O388" s="3"/>
      <c r="P388" s="37" t="s">
        <v>25</v>
      </c>
      <c r="Q388" s="3"/>
      <c r="R388" s="3"/>
      <c r="S388" s="3"/>
      <c r="T388" s="3"/>
      <c r="U388" s="3"/>
      <c r="V388" s="3"/>
      <c r="W388" s="3"/>
      <c r="X388" s="3"/>
      <c r="Y388" s="3"/>
      <c r="Z388" s="3"/>
      <c r="AA388" s="3"/>
      <c r="AB388" s="3"/>
      <c r="AC388" s="3"/>
      <c r="AD388" s="3"/>
    </row>
    <row r="389" spans="1:30" s="7" customFormat="1">
      <c r="A389" s="14">
        <v>10558</v>
      </c>
      <c r="B389" s="14" t="s">
        <v>1028</v>
      </c>
      <c r="C389" s="14" t="s">
        <v>689</v>
      </c>
      <c r="D389" s="4" t="s">
        <v>19</v>
      </c>
      <c r="E389" s="14">
        <v>111969</v>
      </c>
      <c r="F389" s="14">
        <v>15836548372</v>
      </c>
      <c r="G389" s="14">
        <v>515581907</v>
      </c>
      <c r="H389" s="28"/>
      <c r="I389" s="28"/>
      <c r="J389" s="3" t="s">
        <v>1029</v>
      </c>
      <c r="K389" s="15" t="s">
        <v>1030</v>
      </c>
      <c r="L389" s="19" t="s">
        <v>1031</v>
      </c>
      <c r="M389" s="20" t="s">
        <v>1032</v>
      </c>
      <c r="N389" s="15" t="s">
        <v>1033</v>
      </c>
      <c r="O389" s="3"/>
      <c r="P389" s="37" t="s">
        <v>25</v>
      </c>
      <c r="Q389" s="3"/>
      <c r="R389" s="3"/>
      <c r="S389" s="3"/>
      <c r="T389" s="3"/>
      <c r="U389" s="3"/>
      <c r="V389" s="3"/>
      <c r="W389" s="3"/>
      <c r="X389" s="3"/>
      <c r="Y389" s="3"/>
      <c r="Z389" s="3"/>
      <c r="AA389" s="3"/>
      <c r="AB389" s="3"/>
      <c r="AC389" s="3"/>
      <c r="AD389" s="3"/>
    </row>
    <row r="390" spans="1:30" s="7" customFormat="1">
      <c r="A390" s="14">
        <v>10559</v>
      </c>
      <c r="B390" s="14"/>
      <c r="C390" s="14" t="s">
        <v>689</v>
      </c>
      <c r="D390" s="14"/>
      <c r="E390" s="14"/>
      <c r="F390" s="14"/>
      <c r="G390" s="14"/>
      <c r="H390" s="28"/>
      <c r="I390" s="28"/>
      <c r="J390" s="3"/>
      <c r="K390" s="3"/>
      <c r="L390" s="19"/>
      <c r="M390" s="3"/>
      <c r="N390" s="3"/>
      <c r="O390" s="3"/>
      <c r="P390" s="3"/>
      <c r="Q390" s="3"/>
      <c r="R390" s="3"/>
      <c r="S390" s="3"/>
      <c r="T390" s="3"/>
      <c r="U390" s="3"/>
      <c r="V390" s="3"/>
      <c r="W390" s="3"/>
      <c r="X390" s="3"/>
      <c r="Y390" s="3"/>
      <c r="Z390" s="3"/>
      <c r="AA390" s="3"/>
      <c r="AB390" s="3"/>
      <c r="AC390" s="3"/>
      <c r="AD390" s="3"/>
    </row>
    <row r="391" spans="1:30" s="7" customFormat="1">
      <c r="A391" s="14">
        <v>10560</v>
      </c>
      <c r="B391" s="14"/>
      <c r="C391" s="14" t="s">
        <v>689</v>
      </c>
      <c r="D391" s="14"/>
      <c r="E391" s="14"/>
      <c r="F391" s="14"/>
      <c r="G391" s="14"/>
      <c r="H391" s="28"/>
      <c r="I391" s="28"/>
      <c r="J391" s="3"/>
      <c r="K391" s="3"/>
      <c r="L391" s="19"/>
      <c r="M391" s="3"/>
      <c r="N391" s="3"/>
      <c r="O391" s="3"/>
      <c r="P391" s="3"/>
      <c r="Q391" s="3"/>
      <c r="R391" s="3"/>
      <c r="S391" s="3"/>
      <c r="T391" s="3"/>
      <c r="U391" s="3"/>
      <c r="V391" s="3"/>
      <c r="W391" s="3"/>
      <c r="X391" s="3"/>
      <c r="Y391" s="3"/>
      <c r="Z391" s="3"/>
      <c r="AA391" s="3"/>
      <c r="AB391" s="3"/>
      <c r="AC391" s="3"/>
      <c r="AD391" s="3"/>
    </row>
    <row r="392" spans="1:30" s="7" customFormat="1">
      <c r="A392" s="14">
        <v>10561</v>
      </c>
      <c r="B392" s="14"/>
      <c r="C392" s="14" t="s">
        <v>689</v>
      </c>
      <c r="D392" s="14"/>
      <c r="E392" s="14"/>
      <c r="F392" s="14"/>
      <c r="G392" s="14"/>
      <c r="H392" s="28"/>
      <c r="I392" s="28"/>
      <c r="J392" s="3"/>
      <c r="K392" s="3"/>
      <c r="L392" s="19"/>
      <c r="M392" s="3"/>
      <c r="N392" s="3"/>
      <c r="O392" s="3"/>
      <c r="P392" s="3"/>
      <c r="Q392" s="3"/>
      <c r="R392" s="3"/>
      <c r="S392" s="3"/>
      <c r="T392" s="3"/>
      <c r="U392" s="3"/>
      <c r="V392" s="3"/>
      <c r="W392" s="3"/>
      <c r="X392" s="3"/>
      <c r="Y392" s="3"/>
      <c r="Z392" s="3"/>
      <c r="AA392" s="3"/>
      <c r="AB392" s="3"/>
      <c r="AC392" s="3"/>
      <c r="AD392" s="3"/>
    </row>
    <row r="393" spans="1:30" s="7" customFormat="1">
      <c r="A393" s="14">
        <v>10562</v>
      </c>
      <c r="B393" s="14"/>
      <c r="C393" s="14" t="s">
        <v>689</v>
      </c>
      <c r="D393" s="14"/>
      <c r="E393" s="14"/>
      <c r="F393" s="14"/>
      <c r="G393" s="14"/>
      <c r="H393" s="28"/>
      <c r="I393" s="28"/>
      <c r="J393" s="3"/>
      <c r="K393" s="3"/>
      <c r="L393" s="19"/>
      <c r="M393" s="3"/>
      <c r="N393" s="3"/>
      <c r="O393" s="3"/>
      <c r="P393" s="3"/>
      <c r="Q393" s="3"/>
      <c r="R393" s="3"/>
      <c r="S393" s="3"/>
      <c r="T393" s="3"/>
      <c r="U393" s="3"/>
      <c r="V393" s="3"/>
      <c r="W393" s="3"/>
      <c r="X393" s="3"/>
      <c r="Y393" s="3"/>
      <c r="Z393" s="3"/>
      <c r="AA393" s="3"/>
      <c r="AB393" s="3"/>
      <c r="AC393" s="3"/>
      <c r="AD393" s="3"/>
    </row>
    <row r="394" spans="1:30" s="7" customFormat="1">
      <c r="A394" s="14">
        <v>10563</v>
      </c>
      <c r="B394" s="14" t="s">
        <v>1034</v>
      </c>
      <c r="C394" s="14" t="s">
        <v>689</v>
      </c>
      <c r="D394" s="4" t="s">
        <v>19</v>
      </c>
      <c r="E394" s="14">
        <v>111983</v>
      </c>
      <c r="F394" s="14">
        <v>15836628188</v>
      </c>
      <c r="G394" s="14">
        <v>515581900</v>
      </c>
      <c r="H394" s="28"/>
      <c r="I394" s="28"/>
      <c r="J394" s="3" t="s">
        <v>1035</v>
      </c>
      <c r="K394" s="15" t="s">
        <v>1036</v>
      </c>
      <c r="L394" s="19" t="s">
        <v>1037</v>
      </c>
      <c r="M394" s="20" t="s">
        <v>1038</v>
      </c>
      <c r="N394" s="15" t="s">
        <v>1039</v>
      </c>
      <c r="O394" s="3"/>
      <c r="P394" s="37" t="s">
        <v>25</v>
      </c>
      <c r="Q394" s="3"/>
      <c r="R394" s="3"/>
      <c r="S394" s="3"/>
      <c r="T394" s="3"/>
      <c r="U394" s="3"/>
      <c r="V394" s="3"/>
      <c r="W394" s="3"/>
      <c r="X394" s="3"/>
      <c r="Y394" s="3"/>
      <c r="Z394" s="3"/>
      <c r="AA394" s="3"/>
      <c r="AB394" s="3"/>
      <c r="AC394" s="3"/>
      <c r="AD394" s="3"/>
    </row>
    <row r="395" spans="1:30" s="7" customFormat="1">
      <c r="A395" s="14">
        <v>10564</v>
      </c>
      <c r="B395" s="14" t="s">
        <v>1040</v>
      </c>
      <c r="C395" s="14" t="s">
        <v>689</v>
      </c>
      <c r="D395" s="4" t="s">
        <v>19</v>
      </c>
      <c r="E395" s="14">
        <v>111970</v>
      </c>
      <c r="F395" s="14">
        <v>15836548373</v>
      </c>
      <c r="G395" s="14">
        <v>515581912</v>
      </c>
      <c r="H395" s="28"/>
      <c r="I395" s="28"/>
      <c r="J395" s="3" t="s">
        <v>1041</v>
      </c>
      <c r="K395" s="15" t="s">
        <v>1042</v>
      </c>
      <c r="L395" s="19" t="s">
        <v>1043</v>
      </c>
      <c r="M395" s="20" t="s">
        <v>1044</v>
      </c>
      <c r="N395" s="15" t="s">
        <v>1045</v>
      </c>
      <c r="O395" s="3"/>
      <c r="P395" s="37" t="s">
        <v>25</v>
      </c>
      <c r="Q395" s="3"/>
      <c r="R395" s="3"/>
      <c r="S395" s="3"/>
      <c r="T395" s="3"/>
      <c r="U395" s="3"/>
      <c r="V395" s="3"/>
      <c r="W395" s="3"/>
      <c r="X395" s="3"/>
      <c r="Y395" s="3"/>
      <c r="Z395" s="3"/>
      <c r="AA395" s="3"/>
      <c r="AB395" s="3"/>
      <c r="AC395" s="3"/>
      <c r="AD395" s="3"/>
    </row>
    <row r="396" spans="1:30" s="7" customFormat="1">
      <c r="A396" s="14">
        <v>10565</v>
      </c>
      <c r="B396" s="14" t="s">
        <v>1046</v>
      </c>
      <c r="C396" s="14" t="s">
        <v>689</v>
      </c>
      <c r="D396" s="4" t="s">
        <v>19</v>
      </c>
      <c r="E396" s="14">
        <v>100059</v>
      </c>
      <c r="F396" s="14">
        <v>8782053569</v>
      </c>
      <c r="G396" s="14">
        <v>424890441</v>
      </c>
      <c r="H396" s="28"/>
      <c r="I396" s="28"/>
      <c r="J396" s="3" t="s">
        <v>1047</v>
      </c>
      <c r="K396" s="15" t="s">
        <v>1048</v>
      </c>
      <c r="L396" s="19" t="s">
        <v>1049</v>
      </c>
      <c r="M396" s="20" t="s">
        <v>1050</v>
      </c>
      <c r="N396" s="15" t="s">
        <v>1051</v>
      </c>
      <c r="O396" s="3"/>
      <c r="P396" s="37" t="s">
        <v>25</v>
      </c>
      <c r="Q396" s="3"/>
      <c r="R396" s="3"/>
      <c r="S396" s="3"/>
      <c r="T396" s="3"/>
      <c r="U396" s="3"/>
      <c r="V396" s="3"/>
      <c r="W396" s="3"/>
      <c r="X396" s="3"/>
      <c r="Y396" s="3"/>
      <c r="Z396" s="3"/>
      <c r="AA396" s="3"/>
      <c r="AB396" s="3"/>
      <c r="AC396" s="3"/>
      <c r="AD396" s="3"/>
    </row>
    <row r="397" spans="1:30" s="7" customFormat="1">
      <c r="A397" s="14">
        <v>10566</v>
      </c>
      <c r="B397" s="14"/>
      <c r="C397" s="14" t="s">
        <v>689</v>
      </c>
      <c r="D397" s="14"/>
      <c r="E397" s="14"/>
      <c r="F397" s="14"/>
      <c r="G397" s="14"/>
      <c r="H397" s="28"/>
      <c r="I397" s="28"/>
      <c r="J397" s="3"/>
      <c r="K397" s="3"/>
      <c r="L397" s="19"/>
      <c r="M397" s="3"/>
      <c r="N397" s="3"/>
      <c r="O397" s="3"/>
      <c r="P397" s="3"/>
      <c r="Q397" s="3"/>
      <c r="R397" s="3"/>
      <c r="S397" s="3"/>
      <c r="T397" s="3"/>
      <c r="U397" s="3"/>
      <c r="V397" s="3"/>
      <c r="W397" s="3"/>
      <c r="X397" s="3"/>
      <c r="Y397" s="3"/>
      <c r="Z397" s="3"/>
      <c r="AA397" s="3"/>
      <c r="AB397" s="3"/>
      <c r="AC397" s="3"/>
      <c r="AD397" s="3"/>
    </row>
    <row r="398" spans="1:30" s="7" customFormat="1">
      <c r="A398" s="14">
        <v>10567</v>
      </c>
      <c r="B398" s="14"/>
      <c r="C398" s="14" t="s">
        <v>689</v>
      </c>
      <c r="D398" s="14"/>
      <c r="E398" s="14"/>
      <c r="F398" s="14"/>
      <c r="G398" s="14"/>
      <c r="H398" s="28"/>
      <c r="I398" s="28"/>
      <c r="J398" s="3"/>
      <c r="K398" s="3"/>
      <c r="L398" s="19"/>
      <c r="M398" s="3"/>
      <c r="N398" s="3"/>
      <c r="O398" s="3"/>
      <c r="P398" s="3"/>
      <c r="Q398" s="3"/>
      <c r="R398" s="3"/>
      <c r="S398" s="3"/>
      <c r="T398" s="3"/>
      <c r="U398" s="3"/>
      <c r="V398" s="3"/>
      <c r="W398" s="3"/>
      <c r="X398" s="3"/>
      <c r="Y398" s="3"/>
      <c r="Z398" s="3"/>
      <c r="AA398" s="3"/>
      <c r="AB398" s="3"/>
      <c r="AC398" s="3"/>
      <c r="AD398" s="3"/>
    </row>
    <row r="399" spans="1:30" s="7" customFormat="1">
      <c r="A399" s="14">
        <v>10568</v>
      </c>
      <c r="B399" s="14"/>
      <c r="C399" s="14" t="s">
        <v>689</v>
      </c>
      <c r="D399" s="14"/>
      <c r="E399" s="14"/>
      <c r="F399" s="14"/>
      <c r="G399" s="14"/>
      <c r="H399" s="28"/>
      <c r="I399" s="28"/>
      <c r="J399" s="3"/>
      <c r="K399" s="3"/>
      <c r="L399" s="19"/>
      <c r="M399" s="3"/>
      <c r="N399" s="3"/>
      <c r="O399" s="3"/>
      <c r="P399" s="3"/>
      <c r="Q399" s="3"/>
      <c r="R399" s="3"/>
      <c r="S399" s="3"/>
      <c r="T399" s="3"/>
      <c r="U399" s="3"/>
      <c r="V399" s="3"/>
      <c r="W399" s="3"/>
      <c r="X399" s="3"/>
      <c r="Y399" s="3"/>
      <c r="Z399" s="3"/>
      <c r="AA399" s="3"/>
      <c r="AB399" s="3"/>
      <c r="AC399" s="3"/>
      <c r="AD399" s="3"/>
    </row>
    <row r="400" spans="1:30" s="7" customFormat="1">
      <c r="A400" s="14">
        <v>10569</v>
      </c>
      <c r="B400" s="14" t="s">
        <v>1052</v>
      </c>
      <c r="C400" s="14" t="s">
        <v>689</v>
      </c>
      <c r="D400" s="4" t="s">
        <v>19</v>
      </c>
      <c r="E400" s="14">
        <v>110339</v>
      </c>
      <c r="F400" s="14">
        <v>14837238933</v>
      </c>
      <c r="G400" s="14">
        <v>502634341</v>
      </c>
      <c r="H400" s="28"/>
      <c r="I400" s="28"/>
      <c r="J400" s="3" t="s">
        <v>1053</v>
      </c>
      <c r="K400" s="15" t="s">
        <v>1054</v>
      </c>
      <c r="L400" s="19" t="s">
        <v>1055</v>
      </c>
      <c r="M400" s="20" t="s">
        <v>1056</v>
      </c>
      <c r="N400" s="15" t="s">
        <v>1057</v>
      </c>
      <c r="O400" s="3"/>
      <c r="P400" s="37" t="s">
        <v>25</v>
      </c>
      <c r="Q400" s="3"/>
      <c r="R400" s="3"/>
      <c r="S400" s="3"/>
      <c r="T400" s="3"/>
      <c r="U400" s="3"/>
      <c r="V400" s="3"/>
      <c r="W400" s="3"/>
      <c r="X400" s="3"/>
      <c r="Y400" s="3"/>
      <c r="Z400" s="3"/>
      <c r="AA400" s="3"/>
      <c r="AB400" s="3"/>
      <c r="AC400" s="3"/>
      <c r="AD400" s="3"/>
    </row>
    <row r="401" spans="1:30" s="7" customFormat="1">
      <c r="A401" s="14">
        <v>10570</v>
      </c>
      <c r="B401" s="14"/>
      <c r="C401" s="14" t="s">
        <v>689</v>
      </c>
      <c r="D401" s="14"/>
      <c r="E401" s="14"/>
      <c r="F401" s="14"/>
      <c r="G401" s="14"/>
      <c r="H401" s="28"/>
      <c r="I401" s="28"/>
      <c r="J401" s="3"/>
      <c r="K401" s="3"/>
      <c r="L401" s="19"/>
      <c r="M401" s="3"/>
      <c r="N401" s="3"/>
      <c r="O401" s="3"/>
      <c r="P401" s="3"/>
      <c r="Q401" s="3"/>
      <c r="R401" s="3"/>
      <c r="S401" s="3"/>
      <c r="T401" s="3"/>
      <c r="U401" s="3"/>
      <c r="V401" s="3"/>
      <c r="W401" s="3"/>
      <c r="X401" s="3"/>
      <c r="Y401" s="3"/>
      <c r="Z401" s="3"/>
      <c r="AA401" s="3"/>
      <c r="AB401" s="3"/>
      <c r="AC401" s="3"/>
      <c r="AD401" s="3"/>
    </row>
    <row r="402" spans="1:30" s="7" customFormat="1">
      <c r="A402" s="14">
        <v>10571</v>
      </c>
      <c r="B402" s="14"/>
      <c r="C402" s="14" t="s">
        <v>689</v>
      </c>
      <c r="D402" s="4"/>
      <c r="E402" s="14"/>
      <c r="F402" s="14"/>
      <c r="G402" s="14"/>
      <c r="H402" s="28"/>
      <c r="I402" s="28"/>
      <c r="J402" s="3"/>
      <c r="K402" s="15"/>
      <c r="L402" s="19"/>
      <c r="M402" s="3"/>
      <c r="N402" s="15"/>
      <c r="O402" s="3"/>
      <c r="P402" s="37"/>
      <c r="Q402" s="3"/>
      <c r="R402" s="3"/>
      <c r="S402" s="3"/>
      <c r="T402" s="3"/>
      <c r="U402" s="3"/>
      <c r="V402" s="3"/>
      <c r="W402" s="3"/>
      <c r="X402" s="3"/>
      <c r="Y402" s="3"/>
      <c r="Z402" s="3"/>
      <c r="AA402" s="3"/>
      <c r="AB402" s="3"/>
      <c r="AC402" s="3"/>
      <c r="AD402" s="3"/>
    </row>
    <row r="403" spans="1:30" s="7" customFormat="1">
      <c r="A403" s="14">
        <v>10572</v>
      </c>
      <c r="B403" s="14"/>
      <c r="C403" s="14" t="s">
        <v>689</v>
      </c>
      <c r="D403" s="14"/>
      <c r="E403" s="14"/>
      <c r="F403" s="14"/>
      <c r="G403" s="14"/>
      <c r="H403" s="28"/>
      <c r="I403" s="28"/>
      <c r="J403" s="3"/>
      <c r="K403" s="3"/>
      <c r="L403" s="19"/>
      <c r="M403" s="3"/>
      <c r="N403" s="3"/>
      <c r="O403" s="3"/>
      <c r="P403" s="3"/>
      <c r="Q403" s="3"/>
      <c r="R403" s="3"/>
      <c r="S403" s="3"/>
      <c r="T403" s="3"/>
      <c r="U403" s="3"/>
      <c r="V403" s="3"/>
      <c r="W403" s="3"/>
      <c r="X403" s="3"/>
      <c r="Y403" s="3"/>
      <c r="Z403" s="3"/>
      <c r="AA403" s="3"/>
      <c r="AB403" s="3"/>
      <c r="AC403" s="3"/>
      <c r="AD403" s="3"/>
    </row>
    <row r="404" spans="1:30" s="7" customFormat="1">
      <c r="A404" s="14">
        <v>10573</v>
      </c>
      <c r="B404" s="14"/>
      <c r="C404" s="14" t="s">
        <v>689</v>
      </c>
      <c r="D404" s="14"/>
      <c r="E404" s="14"/>
      <c r="F404" s="14"/>
      <c r="G404" s="14"/>
      <c r="H404" s="28"/>
      <c r="I404" s="28"/>
      <c r="J404" s="3"/>
      <c r="K404" s="3"/>
      <c r="L404" s="19"/>
      <c r="M404" s="3"/>
      <c r="N404" s="3"/>
      <c r="O404" s="3"/>
      <c r="P404" s="3"/>
      <c r="Q404" s="3"/>
      <c r="R404" s="3"/>
      <c r="S404" s="3"/>
      <c r="T404" s="3"/>
      <c r="U404" s="3"/>
      <c r="V404" s="3"/>
      <c r="W404" s="3"/>
      <c r="X404" s="3"/>
      <c r="Y404" s="3"/>
      <c r="Z404" s="3"/>
      <c r="AA404" s="3"/>
      <c r="AB404" s="3"/>
      <c r="AC404" s="3"/>
      <c r="AD404" s="3"/>
    </row>
    <row r="405" spans="1:30" s="7" customFormat="1">
      <c r="A405" s="14">
        <v>10574</v>
      </c>
      <c r="B405" s="14" t="s">
        <v>1058</v>
      </c>
      <c r="C405" s="14" t="s">
        <v>689</v>
      </c>
      <c r="D405" s="4" t="s">
        <v>19</v>
      </c>
      <c r="E405" s="14">
        <v>112553</v>
      </c>
      <c r="F405" s="14">
        <v>16106116343</v>
      </c>
      <c r="G405" s="14">
        <v>519562720</v>
      </c>
      <c r="H405" s="28"/>
      <c r="I405" s="28"/>
      <c r="J405" s="3" t="s">
        <v>1059</v>
      </c>
      <c r="K405" s="15" t="s">
        <v>1060</v>
      </c>
      <c r="L405" s="19" t="s">
        <v>1061</v>
      </c>
      <c r="M405" s="20" t="s">
        <v>1062</v>
      </c>
      <c r="N405" s="15" t="s">
        <v>1063</v>
      </c>
      <c r="O405" s="3"/>
      <c r="P405" s="37" t="s">
        <v>25</v>
      </c>
      <c r="Q405" s="3"/>
      <c r="R405" s="3"/>
      <c r="S405" s="3"/>
      <c r="T405" s="3"/>
      <c r="U405" s="3"/>
      <c r="V405" s="3"/>
      <c r="W405" s="3"/>
      <c r="X405" s="3"/>
      <c r="Y405" s="3"/>
      <c r="Z405" s="3"/>
      <c r="AA405" s="3"/>
      <c r="AB405" s="3"/>
      <c r="AC405" s="3"/>
      <c r="AD405" s="3"/>
    </row>
    <row r="406" spans="1:30" s="7" customFormat="1">
      <c r="A406" s="14">
        <v>10575</v>
      </c>
      <c r="B406" s="14" t="s">
        <v>1064</v>
      </c>
      <c r="C406" s="14" t="s">
        <v>689</v>
      </c>
      <c r="D406" s="4" t="s">
        <v>19</v>
      </c>
      <c r="E406" s="14">
        <v>112552</v>
      </c>
      <c r="F406" s="14">
        <v>16106044737</v>
      </c>
      <c r="G406" s="14">
        <v>519562721</v>
      </c>
      <c r="H406" s="28"/>
      <c r="I406" s="28"/>
      <c r="J406" s="3" t="s">
        <v>1065</v>
      </c>
      <c r="K406" s="15" t="s">
        <v>1066</v>
      </c>
      <c r="L406" s="19" t="s">
        <v>1067</v>
      </c>
      <c r="M406" s="20" t="s">
        <v>1068</v>
      </c>
      <c r="N406" s="15" t="s">
        <v>1069</v>
      </c>
      <c r="O406" s="3"/>
      <c r="P406" s="37" t="s">
        <v>25</v>
      </c>
      <c r="Q406" s="3"/>
      <c r="R406" s="3"/>
      <c r="S406" s="3"/>
      <c r="T406" s="3"/>
      <c r="U406" s="3"/>
      <c r="V406" s="3"/>
      <c r="W406" s="3"/>
      <c r="X406" s="3"/>
      <c r="Y406" s="3"/>
      <c r="Z406" s="3"/>
      <c r="AA406" s="3"/>
      <c r="AB406" s="3"/>
      <c r="AC406" s="3"/>
      <c r="AD406" s="3"/>
    </row>
    <row r="407" spans="1:30" s="7" customFormat="1">
      <c r="A407" s="14">
        <v>10576</v>
      </c>
      <c r="B407" s="14"/>
      <c r="C407" s="14" t="s">
        <v>689</v>
      </c>
      <c r="D407" s="14"/>
      <c r="E407" s="14"/>
      <c r="F407" s="14"/>
      <c r="G407" s="14"/>
      <c r="H407" s="28"/>
      <c r="I407" s="28"/>
      <c r="J407" s="3"/>
      <c r="K407" s="3"/>
      <c r="L407" s="19"/>
      <c r="M407" s="3"/>
      <c r="N407" s="3"/>
      <c r="O407" s="3"/>
      <c r="P407" s="3"/>
      <c r="Q407" s="3"/>
      <c r="R407" s="3"/>
      <c r="S407" s="3"/>
      <c r="T407" s="3"/>
      <c r="U407" s="3"/>
      <c r="V407" s="3"/>
      <c r="W407" s="3"/>
      <c r="X407" s="3"/>
      <c r="Y407" s="3"/>
      <c r="Z407" s="3"/>
      <c r="AA407" s="3"/>
      <c r="AB407" s="3"/>
      <c r="AC407" s="3"/>
      <c r="AD407" s="3"/>
    </row>
    <row r="408" spans="1:30" s="7" customFormat="1">
      <c r="A408" s="14">
        <v>10577</v>
      </c>
      <c r="B408" s="14"/>
      <c r="C408" s="14" t="s">
        <v>689</v>
      </c>
      <c r="D408" s="14"/>
      <c r="E408" s="14"/>
      <c r="F408" s="14"/>
      <c r="G408" s="14"/>
      <c r="H408" s="28"/>
      <c r="I408" s="28"/>
      <c r="J408" s="3"/>
      <c r="K408" s="3"/>
      <c r="L408" s="19"/>
      <c r="M408" s="3"/>
      <c r="N408" s="3"/>
      <c r="O408" s="3"/>
      <c r="P408" s="3"/>
      <c r="Q408" s="3"/>
      <c r="R408" s="3"/>
      <c r="S408" s="3"/>
      <c r="T408" s="3"/>
      <c r="U408" s="3"/>
      <c r="V408" s="3"/>
      <c r="W408" s="3"/>
      <c r="X408" s="3"/>
      <c r="Y408" s="3"/>
      <c r="Z408" s="3"/>
      <c r="AA408" s="3"/>
      <c r="AB408" s="3"/>
      <c r="AC408" s="3"/>
      <c r="AD408" s="3"/>
    </row>
    <row r="409" spans="1:30" s="7" customFormat="1">
      <c r="A409" s="14">
        <v>10578</v>
      </c>
      <c r="B409" s="14"/>
      <c r="C409" s="14" t="s">
        <v>689</v>
      </c>
      <c r="D409" s="14"/>
      <c r="E409" s="14"/>
      <c r="F409" s="14"/>
      <c r="G409" s="14"/>
      <c r="H409" s="28"/>
      <c r="I409" s="28"/>
      <c r="J409" s="3"/>
      <c r="K409" s="3"/>
      <c r="L409" s="19"/>
      <c r="M409" s="3"/>
      <c r="N409" s="3"/>
      <c r="O409" s="3"/>
      <c r="P409" s="3"/>
      <c r="Q409" s="3"/>
      <c r="R409" s="3"/>
      <c r="S409" s="3"/>
      <c r="T409" s="3"/>
      <c r="U409" s="3"/>
      <c r="V409" s="3"/>
      <c r="W409" s="3"/>
      <c r="X409" s="3"/>
      <c r="Y409" s="3"/>
      <c r="Z409" s="3"/>
      <c r="AA409" s="3"/>
      <c r="AB409" s="3"/>
      <c r="AC409" s="3"/>
      <c r="AD409" s="3"/>
    </row>
    <row r="410" spans="1:30" s="7" customFormat="1">
      <c r="A410" s="14">
        <v>10579</v>
      </c>
      <c r="B410" s="14" t="s">
        <v>1070</v>
      </c>
      <c r="C410" s="14" t="s">
        <v>689</v>
      </c>
      <c r="D410" s="4" t="s">
        <v>19</v>
      </c>
      <c r="E410" s="14">
        <v>109825</v>
      </c>
      <c r="F410" s="14">
        <v>14663758906</v>
      </c>
      <c r="G410" s="14">
        <v>500453495</v>
      </c>
      <c r="H410" s="28"/>
      <c r="I410" s="28"/>
      <c r="J410" s="3" t="s">
        <v>1071</v>
      </c>
      <c r="K410" s="15" t="s">
        <v>1072</v>
      </c>
      <c r="L410" s="19" t="s">
        <v>1073</v>
      </c>
      <c r="M410" s="20" t="s">
        <v>1074</v>
      </c>
      <c r="N410" s="15" t="s">
        <v>1075</v>
      </c>
      <c r="O410" s="3"/>
      <c r="P410" s="37" t="s">
        <v>25</v>
      </c>
      <c r="Q410" s="3"/>
      <c r="R410" s="3"/>
      <c r="S410" s="3"/>
      <c r="T410" s="3"/>
      <c r="U410" s="3"/>
      <c r="V410" s="3"/>
      <c r="W410" s="3"/>
      <c r="X410" s="3"/>
      <c r="Y410" s="3"/>
      <c r="Z410" s="3"/>
      <c r="AA410" s="3"/>
      <c r="AB410" s="3"/>
      <c r="AC410" s="3"/>
      <c r="AD410" s="3"/>
    </row>
    <row r="411" spans="1:30" s="7" customFormat="1">
      <c r="A411" s="14">
        <v>10580</v>
      </c>
      <c r="B411" s="14" t="s">
        <v>1076</v>
      </c>
      <c r="C411" s="14" t="s">
        <v>689</v>
      </c>
      <c r="D411" s="4" t="s">
        <v>19</v>
      </c>
      <c r="E411" s="14">
        <v>26857</v>
      </c>
      <c r="F411" s="14">
        <v>69037409</v>
      </c>
      <c r="G411" s="14">
        <v>13779464</v>
      </c>
      <c r="H411" s="28"/>
      <c r="I411" s="28"/>
      <c r="J411" s="3" t="s">
        <v>1077</v>
      </c>
      <c r="K411" s="15" t="s">
        <v>1078</v>
      </c>
      <c r="L411" s="19" t="s">
        <v>1079</v>
      </c>
      <c r="M411" s="20" t="s">
        <v>1080</v>
      </c>
      <c r="N411" s="15" t="s">
        <v>1081</v>
      </c>
      <c r="O411" s="3"/>
      <c r="P411" s="37" t="s">
        <v>25</v>
      </c>
      <c r="Q411" s="3"/>
      <c r="R411" s="3"/>
      <c r="S411" s="3"/>
      <c r="T411" s="3"/>
      <c r="U411" s="3"/>
      <c r="V411" s="3"/>
      <c r="W411" s="3"/>
      <c r="X411" s="3"/>
      <c r="Y411" s="3"/>
      <c r="Z411" s="3"/>
      <c r="AA411" s="3"/>
      <c r="AB411" s="3"/>
      <c r="AC411" s="3"/>
      <c r="AD411" s="3"/>
    </row>
    <row r="412" spans="1:30" s="7" customFormat="1">
      <c r="A412" s="14">
        <v>10581</v>
      </c>
      <c r="B412" s="14" t="s">
        <v>1082</v>
      </c>
      <c r="C412" s="14" t="s">
        <v>689</v>
      </c>
      <c r="D412" s="4" t="s">
        <v>19</v>
      </c>
      <c r="E412" s="14">
        <v>10927</v>
      </c>
      <c r="F412" s="14">
        <v>69022026</v>
      </c>
      <c r="G412" s="14">
        <v>200023032</v>
      </c>
      <c r="H412" s="28"/>
      <c r="I412" s="28"/>
      <c r="J412" s="3" t="s">
        <v>1083</v>
      </c>
      <c r="K412" s="15" t="s">
        <v>1084</v>
      </c>
      <c r="L412" s="19" t="s">
        <v>1085</v>
      </c>
      <c r="M412" s="20" t="s">
        <v>1086</v>
      </c>
      <c r="N412" s="15" t="s">
        <v>1087</v>
      </c>
      <c r="O412" s="3"/>
      <c r="P412" s="37" t="s">
        <v>25</v>
      </c>
      <c r="Q412" s="3"/>
      <c r="R412" s="3"/>
      <c r="S412" s="3"/>
      <c r="T412" s="3"/>
      <c r="U412" s="3"/>
      <c r="V412" s="3"/>
      <c r="W412" s="3"/>
      <c r="X412" s="3"/>
      <c r="Y412" s="3"/>
      <c r="Z412" s="3"/>
      <c r="AA412" s="3"/>
      <c r="AB412" s="3"/>
      <c r="AC412" s="3"/>
      <c r="AD412" s="3"/>
    </row>
    <row r="413" spans="1:30" s="7" customFormat="1">
      <c r="A413" s="14">
        <v>10582</v>
      </c>
      <c r="B413" s="14" t="s">
        <v>1088</v>
      </c>
      <c r="C413" s="14" t="s">
        <v>689</v>
      </c>
      <c r="D413" s="4" t="s">
        <v>19</v>
      </c>
      <c r="E413" s="14">
        <v>54098</v>
      </c>
      <c r="F413" s="14">
        <v>1221943740</v>
      </c>
      <c r="G413" s="14">
        <v>224390832</v>
      </c>
      <c r="H413" s="28"/>
      <c r="I413" s="28"/>
      <c r="J413" s="3" t="s">
        <v>1089</v>
      </c>
      <c r="K413" s="15" t="s">
        <v>1090</v>
      </c>
      <c r="L413" s="19" t="s">
        <v>1091</v>
      </c>
      <c r="M413" s="20" t="s">
        <v>1092</v>
      </c>
      <c r="N413" s="15" t="s">
        <v>1093</v>
      </c>
      <c r="O413" s="3"/>
      <c r="P413" s="37" t="s">
        <v>25</v>
      </c>
      <c r="Q413" s="3"/>
      <c r="R413" s="3"/>
      <c r="S413" s="3"/>
      <c r="T413" s="3"/>
      <c r="U413" s="3"/>
      <c r="V413" s="3"/>
      <c r="W413" s="3"/>
      <c r="X413" s="3"/>
      <c r="Y413" s="3"/>
      <c r="Z413" s="3"/>
      <c r="AA413" s="3"/>
      <c r="AB413" s="3"/>
      <c r="AC413" s="3"/>
      <c r="AD413" s="3"/>
    </row>
    <row r="414" spans="1:30" s="7" customFormat="1">
      <c r="A414" s="14">
        <v>10583</v>
      </c>
      <c r="B414" s="14" t="s">
        <v>1094</v>
      </c>
      <c r="C414" s="14" t="s">
        <v>689</v>
      </c>
      <c r="D414" s="4" t="s">
        <v>19</v>
      </c>
      <c r="E414" s="14">
        <v>26863</v>
      </c>
      <c r="F414" s="14">
        <v>69037415</v>
      </c>
      <c r="G414" s="14">
        <v>169369535</v>
      </c>
      <c r="H414" s="28"/>
      <c r="I414" s="28"/>
      <c r="J414" s="3" t="s">
        <v>1095</v>
      </c>
      <c r="K414" s="15" t="s">
        <v>1096</v>
      </c>
      <c r="L414" s="19" t="s">
        <v>1097</v>
      </c>
      <c r="M414" s="20" t="s">
        <v>1098</v>
      </c>
      <c r="N414" s="15" t="s">
        <v>1099</v>
      </c>
      <c r="O414" s="3"/>
      <c r="P414" s="37" t="s">
        <v>25</v>
      </c>
      <c r="Q414" s="3"/>
      <c r="R414" s="3"/>
      <c r="S414" s="3"/>
      <c r="T414" s="3"/>
      <c r="U414" s="3"/>
      <c r="V414" s="3"/>
      <c r="W414" s="3"/>
      <c r="X414" s="3"/>
      <c r="Y414" s="3"/>
      <c r="Z414" s="3"/>
      <c r="AA414" s="3"/>
      <c r="AB414" s="3"/>
      <c r="AC414" s="3"/>
      <c r="AD414" s="3"/>
    </row>
    <row r="415" spans="1:30" s="7" customFormat="1">
      <c r="A415" s="14">
        <v>10584</v>
      </c>
      <c r="B415" s="14" t="s">
        <v>1100</v>
      </c>
      <c r="C415" s="14" t="s">
        <v>689</v>
      </c>
      <c r="D415" s="4" t="s">
        <v>19</v>
      </c>
      <c r="E415" s="14">
        <v>94161</v>
      </c>
      <c r="F415" s="14">
        <v>7337832158</v>
      </c>
      <c r="G415" s="14">
        <v>407392774</v>
      </c>
      <c r="H415" s="28"/>
      <c r="I415" s="28"/>
      <c r="J415" s="3" t="s">
        <v>1101</v>
      </c>
      <c r="K415" s="15" t="s">
        <v>1102</v>
      </c>
      <c r="L415" s="19" t="s">
        <v>1103</v>
      </c>
      <c r="M415" s="20" t="s">
        <v>1104</v>
      </c>
      <c r="N415" s="15" t="s">
        <v>1105</v>
      </c>
      <c r="O415" s="3"/>
      <c r="P415" s="37" t="s">
        <v>25</v>
      </c>
      <c r="Q415" s="3"/>
      <c r="R415" s="3"/>
      <c r="S415" s="3"/>
      <c r="T415" s="3"/>
      <c r="U415" s="3"/>
      <c r="V415" s="3"/>
      <c r="W415" s="3"/>
      <c r="X415" s="3"/>
      <c r="Y415" s="3"/>
      <c r="Z415" s="3"/>
      <c r="AA415" s="3"/>
      <c r="AB415" s="3"/>
      <c r="AC415" s="3"/>
      <c r="AD415" s="3"/>
    </row>
    <row r="416" spans="1:30" s="7" customFormat="1">
      <c r="A416" s="14">
        <v>10585</v>
      </c>
      <c r="B416" s="14" t="s">
        <v>1106</v>
      </c>
      <c r="C416" s="14" t="s">
        <v>689</v>
      </c>
      <c r="D416" s="4" t="s">
        <v>19</v>
      </c>
      <c r="E416" s="14">
        <v>26868</v>
      </c>
      <c r="F416" s="14">
        <v>69037420</v>
      </c>
      <c r="G416" s="14">
        <v>13779438</v>
      </c>
      <c r="H416" s="28"/>
      <c r="I416" s="28"/>
      <c r="J416" s="3" t="s">
        <v>1107</v>
      </c>
      <c r="K416" s="15" t="s">
        <v>1108</v>
      </c>
      <c r="L416" s="19" t="s">
        <v>1109</v>
      </c>
      <c r="M416" s="20" t="s">
        <v>1110</v>
      </c>
      <c r="N416" s="15" t="s">
        <v>1111</v>
      </c>
      <c r="O416" s="3"/>
      <c r="P416" s="37" t="s">
        <v>25</v>
      </c>
      <c r="Q416" s="3"/>
      <c r="R416" s="3"/>
      <c r="S416" s="3"/>
      <c r="T416" s="3"/>
      <c r="U416" s="3"/>
      <c r="V416" s="3"/>
      <c r="W416" s="3"/>
      <c r="X416" s="3"/>
      <c r="Y416" s="3"/>
      <c r="Z416" s="3"/>
      <c r="AA416" s="3"/>
      <c r="AB416" s="3"/>
      <c r="AC416" s="3"/>
      <c r="AD416" s="3"/>
    </row>
    <row r="417" spans="1:30" s="7" customFormat="1">
      <c r="A417" s="14">
        <v>10586</v>
      </c>
      <c r="B417" s="14" t="s">
        <v>1112</v>
      </c>
      <c r="C417" s="14" t="s">
        <v>689</v>
      </c>
      <c r="D417" s="4" t="s">
        <v>19</v>
      </c>
      <c r="E417" s="14">
        <v>26877</v>
      </c>
      <c r="F417" s="14">
        <v>69037429</v>
      </c>
      <c r="G417" s="14">
        <v>463411</v>
      </c>
      <c r="H417" s="28"/>
      <c r="I417" s="28"/>
      <c r="J417" s="3" t="s">
        <v>1113</v>
      </c>
      <c r="K417" s="15" t="s">
        <v>1114</v>
      </c>
      <c r="L417" s="19" t="s">
        <v>1115</v>
      </c>
      <c r="M417" s="20" t="s">
        <v>1116</v>
      </c>
      <c r="N417" s="15" t="s">
        <v>1117</v>
      </c>
      <c r="O417" s="3"/>
      <c r="P417" s="37" t="s">
        <v>25</v>
      </c>
      <c r="Q417" s="3"/>
      <c r="R417" s="3"/>
      <c r="S417" s="3"/>
      <c r="T417" s="3"/>
      <c r="U417" s="3"/>
      <c r="V417" s="3"/>
      <c r="W417" s="3"/>
      <c r="X417" s="3"/>
      <c r="Y417" s="3"/>
      <c r="Z417" s="3"/>
      <c r="AA417" s="3"/>
      <c r="AB417" s="3"/>
      <c r="AC417" s="3"/>
      <c r="AD417" s="3"/>
    </row>
    <row r="418" spans="1:30" s="7" customFormat="1">
      <c r="A418" s="14">
        <v>10587</v>
      </c>
      <c r="B418" s="14" t="s">
        <v>1118</v>
      </c>
      <c r="C418" s="14" t="s">
        <v>689</v>
      </c>
      <c r="D418" s="4" t="s">
        <v>19</v>
      </c>
      <c r="E418" s="14">
        <v>26886</v>
      </c>
      <c r="F418" s="14">
        <v>69037438</v>
      </c>
      <c r="G418" s="14">
        <v>169369537</v>
      </c>
      <c r="H418" s="28"/>
      <c r="I418" s="28"/>
      <c r="J418" s="3" t="s">
        <v>1119</v>
      </c>
      <c r="K418" s="15" t="s">
        <v>1120</v>
      </c>
      <c r="L418" s="19" t="s">
        <v>1121</v>
      </c>
      <c r="M418" s="20" t="s">
        <v>1122</v>
      </c>
      <c r="N418" s="15" t="s">
        <v>1123</v>
      </c>
      <c r="O418" s="3"/>
      <c r="P418" s="37" t="s">
        <v>25</v>
      </c>
      <c r="Q418" s="3"/>
      <c r="R418" s="3"/>
      <c r="S418" s="3"/>
      <c r="T418" s="3"/>
      <c r="U418" s="3"/>
      <c r="V418" s="3"/>
      <c r="W418" s="3"/>
      <c r="X418" s="3"/>
      <c r="Y418" s="3"/>
      <c r="Z418" s="3"/>
      <c r="AA418" s="3"/>
      <c r="AB418" s="3"/>
      <c r="AC418" s="3"/>
      <c r="AD418" s="3"/>
    </row>
    <row r="419" spans="1:30" s="7" customFormat="1">
      <c r="A419" s="14">
        <v>10588</v>
      </c>
      <c r="B419" s="14" t="s">
        <v>1124</v>
      </c>
      <c r="C419" s="14" t="s">
        <v>689</v>
      </c>
      <c r="D419" s="4" t="s">
        <v>19</v>
      </c>
      <c r="E419" s="14">
        <v>26858</v>
      </c>
      <c r="F419" s="14">
        <v>69037410</v>
      </c>
      <c r="G419" s="14">
        <v>13779461</v>
      </c>
      <c r="H419" s="28"/>
      <c r="I419" s="28"/>
      <c r="J419" s="3" t="s">
        <v>1125</v>
      </c>
      <c r="K419" s="15" t="s">
        <v>1126</v>
      </c>
      <c r="L419" s="19" t="s">
        <v>1127</v>
      </c>
      <c r="M419" s="20" t="s">
        <v>1128</v>
      </c>
      <c r="N419" s="15" t="s">
        <v>1129</v>
      </c>
      <c r="O419" s="3"/>
      <c r="P419" s="37" t="s">
        <v>25</v>
      </c>
      <c r="Q419" s="3"/>
      <c r="R419" s="3"/>
      <c r="S419" s="3"/>
      <c r="T419" s="3"/>
      <c r="U419" s="3"/>
      <c r="V419" s="3"/>
      <c r="W419" s="3"/>
      <c r="X419" s="3"/>
      <c r="Y419" s="3"/>
      <c r="Z419" s="3"/>
      <c r="AA419" s="3"/>
      <c r="AB419" s="3"/>
      <c r="AC419" s="3"/>
      <c r="AD419" s="3"/>
    </row>
    <row r="420" spans="1:30" s="7" customFormat="1">
      <c r="A420" s="14">
        <v>10589</v>
      </c>
      <c r="B420" s="14" t="s">
        <v>1130</v>
      </c>
      <c r="C420" s="14" t="s">
        <v>689</v>
      </c>
      <c r="D420" s="4" t="s">
        <v>19</v>
      </c>
      <c r="E420" s="14">
        <v>109833</v>
      </c>
      <c r="F420" s="14">
        <v>14663800817</v>
      </c>
      <c r="G420" s="14">
        <v>500453473</v>
      </c>
      <c r="H420" s="28"/>
      <c r="I420" s="28"/>
      <c r="J420" s="3" t="s">
        <v>1131</v>
      </c>
      <c r="K420" s="15" t="s">
        <v>1132</v>
      </c>
      <c r="L420" s="19" t="s">
        <v>1133</v>
      </c>
      <c r="M420" s="20" t="s">
        <v>1134</v>
      </c>
      <c r="N420" s="15" t="s">
        <v>1135</v>
      </c>
      <c r="O420" s="3"/>
      <c r="P420" s="37" t="s">
        <v>25</v>
      </c>
      <c r="Q420" s="3"/>
      <c r="R420" s="3"/>
      <c r="S420" s="3"/>
      <c r="T420" s="3"/>
      <c r="U420" s="3"/>
      <c r="V420" s="3"/>
      <c r="W420" s="3"/>
      <c r="X420" s="3"/>
      <c r="Y420" s="3"/>
      <c r="Z420" s="3"/>
      <c r="AA420" s="3"/>
      <c r="AB420" s="3"/>
      <c r="AC420" s="3"/>
      <c r="AD420" s="3"/>
    </row>
    <row r="421" spans="1:30" s="7" customFormat="1">
      <c r="A421" s="14">
        <v>10590</v>
      </c>
      <c r="B421" s="14" t="s">
        <v>1136</v>
      </c>
      <c r="C421" s="14" t="s">
        <v>689</v>
      </c>
      <c r="D421" s="4" t="s">
        <v>19</v>
      </c>
      <c r="E421" s="14">
        <v>109830</v>
      </c>
      <c r="F421" s="14">
        <v>14663760670</v>
      </c>
      <c r="G421" s="14">
        <v>500453487</v>
      </c>
      <c r="H421" s="28"/>
      <c r="I421" s="28"/>
      <c r="J421" s="3" t="s">
        <v>1137</v>
      </c>
      <c r="K421" s="15" t="s">
        <v>1138</v>
      </c>
      <c r="L421" s="19" t="s">
        <v>1139</v>
      </c>
      <c r="M421" s="20" t="s">
        <v>1140</v>
      </c>
      <c r="N421" s="15" t="s">
        <v>1141</v>
      </c>
      <c r="O421" s="3"/>
      <c r="P421" s="37" t="s">
        <v>25</v>
      </c>
      <c r="Q421" s="3"/>
      <c r="R421" s="3"/>
      <c r="S421" s="3"/>
      <c r="T421" s="3"/>
      <c r="U421" s="3"/>
      <c r="V421" s="3"/>
      <c r="W421" s="3"/>
      <c r="X421" s="3"/>
      <c r="Y421" s="3"/>
      <c r="Z421" s="3"/>
      <c r="AA421" s="3"/>
      <c r="AB421" s="3"/>
      <c r="AC421" s="3"/>
      <c r="AD421" s="3"/>
    </row>
    <row r="422" spans="1:30" s="7" customFormat="1">
      <c r="A422" s="14">
        <v>10591</v>
      </c>
      <c r="B422" s="14" t="s">
        <v>1142</v>
      </c>
      <c r="C422" s="14" t="s">
        <v>689</v>
      </c>
      <c r="D422" s="4" t="s">
        <v>19</v>
      </c>
      <c r="E422" s="14">
        <v>92352</v>
      </c>
      <c r="F422" s="14">
        <v>6482974000</v>
      </c>
      <c r="G422" s="14">
        <v>394179535</v>
      </c>
      <c r="H422" s="28"/>
      <c r="I422" s="28"/>
      <c r="J422" s="3" t="s">
        <v>1143</v>
      </c>
      <c r="K422" s="15" t="s">
        <v>1144</v>
      </c>
      <c r="L422" s="19" t="s">
        <v>1145</v>
      </c>
      <c r="M422" s="20" t="s">
        <v>1146</v>
      </c>
      <c r="N422" s="15" t="s">
        <v>1147</v>
      </c>
      <c r="O422" s="3"/>
      <c r="P422" s="37" t="s">
        <v>25</v>
      </c>
      <c r="Q422" s="3"/>
      <c r="R422" s="3"/>
      <c r="S422" s="3"/>
      <c r="T422" s="3"/>
      <c r="U422" s="3"/>
      <c r="V422" s="3"/>
      <c r="W422" s="3"/>
      <c r="X422" s="3"/>
      <c r="Y422" s="3"/>
      <c r="Z422" s="3"/>
      <c r="AA422" s="3"/>
      <c r="AB422" s="3"/>
      <c r="AC422" s="3"/>
      <c r="AD422" s="3"/>
    </row>
    <row r="423" spans="1:30" s="7" customFormat="1">
      <c r="A423" s="14">
        <v>10592</v>
      </c>
      <c r="B423" s="14" t="s">
        <v>1148</v>
      </c>
      <c r="C423" s="14" t="s">
        <v>689</v>
      </c>
      <c r="D423" s="4" t="s">
        <v>19</v>
      </c>
      <c r="E423" s="14">
        <v>109826</v>
      </c>
      <c r="F423" s="14">
        <v>14663760666</v>
      </c>
      <c r="G423" s="14">
        <v>500453478</v>
      </c>
      <c r="H423" s="28"/>
      <c r="I423" s="28"/>
      <c r="J423" s="3" t="s">
        <v>1149</v>
      </c>
      <c r="K423" s="15" t="s">
        <v>1150</v>
      </c>
      <c r="L423" s="19" t="s">
        <v>1151</v>
      </c>
      <c r="M423" s="20" t="s">
        <v>1152</v>
      </c>
      <c r="N423" s="15" t="s">
        <v>1153</v>
      </c>
      <c r="O423" s="3"/>
      <c r="P423" s="37" t="s">
        <v>25</v>
      </c>
      <c r="Q423" s="3"/>
      <c r="R423" s="3"/>
      <c r="S423" s="3"/>
      <c r="T423" s="3"/>
      <c r="U423" s="3"/>
      <c r="V423" s="3"/>
      <c r="W423" s="3"/>
      <c r="X423" s="3"/>
      <c r="Y423" s="3"/>
      <c r="Z423" s="3"/>
      <c r="AA423" s="3"/>
      <c r="AB423" s="3"/>
      <c r="AC423" s="3"/>
      <c r="AD423" s="3"/>
    </row>
    <row r="424" spans="1:30" s="7" customFormat="1">
      <c r="A424" s="14">
        <v>10593</v>
      </c>
      <c r="B424" s="14" t="s">
        <v>1154</v>
      </c>
      <c r="C424" s="14" t="s">
        <v>689</v>
      </c>
      <c r="D424" s="4" t="s">
        <v>19</v>
      </c>
      <c r="E424" s="14">
        <v>109827</v>
      </c>
      <c r="F424" s="14">
        <v>14663760667</v>
      </c>
      <c r="G424" s="14">
        <v>500453483</v>
      </c>
      <c r="H424" s="28"/>
      <c r="I424" s="28"/>
      <c r="J424" s="3" t="s">
        <v>1155</v>
      </c>
      <c r="K424" s="15" t="s">
        <v>1156</v>
      </c>
      <c r="L424" s="19" t="s">
        <v>1157</v>
      </c>
      <c r="M424" s="20" t="s">
        <v>1158</v>
      </c>
      <c r="N424" s="15" t="s">
        <v>1159</v>
      </c>
      <c r="O424" s="3"/>
      <c r="P424" s="37" t="s">
        <v>25</v>
      </c>
      <c r="Q424" s="3"/>
      <c r="R424" s="3"/>
      <c r="S424" s="3"/>
      <c r="T424" s="3"/>
      <c r="U424" s="3"/>
      <c r="V424" s="3"/>
      <c r="W424" s="3"/>
      <c r="X424" s="3"/>
      <c r="Y424" s="3"/>
      <c r="Z424" s="3"/>
      <c r="AA424" s="3"/>
      <c r="AB424" s="3"/>
      <c r="AC424" s="3"/>
      <c r="AD424" s="3"/>
    </row>
    <row r="425" spans="1:30" s="7" customFormat="1">
      <c r="A425" s="14">
        <v>10594</v>
      </c>
      <c r="B425" s="14" t="s">
        <v>1160</v>
      </c>
      <c r="C425" s="14" t="s">
        <v>689</v>
      </c>
      <c r="D425" s="4" t="s">
        <v>19</v>
      </c>
      <c r="E425" s="14">
        <v>26889</v>
      </c>
      <c r="F425" s="14">
        <v>69037441</v>
      </c>
      <c r="G425" s="14">
        <v>37283052</v>
      </c>
      <c r="H425" s="28"/>
      <c r="I425" s="28"/>
      <c r="J425" s="3" t="s">
        <v>1161</v>
      </c>
      <c r="K425" s="15" t="s">
        <v>1162</v>
      </c>
      <c r="L425" s="19" t="s">
        <v>1163</v>
      </c>
      <c r="M425" s="20" t="s">
        <v>1164</v>
      </c>
      <c r="N425" s="15" t="s">
        <v>1165</v>
      </c>
      <c r="O425" s="3"/>
      <c r="P425" s="37" t="s">
        <v>25</v>
      </c>
      <c r="Q425" s="3"/>
      <c r="R425" s="3"/>
      <c r="S425" s="3"/>
      <c r="T425" s="3"/>
      <c r="U425" s="3"/>
      <c r="V425" s="3"/>
      <c r="W425" s="3"/>
      <c r="X425" s="3"/>
      <c r="Y425" s="3"/>
      <c r="Z425" s="3"/>
      <c r="AA425" s="3"/>
      <c r="AB425" s="3"/>
      <c r="AC425" s="3"/>
      <c r="AD425" s="3"/>
    </row>
    <row r="426" spans="1:30" s="7" customFormat="1">
      <c r="A426" s="14">
        <v>10595</v>
      </c>
      <c r="B426" s="14" t="s">
        <v>1166</v>
      </c>
      <c r="C426" s="14" t="s">
        <v>689</v>
      </c>
      <c r="D426" s="4" t="s">
        <v>19</v>
      </c>
      <c r="E426" s="14">
        <v>26883</v>
      </c>
      <c r="F426" s="14">
        <v>69037435</v>
      </c>
      <c r="G426" s="14">
        <v>164291296</v>
      </c>
      <c r="H426" s="28"/>
      <c r="I426" s="28"/>
      <c r="J426" s="3" t="s">
        <v>1167</v>
      </c>
      <c r="K426" s="15" t="s">
        <v>1168</v>
      </c>
      <c r="L426" s="19" t="s">
        <v>1169</v>
      </c>
      <c r="M426" s="20" t="s">
        <v>1170</v>
      </c>
      <c r="N426" s="15" t="s">
        <v>1171</v>
      </c>
      <c r="O426" s="3"/>
      <c r="P426" s="37" t="s">
        <v>25</v>
      </c>
      <c r="Q426" s="3"/>
      <c r="R426" s="3"/>
      <c r="S426" s="3"/>
      <c r="T426" s="3"/>
      <c r="U426" s="3"/>
      <c r="V426" s="3"/>
      <c r="W426" s="3"/>
      <c r="X426" s="3"/>
      <c r="Y426" s="3"/>
      <c r="Z426" s="3"/>
      <c r="AA426" s="3"/>
      <c r="AB426" s="3"/>
      <c r="AC426" s="3"/>
      <c r="AD426" s="3"/>
    </row>
    <row r="427" spans="1:30" s="7" customFormat="1">
      <c r="A427" s="14">
        <v>10596</v>
      </c>
      <c r="B427" s="14" t="s">
        <v>1172</v>
      </c>
      <c r="C427" s="14" t="s">
        <v>689</v>
      </c>
      <c r="D427" s="4" t="s">
        <v>19</v>
      </c>
      <c r="E427" s="14">
        <v>26892</v>
      </c>
      <c r="F427" s="14">
        <v>69037444</v>
      </c>
      <c r="G427" s="14">
        <v>37283058</v>
      </c>
      <c r="H427" s="28"/>
      <c r="I427" s="28"/>
      <c r="J427" s="3" t="s">
        <v>1173</v>
      </c>
      <c r="K427" s="15" t="s">
        <v>1174</v>
      </c>
      <c r="L427" s="19" t="s">
        <v>1175</v>
      </c>
      <c r="M427" s="20" t="s">
        <v>1176</v>
      </c>
      <c r="N427" s="15" t="s">
        <v>1177</v>
      </c>
      <c r="O427" s="3"/>
      <c r="P427" s="37" t="s">
        <v>25</v>
      </c>
      <c r="Q427" s="3"/>
      <c r="R427" s="3"/>
      <c r="S427" s="3"/>
      <c r="T427" s="3"/>
      <c r="U427" s="3"/>
      <c r="V427" s="3"/>
      <c r="W427" s="3"/>
      <c r="X427" s="3"/>
      <c r="Y427" s="3"/>
      <c r="Z427" s="3"/>
      <c r="AA427" s="3"/>
      <c r="AB427" s="3"/>
      <c r="AC427" s="3"/>
      <c r="AD427" s="3"/>
    </row>
    <row r="428" spans="1:30" s="7" customFormat="1">
      <c r="A428" s="14">
        <v>10597</v>
      </c>
      <c r="B428" s="14" t="s">
        <v>1178</v>
      </c>
      <c r="C428" s="14" t="s">
        <v>689</v>
      </c>
      <c r="D428" s="4" t="s">
        <v>19</v>
      </c>
      <c r="E428" s="14">
        <v>109831</v>
      </c>
      <c r="F428" s="14">
        <v>14663760671</v>
      </c>
      <c r="G428" s="14">
        <v>500453513</v>
      </c>
      <c r="H428" s="28"/>
      <c r="I428" s="28"/>
      <c r="J428" s="3" t="s">
        <v>1179</v>
      </c>
      <c r="K428" s="15" t="s">
        <v>1180</v>
      </c>
      <c r="L428" s="19" t="s">
        <v>1181</v>
      </c>
      <c r="M428" s="20" t="s">
        <v>1182</v>
      </c>
      <c r="N428" s="15" t="s">
        <v>1183</v>
      </c>
      <c r="O428" s="3"/>
      <c r="P428" s="37" t="s">
        <v>25</v>
      </c>
      <c r="Q428" s="3"/>
      <c r="R428" s="3"/>
      <c r="S428" s="3"/>
      <c r="T428" s="3"/>
      <c r="U428" s="3"/>
      <c r="V428" s="3"/>
      <c r="W428" s="3"/>
      <c r="X428" s="3"/>
      <c r="Y428" s="3"/>
      <c r="Z428" s="3"/>
      <c r="AA428" s="3"/>
      <c r="AB428" s="3"/>
      <c r="AC428" s="3"/>
      <c r="AD428" s="3"/>
    </row>
    <row r="429" spans="1:30" s="7" customFormat="1">
      <c r="A429" s="14">
        <v>10598</v>
      </c>
      <c r="B429" s="14" t="s">
        <v>1184</v>
      </c>
      <c r="C429" s="14" t="s">
        <v>689</v>
      </c>
      <c r="D429" s="4" t="s">
        <v>19</v>
      </c>
      <c r="E429" s="14">
        <v>109829</v>
      </c>
      <c r="F429" s="14">
        <v>14663760669</v>
      </c>
      <c r="G429" s="14">
        <v>500453479</v>
      </c>
      <c r="H429" s="28"/>
      <c r="I429" s="28"/>
      <c r="J429" s="3" t="s">
        <v>1185</v>
      </c>
      <c r="K429" s="15" t="s">
        <v>1186</v>
      </c>
      <c r="L429" s="19" t="s">
        <v>1187</v>
      </c>
      <c r="M429" s="20" t="s">
        <v>1188</v>
      </c>
      <c r="N429" s="15" t="s">
        <v>1189</v>
      </c>
      <c r="O429" s="3"/>
      <c r="P429" s="37" t="s">
        <v>25</v>
      </c>
      <c r="Q429" s="3"/>
      <c r="R429" s="3"/>
      <c r="S429" s="3"/>
      <c r="T429" s="3"/>
      <c r="U429" s="3"/>
      <c r="V429" s="3"/>
      <c r="W429" s="3"/>
      <c r="X429" s="3"/>
      <c r="Y429" s="3"/>
      <c r="Z429" s="3"/>
      <c r="AA429" s="3"/>
      <c r="AB429" s="3"/>
      <c r="AC429" s="3"/>
      <c r="AD429" s="3"/>
    </row>
    <row r="430" spans="1:30" s="7" customFormat="1">
      <c r="A430" s="14">
        <v>10599</v>
      </c>
      <c r="B430" s="14" t="s">
        <v>1190</v>
      </c>
      <c r="C430" s="14" t="s">
        <v>689</v>
      </c>
      <c r="D430" s="4" t="s">
        <v>19</v>
      </c>
      <c r="E430" s="14">
        <v>109834</v>
      </c>
      <c r="F430" s="14">
        <v>14663802428</v>
      </c>
      <c r="G430" s="14">
        <v>500453488</v>
      </c>
      <c r="H430" s="28"/>
      <c r="I430" s="28"/>
      <c r="J430" s="3" t="s">
        <v>1191</v>
      </c>
      <c r="K430" s="15" t="s">
        <v>1192</v>
      </c>
      <c r="L430" s="19" t="s">
        <v>1193</v>
      </c>
      <c r="M430" s="20" t="s">
        <v>1194</v>
      </c>
      <c r="N430" s="15" t="s">
        <v>1195</v>
      </c>
      <c r="O430" s="3"/>
      <c r="P430" s="37" t="s">
        <v>25</v>
      </c>
      <c r="Q430" s="3"/>
      <c r="R430" s="3"/>
      <c r="S430" s="3"/>
      <c r="T430" s="3"/>
      <c r="U430" s="3"/>
      <c r="V430" s="3"/>
      <c r="W430" s="3"/>
      <c r="X430" s="3"/>
      <c r="Y430" s="3"/>
      <c r="Z430" s="3"/>
      <c r="AA430" s="3"/>
      <c r="AB430" s="3"/>
      <c r="AC430" s="3"/>
      <c r="AD430" s="3"/>
    </row>
    <row r="431" spans="1:30" s="7" customFormat="1">
      <c r="A431" s="14">
        <v>10600</v>
      </c>
      <c r="B431" s="14" t="s">
        <v>1196</v>
      </c>
      <c r="C431" s="14" t="s">
        <v>689</v>
      </c>
      <c r="D431" s="4" t="s">
        <v>19</v>
      </c>
      <c r="E431" s="14">
        <v>26891</v>
      </c>
      <c r="F431" s="14">
        <v>69037443</v>
      </c>
      <c r="G431" s="14">
        <v>13779450</v>
      </c>
      <c r="H431" s="28"/>
      <c r="I431" s="28"/>
      <c r="J431" s="3" t="s">
        <v>1197</v>
      </c>
      <c r="K431" s="15" t="s">
        <v>1198</v>
      </c>
      <c r="L431" s="19" t="s">
        <v>1199</v>
      </c>
      <c r="M431" s="20" t="s">
        <v>1200</v>
      </c>
      <c r="N431" s="15" t="s">
        <v>1201</v>
      </c>
      <c r="O431" s="3"/>
      <c r="P431" s="37" t="s">
        <v>25</v>
      </c>
      <c r="Q431" s="3"/>
      <c r="R431" s="3"/>
      <c r="S431" s="3"/>
      <c r="T431" s="3"/>
      <c r="U431" s="3"/>
      <c r="V431" s="3"/>
      <c r="W431" s="3"/>
      <c r="X431" s="3"/>
      <c r="Y431" s="3"/>
      <c r="Z431" s="3"/>
      <c r="AA431" s="3"/>
      <c r="AB431" s="3"/>
      <c r="AC431" s="3"/>
      <c r="AD431" s="3"/>
    </row>
    <row r="432" spans="1:30" s="7" customFormat="1">
      <c r="A432" s="14">
        <v>10601</v>
      </c>
      <c r="B432" s="14" t="s">
        <v>1202</v>
      </c>
      <c r="C432" s="14" t="s">
        <v>689</v>
      </c>
      <c r="D432" s="4" t="s">
        <v>19</v>
      </c>
      <c r="E432" s="14">
        <v>109828</v>
      </c>
      <c r="F432" s="14">
        <v>14663760668</v>
      </c>
      <c r="G432" s="14">
        <v>500453471</v>
      </c>
      <c r="H432" s="28"/>
      <c r="I432" s="28"/>
      <c r="J432" s="3" t="s">
        <v>1203</v>
      </c>
      <c r="K432" s="15" t="s">
        <v>1204</v>
      </c>
      <c r="L432" s="19" t="s">
        <v>1205</v>
      </c>
      <c r="M432" s="20" t="s">
        <v>1206</v>
      </c>
      <c r="N432" s="15" t="s">
        <v>1207</v>
      </c>
      <c r="O432" s="3"/>
      <c r="P432" s="37" t="s">
        <v>25</v>
      </c>
      <c r="Q432" s="3"/>
      <c r="R432" s="3"/>
      <c r="S432" s="3"/>
      <c r="T432" s="3"/>
      <c r="U432" s="3"/>
      <c r="V432" s="3"/>
      <c r="W432" s="3"/>
      <c r="X432" s="3"/>
      <c r="Y432" s="3"/>
      <c r="Z432" s="3"/>
      <c r="AA432" s="3"/>
      <c r="AB432" s="3"/>
      <c r="AC432" s="3"/>
      <c r="AD432" s="3"/>
    </row>
    <row r="433" spans="1:30" s="7" customFormat="1">
      <c r="A433" s="14">
        <v>10602</v>
      </c>
      <c r="B433" s="14" t="s">
        <v>1208</v>
      </c>
      <c r="C433" s="14" t="s">
        <v>689</v>
      </c>
      <c r="D433" s="4" t="s">
        <v>19</v>
      </c>
      <c r="E433" s="14">
        <v>100478</v>
      </c>
      <c r="F433" s="14">
        <v>9056956971</v>
      </c>
      <c r="G433" s="14">
        <v>429622130</v>
      </c>
      <c r="H433" s="28"/>
      <c r="I433" s="28"/>
      <c r="J433" s="3" t="s">
        <v>1209</v>
      </c>
      <c r="K433" s="15" t="s">
        <v>1210</v>
      </c>
      <c r="L433" s="19" t="s">
        <v>1211</v>
      </c>
      <c r="M433" s="20" t="s">
        <v>1212</v>
      </c>
      <c r="N433" s="15" t="s">
        <v>1213</v>
      </c>
      <c r="O433" s="3"/>
      <c r="P433" s="37" t="s">
        <v>25</v>
      </c>
      <c r="Q433" s="3"/>
      <c r="R433" s="3"/>
      <c r="S433" s="3"/>
      <c r="T433" s="3"/>
      <c r="U433" s="3"/>
      <c r="V433" s="3"/>
      <c r="W433" s="3"/>
      <c r="X433" s="3"/>
      <c r="Y433" s="3"/>
      <c r="Z433" s="3"/>
      <c r="AA433" s="3"/>
      <c r="AB433" s="3"/>
      <c r="AC433" s="3"/>
      <c r="AD433" s="3"/>
    </row>
    <row r="434" spans="1:30" s="5" customFormat="1" ht="15.75" thickBot="1">
      <c r="A434" s="17">
        <v>10603</v>
      </c>
      <c r="B434" s="17" t="s">
        <v>1214</v>
      </c>
      <c r="C434" s="17" t="s">
        <v>689</v>
      </c>
      <c r="D434" s="17" t="s">
        <v>19</v>
      </c>
      <c r="E434" s="17">
        <v>26902</v>
      </c>
      <c r="F434" s="17">
        <v>69037455</v>
      </c>
      <c r="G434" s="17">
        <v>169369548</v>
      </c>
      <c r="H434" s="30"/>
      <c r="I434" s="30"/>
      <c r="J434" s="6" t="s">
        <v>1215</v>
      </c>
      <c r="K434" s="18" t="s">
        <v>1216</v>
      </c>
      <c r="L434" s="38" t="s">
        <v>1217</v>
      </c>
      <c r="M434" s="22" t="s">
        <v>1218</v>
      </c>
      <c r="N434" s="18" t="s">
        <v>1219</v>
      </c>
      <c r="O434" s="6"/>
      <c r="P434" s="42" t="s">
        <v>25</v>
      </c>
      <c r="Q434" s="6"/>
      <c r="R434" s="6"/>
      <c r="S434" s="6"/>
      <c r="T434" s="6"/>
      <c r="U434" s="6"/>
      <c r="V434" s="6"/>
      <c r="W434" s="6"/>
      <c r="X434" s="6"/>
      <c r="Y434" s="6"/>
      <c r="Z434" s="6"/>
      <c r="AA434" s="6"/>
      <c r="AB434" s="6"/>
      <c r="AC434" s="6"/>
      <c r="AD434" s="6"/>
    </row>
    <row r="435" spans="1:30" s="4" customFormat="1">
      <c r="A435" s="14">
        <v>10701</v>
      </c>
      <c r="B435" s="13"/>
      <c r="C435" s="4" t="s">
        <v>1220</v>
      </c>
      <c r="H435" s="10"/>
      <c r="I435" s="10"/>
      <c r="L435" s="24"/>
    </row>
    <row r="436" spans="1:30">
      <c r="A436" s="14">
        <v>10702</v>
      </c>
      <c r="B436" s="14"/>
      <c r="C436" s="3" t="s">
        <v>1220</v>
      </c>
      <c r="L436" s="25"/>
    </row>
    <row r="437" spans="1:30">
      <c r="A437" s="14">
        <v>10703</v>
      </c>
      <c r="B437" s="14" t="s">
        <v>1221</v>
      </c>
      <c r="C437" s="3" t="s">
        <v>1220</v>
      </c>
      <c r="D437" s="3" t="s">
        <v>19</v>
      </c>
      <c r="E437" s="14">
        <v>112305</v>
      </c>
      <c r="F437" s="14">
        <v>15984673899</v>
      </c>
      <c r="G437" s="14">
        <v>517699255</v>
      </c>
      <c r="H437" s="28" t="s">
        <v>1222</v>
      </c>
      <c r="I437" s="28" t="s">
        <v>1222</v>
      </c>
      <c r="J437" s="3" t="s">
        <v>1223</v>
      </c>
      <c r="K437" s="15" t="s">
        <v>1221</v>
      </c>
      <c r="L437" s="25"/>
      <c r="N437" s="15" t="s">
        <v>1224</v>
      </c>
      <c r="P437" s="37" t="s">
        <v>25</v>
      </c>
    </row>
    <row r="438" spans="1:30">
      <c r="A438" s="14">
        <v>10704</v>
      </c>
      <c r="B438" s="14" t="s">
        <v>1225</v>
      </c>
      <c r="C438" s="3" t="s">
        <v>1220</v>
      </c>
      <c r="D438" s="4" t="s">
        <v>19</v>
      </c>
      <c r="E438" s="14">
        <v>112211</v>
      </c>
      <c r="F438" s="14">
        <v>15979362375</v>
      </c>
      <c r="G438" s="14">
        <v>517637657</v>
      </c>
      <c r="H438" s="28" t="s">
        <v>1226</v>
      </c>
      <c r="I438" s="28" t="s">
        <v>1226</v>
      </c>
      <c r="J438" s="3" t="s">
        <v>1227</v>
      </c>
      <c r="K438" s="15" t="s">
        <v>1225</v>
      </c>
      <c r="L438" s="25"/>
      <c r="N438" s="15" t="s">
        <v>1228</v>
      </c>
      <c r="P438" s="37" t="s">
        <v>25</v>
      </c>
    </row>
    <row r="439" spans="1:30">
      <c r="A439" s="14">
        <v>10705</v>
      </c>
      <c r="B439" s="14"/>
      <c r="C439" s="3" t="s">
        <v>1220</v>
      </c>
      <c r="E439" s="14"/>
      <c r="F439" s="14"/>
      <c r="G439" s="14"/>
      <c r="H439" s="28"/>
      <c r="I439" s="28"/>
      <c r="L439" s="25"/>
    </row>
    <row r="440" spans="1:30">
      <c r="A440" s="14">
        <v>10706</v>
      </c>
      <c r="B440" s="14"/>
      <c r="C440" s="3" t="s">
        <v>1220</v>
      </c>
      <c r="E440" s="14"/>
      <c r="F440" s="14"/>
      <c r="G440" s="14"/>
      <c r="H440" s="28"/>
      <c r="I440" s="28"/>
      <c r="L440" s="25"/>
    </row>
    <row r="441" spans="1:30">
      <c r="A441" s="14">
        <v>10707</v>
      </c>
      <c r="B441" s="14" t="s">
        <v>1229</v>
      </c>
      <c r="C441" s="3" t="s">
        <v>1220</v>
      </c>
      <c r="D441" s="4" t="s">
        <v>19</v>
      </c>
      <c r="E441" s="14">
        <v>112164</v>
      </c>
      <c r="F441" s="14">
        <v>15974340091</v>
      </c>
      <c r="G441" s="14">
        <v>517571296</v>
      </c>
      <c r="H441" s="28" t="s">
        <v>1230</v>
      </c>
      <c r="I441" s="28" t="s">
        <v>1230</v>
      </c>
      <c r="J441" s="3" t="s">
        <v>1231</v>
      </c>
      <c r="K441" s="15" t="s">
        <v>1229</v>
      </c>
      <c r="L441" s="25"/>
      <c r="N441" s="15" t="s">
        <v>1232</v>
      </c>
      <c r="P441" s="37" t="s">
        <v>25</v>
      </c>
    </row>
    <row r="442" spans="1:30">
      <c r="A442" s="14">
        <v>10708</v>
      </c>
      <c r="B442" s="14" t="s">
        <v>1233</v>
      </c>
      <c r="C442" s="3" t="s">
        <v>1220</v>
      </c>
      <c r="D442" s="4" t="s">
        <v>19</v>
      </c>
      <c r="E442" s="14">
        <v>112303</v>
      </c>
      <c r="F442" s="14">
        <v>15984668800</v>
      </c>
      <c r="G442" s="14">
        <v>517699162</v>
      </c>
      <c r="H442" s="28" t="s">
        <v>1234</v>
      </c>
      <c r="I442" s="28" t="s">
        <v>1234</v>
      </c>
      <c r="J442" s="3" t="s">
        <v>1235</v>
      </c>
      <c r="K442" s="15" t="s">
        <v>1233</v>
      </c>
      <c r="L442" s="25"/>
      <c r="N442" s="15" t="s">
        <v>1236</v>
      </c>
      <c r="P442" s="37" t="s">
        <v>25</v>
      </c>
    </row>
    <row r="443" spans="1:30">
      <c r="A443" s="14">
        <v>10709</v>
      </c>
      <c r="B443" s="14" t="s">
        <v>1237</v>
      </c>
      <c r="C443" s="3" t="s">
        <v>1220</v>
      </c>
      <c r="D443" s="4" t="s">
        <v>19</v>
      </c>
      <c r="E443" s="14">
        <v>112472</v>
      </c>
      <c r="F443" s="14">
        <v>16008826411</v>
      </c>
      <c r="G443" s="14">
        <v>517999900</v>
      </c>
      <c r="H443" s="28" t="s">
        <v>1238</v>
      </c>
      <c r="I443" s="28" t="s">
        <v>1238</v>
      </c>
      <c r="J443" s="3" t="s">
        <v>1239</v>
      </c>
      <c r="K443" s="15" t="s">
        <v>1237</v>
      </c>
      <c r="L443" s="25"/>
      <c r="N443" s="15" t="s">
        <v>1240</v>
      </c>
      <c r="P443" s="37" t="s">
        <v>25</v>
      </c>
    </row>
    <row r="444" spans="1:30">
      <c r="A444" s="14">
        <v>10710</v>
      </c>
      <c r="B444" s="14" t="s">
        <v>1241</v>
      </c>
      <c r="C444" s="3" t="s">
        <v>1220</v>
      </c>
      <c r="D444" s="4" t="s">
        <v>19</v>
      </c>
      <c r="E444" s="14">
        <v>109554</v>
      </c>
      <c r="F444" s="14">
        <v>14295769713</v>
      </c>
      <c r="G444" s="14">
        <v>495621087</v>
      </c>
      <c r="H444" s="28" t="s">
        <v>1242</v>
      </c>
      <c r="I444" s="28" t="s">
        <v>1242</v>
      </c>
      <c r="J444" s="3" t="s">
        <v>1243</v>
      </c>
      <c r="K444" s="15" t="s">
        <v>1241</v>
      </c>
      <c r="L444" s="25"/>
      <c r="N444" s="15" t="s">
        <v>1244</v>
      </c>
      <c r="P444" s="37" t="s">
        <v>25</v>
      </c>
    </row>
    <row r="445" spans="1:30">
      <c r="A445" s="14">
        <v>10711</v>
      </c>
      <c r="B445" s="14" t="s">
        <v>1245</v>
      </c>
      <c r="C445" s="3" t="s">
        <v>1220</v>
      </c>
      <c r="D445" s="4" t="s">
        <v>19</v>
      </c>
      <c r="E445" s="14">
        <v>112474</v>
      </c>
      <c r="F445" s="14">
        <v>16008841893</v>
      </c>
      <c r="G445" s="14">
        <v>517999896</v>
      </c>
      <c r="H445" s="28" t="s">
        <v>1246</v>
      </c>
      <c r="I445" s="28" t="s">
        <v>1246</v>
      </c>
      <c r="J445" s="3" t="s">
        <v>1247</v>
      </c>
      <c r="K445" s="15" t="s">
        <v>1245</v>
      </c>
      <c r="L445" s="25"/>
      <c r="N445" s="15" t="s">
        <v>1248</v>
      </c>
      <c r="P445" s="37" t="s">
        <v>25</v>
      </c>
    </row>
    <row r="446" spans="1:30">
      <c r="A446" s="14">
        <v>10712</v>
      </c>
      <c r="B446" s="14" t="s">
        <v>1249</v>
      </c>
      <c r="C446" s="3" t="s">
        <v>1220</v>
      </c>
      <c r="D446" s="4" t="s">
        <v>19</v>
      </c>
      <c r="E446" s="14">
        <v>112475</v>
      </c>
      <c r="F446" s="14">
        <v>16008841894</v>
      </c>
      <c r="G446" s="14">
        <v>517999895</v>
      </c>
      <c r="H446" s="28" t="s">
        <v>1250</v>
      </c>
      <c r="I446" s="28" t="s">
        <v>1250</v>
      </c>
      <c r="J446" s="3" t="s">
        <v>1251</v>
      </c>
      <c r="K446" s="15" t="s">
        <v>1249</v>
      </c>
      <c r="L446" s="25"/>
      <c r="N446" s="15" t="s">
        <v>1252</v>
      </c>
      <c r="P446" s="37" t="s">
        <v>25</v>
      </c>
    </row>
    <row r="447" spans="1:30">
      <c r="A447" s="14">
        <v>10713</v>
      </c>
      <c r="B447" s="14" t="s">
        <v>1253</v>
      </c>
      <c r="C447" s="3" t="s">
        <v>1220</v>
      </c>
      <c r="D447" s="4" t="s">
        <v>19</v>
      </c>
      <c r="E447" s="14">
        <v>112446</v>
      </c>
      <c r="F447" s="14">
        <v>16008740622</v>
      </c>
      <c r="G447" s="14">
        <v>517999899</v>
      </c>
      <c r="H447" s="28" t="s">
        <v>1254</v>
      </c>
      <c r="I447" s="28" t="s">
        <v>1254</v>
      </c>
      <c r="J447" s="3" t="s">
        <v>1255</v>
      </c>
      <c r="K447" s="15" t="s">
        <v>1253</v>
      </c>
      <c r="L447" s="25"/>
      <c r="N447" s="15" t="s">
        <v>1256</v>
      </c>
      <c r="P447" s="37" t="s">
        <v>25</v>
      </c>
    </row>
    <row r="448" spans="1:30">
      <c r="A448" s="14">
        <v>10714</v>
      </c>
      <c r="B448" s="14" t="s">
        <v>1257</v>
      </c>
      <c r="C448" s="3" t="s">
        <v>1220</v>
      </c>
      <c r="D448" s="4" t="s">
        <v>19</v>
      </c>
      <c r="E448" s="14">
        <v>108206</v>
      </c>
      <c r="F448" s="14">
        <v>13409963602</v>
      </c>
      <c r="G448" s="14">
        <v>483305715</v>
      </c>
      <c r="H448" s="28" t="s">
        <v>1258</v>
      </c>
      <c r="I448" s="28" t="s">
        <v>1258</v>
      </c>
      <c r="J448" s="3" t="s">
        <v>1259</v>
      </c>
      <c r="K448" s="15" t="s">
        <v>1257</v>
      </c>
      <c r="L448" s="25"/>
      <c r="N448" s="15" t="s">
        <v>1260</v>
      </c>
      <c r="P448" s="37" t="s">
        <v>25</v>
      </c>
    </row>
    <row r="449" spans="1:16">
      <c r="A449" s="14">
        <v>10715</v>
      </c>
      <c r="B449" s="14"/>
      <c r="C449" s="3" t="s">
        <v>1220</v>
      </c>
      <c r="E449" s="14"/>
      <c r="F449" s="14"/>
      <c r="G449" s="14"/>
      <c r="H449" s="28"/>
      <c r="I449" s="28"/>
      <c r="L449" s="25"/>
    </row>
    <row r="450" spans="1:16">
      <c r="A450" s="14">
        <v>10716</v>
      </c>
      <c r="B450" s="14"/>
      <c r="C450" s="3" t="s">
        <v>1220</v>
      </c>
      <c r="E450" s="14"/>
      <c r="F450" s="14"/>
      <c r="G450" s="14"/>
      <c r="H450" s="28"/>
      <c r="I450" s="28"/>
      <c r="L450" s="25"/>
    </row>
    <row r="451" spans="1:16">
      <c r="A451" s="14">
        <v>10717</v>
      </c>
      <c r="B451" s="14"/>
      <c r="C451" s="3" t="s">
        <v>1220</v>
      </c>
      <c r="E451" s="14"/>
      <c r="F451" s="14"/>
      <c r="G451" s="14"/>
      <c r="H451" s="28"/>
      <c r="I451" s="28"/>
      <c r="L451" s="25"/>
    </row>
    <row r="452" spans="1:16">
      <c r="A452" s="14">
        <v>10718</v>
      </c>
      <c r="B452" s="14"/>
      <c r="C452" s="3" t="s">
        <v>1220</v>
      </c>
      <c r="E452" s="14"/>
      <c r="F452" s="14"/>
      <c r="G452" s="14"/>
      <c r="H452" s="28"/>
      <c r="I452" s="28"/>
      <c r="L452" s="25"/>
    </row>
    <row r="453" spans="1:16">
      <c r="A453" s="14">
        <v>10719</v>
      </c>
      <c r="B453" s="14" t="s">
        <v>1261</v>
      </c>
      <c r="C453" s="3" t="s">
        <v>1220</v>
      </c>
      <c r="D453" s="4" t="s">
        <v>19</v>
      </c>
      <c r="E453" s="14">
        <v>112184</v>
      </c>
      <c r="F453" s="14">
        <v>15974533379</v>
      </c>
      <c r="G453" s="14">
        <v>517571298</v>
      </c>
      <c r="H453" s="28" t="s">
        <v>1262</v>
      </c>
      <c r="I453" s="28" t="s">
        <v>1262</v>
      </c>
      <c r="J453" s="3" t="s">
        <v>1263</v>
      </c>
      <c r="K453" s="15" t="s">
        <v>1261</v>
      </c>
      <c r="L453" s="25"/>
      <c r="N453" s="15" t="s">
        <v>1264</v>
      </c>
      <c r="P453" s="37" t="s">
        <v>25</v>
      </c>
    </row>
    <row r="454" spans="1:16">
      <c r="A454" s="14">
        <v>10720</v>
      </c>
      <c r="B454" s="14" t="s">
        <v>1265</v>
      </c>
      <c r="C454" s="3" t="s">
        <v>1220</v>
      </c>
      <c r="D454" s="4" t="s">
        <v>19</v>
      </c>
      <c r="E454" s="14">
        <v>112172</v>
      </c>
      <c r="F454" s="14">
        <v>15974346091</v>
      </c>
      <c r="G454" s="14">
        <v>517571272</v>
      </c>
      <c r="H454" s="28" t="s">
        <v>1266</v>
      </c>
      <c r="I454" s="28" t="s">
        <v>1266</v>
      </c>
      <c r="J454" s="3" t="s">
        <v>1267</v>
      </c>
      <c r="K454" s="15" t="s">
        <v>1265</v>
      </c>
      <c r="L454" s="25"/>
      <c r="N454" s="15" t="s">
        <v>1268</v>
      </c>
      <c r="P454" s="37" t="s">
        <v>25</v>
      </c>
    </row>
    <row r="455" spans="1:16">
      <c r="A455" s="14">
        <v>10721</v>
      </c>
      <c r="B455" s="14" t="s">
        <v>1269</v>
      </c>
      <c r="C455" s="3" t="s">
        <v>1220</v>
      </c>
      <c r="D455" s="4" t="s">
        <v>19</v>
      </c>
      <c r="E455" s="14">
        <v>112170</v>
      </c>
      <c r="F455" s="14">
        <v>15974343060</v>
      </c>
      <c r="G455" s="14">
        <v>517571265</v>
      </c>
      <c r="H455" s="28" t="s">
        <v>1270</v>
      </c>
      <c r="I455" s="28" t="s">
        <v>1270</v>
      </c>
      <c r="J455" s="3" t="s">
        <v>1271</v>
      </c>
      <c r="K455" s="15" t="s">
        <v>1269</v>
      </c>
      <c r="L455" s="25"/>
      <c r="N455" s="15" t="s">
        <v>1272</v>
      </c>
      <c r="P455" s="37" t="s">
        <v>25</v>
      </c>
    </row>
    <row r="456" spans="1:16">
      <c r="A456" s="14">
        <v>10722</v>
      </c>
      <c r="B456" s="14"/>
      <c r="C456" s="3" t="s">
        <v>1220</v>
      </c>
      <c r="E456" s="14"/>
      <c r="F456" s="14"/>
      <c r="G456" s="14"/>
      <c r="H456" s="28"/>
      <c r="I456" s="28"/>
      <c r="L456" s="25"/>
    </row>
    <row r="457" spans="1:16">
      <c r="A457" s="14">
        <v>10723</v>
      </c>
      <c r="B457" s="14"/>
      <c r="C457" s="3" t="s">
        <v>1220</v>
      </c>
      <c r="E457" s="14"/>
      <c r="F457" s="14"/>
      <c r="G457" s="14"/>
      <c r="H457" s="28"/>
      <c r="I457" s="28"/>
      <c r="L457" s="25"/>
    </row>
    <row r="458" spans="1:16">
      <c r="A458" s="14">
        <v>10724</v>
      </c>
      <c r="B458" s="14" t="s">
        <v>1273</v>
      </c>
      <c r="C458" s="3" t="s">
        <v>1220</v>
      </c>
      <c r="D458" s="4" t="s">
        <v>19</v>
      </c>
      <c r="E458" s="14">
        <v>110064</v>
      </c>
      <c r="F458" s="14">
        <v>14742711240</v>
      </c>
      <c r="G458" s="14">
        <v>501459335</v>
      </c>
      <c r="H458" s="28" t="s">
        <v>1274</v>
      </c>
      <c r="I458" s="28" t="s">
        <v>1274</v>
      </c>
      <c r="J458" s="3" t="s">
        <v>1275</v>
      </c>
      <c r="K458" s="15" t="s">
        <v>1273</v>
      </c>
      <c r="L458" s="25"/>
      <c r="N458" s="15" t="s">
        <v>1276</v>
      </c>
      <c r="P458" s="37" t="s">
        <v>25</v>
      </c>
    </row>
    <row r="459" spans="1:16">
      <c r="A459" s="14">
        <v>10725</v>
      </c>
      <c r="B459" s="14" t="s">
        <v>1277</v>
      </c>
      <c r="C459" s="3" t="s">
        <v>1220</v>
      </c>
      <c r="D459" s="4" t="s">
        <v>19</v>
      </c>
      <c r="E459" s="14">
        <v>109519</v>
      </c>
      <c r="F459" s="14">
        <v>14295585918</v>
      </c>
      <c r="G459" s="14">
        <v>495621243</v>
      </c>
      <c r="H459" s="28" t="s">
        <v>1278</v>
      </c>
      <c r="I459" s="28" t="s">
        <v>1278</v>
      </c>
      <c r="J459" s="3" t="s">
        <v>1279</v>
      </c>
      <c r="K459" s="15" t="s">
        <v>1277</v>
      </c>
      <c r="L459" s="25"/>
      <c r="N459" s="15" t="s">
        <v>1280</v>
      </c>
      <c r="P459" s="37" t="s">
        <v>25</v>
      </c>
    </row>
    <row r="460" spans="1:16">
      <c r="A460" s="14">
        <v>10726</v>
      </c>
      <c r="B460" s="14" t="s">
        <v>1281</v>
      </c>
      <c r="C460" s="3" t="s">
        <v>1220</v>
      </c>
      <c r="D460" s="4" t="s">
        <v>19</v>
      </c>
      <c r="E460" s="14">
        <v>109586</v>
      </c>
      <c r="F460" s="14">
        <v>14299667365</v>
      </c>
      <c r="G460" s="14">
        <v>495510545</v>
      </c>
      <c r="H460" s="28" t="s">
        <v>1282</v>
      </c>
      <c r="I460" s="28" t="s">
        <v>1282</v>
      </c>
      <c r="J460" s="3" t="s">
        <v>1283</v>
      </c>
      <c r="K460" s="15" t="s">
        <v>1281</v>
      </c>
      <c r="L460" s="25"/>
      <c r="N460" s="15" t="s">
        <v>1284</v>
      </c>
      <c r="P460" s="37" t="s">
        <v>25</v>
      </c>
    </row>
    <row r="461" spans="1:16">
      <c r="A461" s="14">
        <v>10727</v>
      </c>
      <c r="B461" s="14" t="s">
        <v>1285</v>
      </c>
      <c r="C461" s="3" t="s">
        <v>1220</v>
      </c>
      <c r="D461" s="4" t="s">
        <v>19</v>
      </c>
      <c r="E461" s="14">
        <v>112451</v>
      </c>
      <c r="F461" s="14">
        <v>16008741847</v>
      </c>
      <c r="G461" s="14">
        <v>517999846</v>
      </c>
      <c r="H461" s="28" t="s">
        <v>1286</v>
      </c>
      <c r="I461" s="28" t="s">
        <v>1286</v>
      </c>
      <c r="J461" s="3" t="s">
        <v>1287</v>
      </c>
      <c r="K461" s="15" t="s">
        <v>1285</v>
      </c>
      <c r="L461" s="25"/>
      <c r="N461" s="15" t="s">
        <v>1288</v>
      </c>
      <c r="P461" s="37" t="s">
        <v>25</v>
      </c>
    </row>
    <row r="462" spans="1:16">
      <c r="A462" s="14">
        <v>10728</v>
      </c>
      <c r="B462" s="14" t="s">
        <v>1289</v>
      </c>
      <c r="C462" s="3" t="s">
        <v>1220</v>
      </c>
      <c r="D462" s="4" t="s">
        <v>19</v>
      </c>
      <c r="E462" s="14">
        <v>108207</v>
      </c>
      <c r="F462" s="14">
        <v>13409964443</v>
      </c>
      <c r="G462" s="14">
        <v>483305709</v>
      </c>
      <c r="H462" s="28" t="s">
        <v>1290</v>
      </c>
      <c r="I462" s="28" t="s">
        <v>1290</v>
      </c>
      <c r="J462" s="3" t="s">
        <v>1291</v>
      </c>
      <c r="K462" s="15" t="s">
        <v>1289</v>
      </c>
      <c r="L462" s="25"/>
      <c r="N462" s="15" t="s">
        <v>1292</v>
      </c>
      <c r="P462" s="37" t="s">
        <v>25</v>
      </c>
    </row>
    <row r="463" spans="1:16">
      <c r="A463" s="14">
        <v>10729</v>
      </c>
      <c r="B463" s="14" t="s">
        <v>1293</v>
      </c>
      <c r="C463" s="3" t="s">
        <v>1220</v>
      </c>
      <c r="D463" s="4" t="s">
        <v>19</v>
      </c>
      <c r="E463" s="14">
        <v>109557</v>
      </c>
      <c r="F463" s="14">
        <v>14295773996</v>
      </c>
      <c r="G463" s="14">
        <v>495621071</v>
      </c>
      <c r="H463" s="28" t="s">
        <v>1294</v>
      </c>
      <c r="I463" s="28" t="s">
        <v>1294</v>
      </c>
      <c r="J463" s="3" t="s">
        <v>1295</v>
      </c>
      <c r="K463" s="15" t="s">
        <v>1293</v>
      </c>
      <c r="L463" s="25"/>
      <c r="N463" s="15" t="s">
        <v>1296</v>
      </c>
      <c r="P463" s="37" t="s">
        <v>25</v>
      </c>
    </row>
    <row r="464" spans="1:16">
      <c r="A464" s="14">
        <v>10730</v>
      </c>
      <c r="B464" s="14"/>
      <c r="C464" s="3" t="s">
        <v>1220</v>
      </c>
      <c r="E464" s="14"/>
      <c r="F464" s="14"/>
      <c r="G464" s="14"/>
      <c r="H464" s="28"/>
      <c r="I464" s="28"/>
      <c r="L464" s="25"/>
    </row>
    <row r="465" spans="1:16">
      <c r="A465" s="14">
        <v>10731</v>
      </c>
      <c r="B465" s="14"/>
      <c r="C465" s="3" t="s">
        <v>1220</v>
      </c>
      <c r="E465" s="14"/>
      <c r="F465" s="14"/>
      <c r="G465" s="14"/>
      <c r="H465" s="28"/>
      <c r="I465" s="28"/>
      <c r="L465" s="25"/>
    </row>
    <row r="466" spans="1:16">
      <c r="A466" s="14">
        <v>10732</v>
      </c>
      <c r="B466" s="14" t="s">
        <v>1297</v>
      </c>
      <c r="C466" s="3" t="s">
        <v>1220</v>
      </c>
      <c r="D466" s="4" t="s">
        <v>19</v>
      </c>
      <c r="E466" s="14">
        <v>112484</v>
      </c>
      <c r="F466" s="14">
        <v>16009006481</v>
      </c>
      <c r="G466" s="14">
        <v>517999890</v>
      </c>
      <c r="H466" s="28" t="s">
        <v>1298</v>
      </c>
      <c r="I466" s="28" t="s">
        <v>1298</v>
      </c>
      <c r="J466" s="3" t="s">
        <v>1299</v>
      </c>
      <c r="K466" s="15" t="s">
        <v>1297</v>
      </c>
      <c r="L466" s="25"/>
      <c r="N466" s="15" t="s">
        <v>1300</v>
      </c>
      <c r="P466" s="37" t="s">
        <v>25</v>
      </c>
    </row>
    <row r="467" spans="1:16">
      <c r="A467" s="14">
        <v>10733</v>
      </c>
      <c r="B467" s="14" t="s">
        <v>1301</v>
      </c>
      <c r="C467" s="3" t="s">
        <v>1220</v>
      </c>
      <c r="D467" s="4" t="s">
        <v>19</v>
      </c>
      <c r="E467" s="14">
        <v>109448</v>
      </c>
      <c r="F467" s="14">
        <v>14295426168</v>
      </c>
      <c r="G467" s="14">
        <v>495621186</v>
      </c>
      <c r="H467" s="28" t="s">
        <v>1302</v>
      </c>
      <c r="I467" s="28" t="s">
        <v>1302</v>
      </c>
      <c r="J467" s="3" t="s">
        <v>1303</v>
      </c>
      <c r="K467" s="15" t="s">
        <v>1301</v>
      </c>
      <c r="L467" s="25"/>
      <c r="N467" s="15" t="s">
        <v>1304</v>
      </c>
      <c r="P467" s="37" t="s">
        <v>25</v>
      </c>
    </row>
    <row r="468" spans="1:16">
      <c r="A468" s="14">
        <v>10734</v>
      </c>
      <c r="B468" s="14"/>
      <c r="C468" s="3" t="s">
        <v>1220</v>
      </c>
      <c r="E468" s="14"/>
      <c r="F468" s="14"/>
      <c r="G468" s="14"/>
      <c r="H468" s="28"/>
      <c r="I468" s="28"/>
      <c r="L468" s="25"/>
    </row>
    <row r="469" spans="1:16">
      <c r="A469" s="14">
        <v>10735</v>
      </c>
      <c r="B469" s="14" t="s">
        <v>1305</v>
      </c>
      <c r="C469" s="3" t="s">
        <v>1220</v>
      </c>
      <c r="D469" s="4" t="s">
        <v>19</v>
      </c>
      <c r="E469" s="14">
        <v>112180</v>
      </c>
      <c r="F469" s="14">
        <v>15974354385</v>
      </c>
      <c r="G469" s="14">
        <v>517571297</v>
      </c>
      <c r="H469" s="28" t="s">
        <v>1306</v>
      </c>
      <c r="I469" s="28" t="s">
        <v>1306</v>
      </c>
      <c r="J469" s="3" t="s">
        <v>1307</v>
      </c>
      <c r="K469" s="15" t="s">
        <v>1305</v>
      </c>
      <c r="L469" s="25"/>
      <c r="N469" s="15" t="s">
        <v>1308</v>
      </c>
      <c r="P469" s="37" t="s">
        <v>25</v>
      </c>
    </row>
    <row r="470" spans="1:16">
      <c r="A470" s="14">
        <v>10736</v>
      </c>
      <c r="B470" s="14" t="s">
        <v>1309</v>
      </c>
      <c r="C470" s="3" t="s">
        <v>1220</v>
      </c>
      <c r="D470" s="4" t="s">
        <v>19</v>
      </c>
      <c r="E470" s="14">
        <v>108215</v>
      </c>
      <c r="F470" s="14">
        <v>13409975363</v>
      </c>
      <c r="G470" s="14">
        <v>483305710</v>
      </c>
      <c r="H470" s="28" t="s">
        <v>1310</v>
      </c>
      <c r="I470" s="28" t="s">
        <v>1310</v>
      </c>
      <c r="J470" s="3" t="s">
        <v>1311</v>
      </c>
      <c r="K470" s="15" t="s">
        <v>1309</v>
      </c>
      <c r="L470" s="25"/>
      <c r="N470" s="15" t="s">
        <v>1312</v>
      </c>
      <c r="P470" s="37" t="s">
        <v>25</v>
      </c>
    </row>
    <row r="471" spans="1:16">
      <c r="A471" s="14">
        <v>10737</v>
      </c>
      <c r="B471" s="14" t="s">
        <v>1313</v>
      </c>
      <c r="C471" s="3" t="s">
        <v>1220</v>
      </c>
      <c r="D471" s="4" t="s">
        <v>19</v>
      </c>
      <c r="E471" s="14">
        <v>112466</v>
      </c>
      <c r="F471" s="14">
        <v>16008804462</v>
      </c>
      <c r="G471" s="14">
        <v>517999851</v>
      </c>
      <c r="H471" s="28" t="s">
        <v>1314</v>
      </c>
      <c r="I471" s="28" t="s">
        <v>1314</v>
      </c>
      <c r="J471" s="3" t="s">
        <v>1315</v>
      </c>
      <c r="K471" s="15" t="s">
        <v>1313</v>
      </c>
      <c r="L471" s="25"/>
      <c r="N471" s="15" t="s">
        <v>1316</v>
      </c>
      <c r="P471" s="37" t="s">
        <v>25</v>
      </c>
    </row>
    <row r="472" spans="1:16">
      <c r="A472" s="14">
        <v>10738</v>
      </c>
      <c r="B472" s="14" t="s">
        <v>1317</v>
      </c>
      <c r="C472" s="3" t="s">
        <v>1220</v>
      </c>
      <c r="D472" s="4" t="s">
        <v>19</v>
      </c>
      <c r="E472" s="14">
        <v>112154</v>
      </c>
      <c r="F472" s="14">
        <v>15974166158</v>
      </c>
      <c r="G472" s="14">
        <v>517571278</v>
      </c>
      <c r="H472" s="28" t="s">
        <v>1318</v>
      </c>
      <c r="I472" s="28" t="s">
        <v>1318</v>
      </c>
      <c r="J472" s="3" t="s">
        <v>1319</v>
      </c>
      <c r="K472" s="15" t="s">
        <v>1317</v>
      </c>
      <c r="L472" s="25"/>
      <c r="N472" s="15" t="s">
        <v>1320</v>
      </c>
      <c r="P472" s="37" t="s">
        <v>25</v>
      </c>
    </row>
    <row r="473" spans="1:16">
      <c r="A473" s="14">
        <v>10739</v>
      </c>
      <c r="B473" s="14"/>
      <c r="C473" s="3" t="s">
        <v>1220</v>
      </c>
      <c r="E473" s="14"/>
      <c r="F473" s="14"/>
      <c r="G473" s="14"/>
      <c r="H473" s="28"/>
      <c r="I473" s="28"/>
      <c r="K473" s="15"/>
      <c r="L473" s="25"/>
      <c r="N473" s="15"/>
    </row>
    <row r="474" spans="1:16">
      <c r="A474" s="14">
        <v>10740</v>
      </c>
      <c r="B474" s="14" t="s">
        <v>1321</v>
      </c>
      <c r="C474" s="3" t="s">
        <v>1220</v>
      </c>
      <c r="D474" s="4" t="s">
        <v>19</v>
      </c>
      <c r="E474" s="14">
        <v>109588</v>
      </c>
      <c r="F474" s="14">
        <v>14299667367</v>
      </c>
      <c r="G474" s="14">
        <v>513302864</v>
      </c>
      <c r="H474" s="28" t="s">
        <v>1322</v>
      </c>
      <c r="I474" s="28" t="s">
        <v>1322</v>
      </c>
      <c r="J474" s="3" t="s">
        <v>1323</v>
      </c>
      <c r="K474" s="15" t="s">
        <v>1321</v>
      </c>
      <c r="L474" s="25"/>
      <c r="N474" s="15" t="s">
        <v>1324</v>
      </c>
      <c r="P474" s="37" t="s">
        <v>25</v>
      </c>
    </row>
    <row r="475" spans="1:16">
      <c r="A475" s="14">
        <v>10741</v>
      </c>
      <c r="B475" s="14"/>
      <c r="C475" s="3" t="s">
        <v>1220</v>
      </c>
      <c r="E475" s="14"/>
      <c r="F475" s="14"/>
      <c r="G475" s="14"/>
      <c r="H475" s="28"/>
      <c r="I475" s="28"/>
      <c r="L475" s="25"/>
    </row>
    <row r="476" spans="1:16">
      <c r="A476" s="14">
        <v>10742</v>
      </c>
      <c r="B476" s="14" t="s">
        <v>1325</v>
      </c>
      <c r="C476" s="3" t="s">
        <v>1220</v>
      </c>
      <c r="D476" s="4" t="s">
        <v>19</v>
      </c>
      <c r="E476" s="14">
        <v>110041</v>
      </c>
      <c r="F476" s="14">
        <v>14738341889</v>
      </c>
      <c r="G476" s="14">
        <v>501459303</v>
      </c>
      <c r="H476" s="28" t="s">
        <v>1326</v>
      </c>
      <c r="I476" s="28" t="s">
        <v>1326</v>
      </c>
      <c r="J476" s="3" t="s">
        <v>1327</v>
      </c>
      <c r="K476" s="15" t="s">
        <v>1325</v>
      </c>
      <c r="L476" s="25"/>
      <c r="N476" s="15" t="s">
        <v>1328</v>
      </c>
      <c r="P476" s="37" t="s">
        <v>25</v>
      </c>
    </row>
    <row r="477" spans="1:16">
      <c r="A477" s="14">
        <v>10743</v>
      </c>
      <c r="B477" s="14" t="s">
        <v>1329</v>
      </c>
      <c r="C477" s="3" t="s">
        <v>1220</v>
      </c>
      <c r="D477" s="4" t="s">
        <v>19</v>
      </c>
      <c r="E477" s="14">
        <v>112228</v>
      </c>
      <c r="F477" s="14">
        <v>15980242570</v>
      </c>
      <c r="G477" s="14">
        <v>517638101</v>
      </c>
      <c r="H477" s="28" t="s">
        <v>1330</v>
      </c>
      <c r="I477" s="28" t="s">
        <v>1330</v>
      </c>
      <c r="J477" s="3" t="s">
        <v>1331</v>
      </c>
      <c r="K477" s="15" t="s">
        <v>1329</v>
      </c>
      <c r="L477" s="25"/>
      <c r="N477" s="15" t="s">
        <v>1332</v>
      </c>
      <c r="P477" s="37" t="s">
        <v>25</v>
      </c>
    </row>
    <row r="478" spans="1:16">
      <c r="A478" s="14">
        <v>10744</v>
      </c>
      <c r="B478" s="14" t="s">
        <v>1333</v>
      </c>
      <c r="C478" s="3" t="s">
        <v>1220</v>
      </c>
      <c r="D478" s="4" t="s">
        <v>19</v>
      </c>
      <c r="E478" s="14">
        <v>109473</v>
      </c>
      <c r="F478" s="14">
        <v>14295525110</v>
      </c>
      <c r="G478" s="14">
        <v>495621108</v>
      </c>
      <c r="H478" s="28" t="s">
        <v>1334</v>
      </c>
      <c r="I478" s="28" t="s">
        <v>1334</v>
      </c>
      <c r="J478" s="3" t="s">
        <v>1335</v>
      </c>
      <c r="K478" s="15" t="s">
        <v>1333</v>
      </c>
      <c r="L478" s="25"/>
      <c r="N478" s="15" t="s">
        <v>1336</v>
      </c>
      <c r="P478" s="37" t="s">
        <v>25</v>
      </c>
    </row>
    <row r="479" spans="1:16">
      <c r="A479" s="14">
        <v>10745</v>
      </c>
      <c r="B479" s="14"/>
      <c r="C479" s="3" t="s">
        <v>1220</v>
      </c>
      <c r="E479" s="14"/>
      <c r="F479" s="14"/>
      <c r="G479" s="14"/>
      <c r="H479" s="28"/>
      <c r="I479" s="28"/>
      <c r="L479" s="25"/>
    </row>
    <row r="480" spans="1:16">
      <c r="A480" s="14">
        <v>10746</v>
      </c>
      <c r="B480" s="14"/>
      <c r="C480" s="3" t="s">
        <v>1220</v>
      </c>
      <c r="E480" s="14"/>
      <c r="F480" s="14"/>
      <c r="G480" s="14"/>
      <c r="H480" s="28"/>
      <c r="I480" s="28"/>
      <c r="L480" s="25"/>
    </row>
    <row r="481" spans="1:16">
      <c r="A481" s="14">
        <v>10747</v>
      </c>
      <c r="B481" s="14" t="s">
        <v>1337</v>
      </c>
      <c r="C481" s="3" t="s">
        <v>1220</v>
      </c>
      <c r="D481" s="4" t="s">
        <v>19</v>
      </c>
      <c r="E481" s="14">
        <v>109496</v>
      </c>
      <c r="F481" s="14">
        <v>14295552330</v>
      </c>
      <c r="G481" s="14">
        <v>495621163</v>
      </c>
      <c r="H481" s="28" t="s">
        <v>1338</v>
      </c>
      <c r="I481" s="28" t="s">
        <v>1338</v>
      </c>
      <c r="J481" s="3" t="s">
        <v>1339</v>
      </c>
      <c r="K481" s="15" t="s">
        <v>1337</v>
      </c>
      <c r="L481" s="25"/>
      <c r="N481" s="15" t="s">
        <v>1340</v>
      </c>
      <c r="P481" s="37" t="s">
        <v>25</v>
      </c>
    </row>
    <row r="482" spans="1:16">
      <c r="A482" s="14">
        <v>10748</v>
      </c>
      <c r="B482" s="14" t="s">
        <v>1341</v>
      </c>
      <c r="C482" s="3" t="s">
        <v>1220</v>
      </c>
      <c r="D482" s="4" t="s">
        <v>19</v>
      </c>
      <c r="E482" s="14">
        <v>112406</v>
      </c>
      <c r="F482" s="14">
        <v>16003771638</v>
      </c>
      <c r="G482" s="14">
        <v>517939029</v>
      </c>
      <c r="H482" s="28" t="s">
        <v>1342</v>
      </c>
      <c r="I482" s="28" t="s">
        <v>1342</v>
      </c>
      <c r="J482" s="3" t="s">
        <v>1343</v>
      </c>
      <c r="K482" s="15" t="s">
        <v>1341</v>
      </c>
      <c r="L482" s="25"/>
      <c r="N482" s="15" t="s">
        <v>1344</v>
      </c>
      <c r="P482" s="37" t="s">
        <v>25</v>
      </c>
    </row>
    <row r="483" spans="1:16">
      <c r="A483" s="14">
        <v>10749</v>
      </c>
      <c r="B483" s="14" t="s">
        <v>1345</v>
      </c>
      <c r="C483" s="3" t="s">
        <v>1220</v>
      </c>
      <c r="D483" s="4" t="s">
        <v>19</v>
      </c>
      <c r="E483" s="14">
        <v>112338</v>
      </c>
      <c r="F483" s="14">
        <v>15988053462</v>
      </c>
      <c r="G483" s="14">
        <v>517699194</v>
      </c>
      <c r="H483" s="28" t="s">
        <v>1346</v>
      </c>
      <c r="I483" s="28" t="s">
        <v>1346</v>
      </c>
      <c r="J483" s="3" t="s">
        <v>1347</v>
      </c>
      <c r="K483" s="15" t="s">
        <v>1345</v>
      </c>
      <c r="L483" s="25"/>
      <c r="N483" s="15" t="s">
        <v>1348</v>
      </c>
      <c r="P483" s="37" t="s">
        <v>25</v>
      </c>
    </row>
    <row r="484" spans="1:16">
      <c r="A484" s="14">
        <v>10750</v>
      </c>
      <c r="B484" s="14" t="s">
        <v>1349</v>
      </c>
      <c r="C484" s="3" t="s">
        <v>1220</v>
      </c>
      <c r="D484" s="4" t="s">
        <v>19</v>
      </c>
      <c r="E484" s="14">
        <v>112449</v>
      </c>
      <c r="F484" s="14">
        <v>16008741845</v>
      </c>
      <c r="G484" s="14">
        <v>517999880</v>
      </c>
      <c r="H484" s="28" t="s">
        <v>1350</v>
      </c>
      <c r="I484" s="28" t="s">
        <v>1350</v>
      </c>
      <c r="J484" s="3" t="s">
        <v>1351</v>
      </c>
      <c r="K484" s="15" t="s">
        <v>1349</v>
      </c>
      <c r="L484" s="25"/>
      <c r="N484" s="15" t="s">
        <v>1352</v>
      </c>
      <c r="P484" s="37" t="s">
        <v>25</v>
      </c>
    </row>
    <row r="485" spans="1:16">
      <c r="A485" s="14">
        <v>10751</v>
      </c>
      <c r="B485" s="14" t="s">
        <v>1353</v>
      </c>
      <c r="C485" s="3" t="s">
        <v>1220</v>
      </c>
      <c r="D485" s="4" t="s">
        <v>19</v>
      </c>
      <c r="E485" s="14">
        <v>109595</v>
      </c>
      <c r="F485" s="14">
        <v>14305342947</v>
      </c>
      <c r="G485" s="14">
        <v>495621185</v>
      </c>
      <c r="H485" s="28" t="s">
        <v>1354</v>
      </c>
      <c r="I485" s="28" t="s">
        <v>1354</v>
      </c>
      <c r="J485" s="3" t="s">
        <v>1355</v>
      </c>
      <c r="K485" s="15" t="s">
        <v>1353</v>
      </c>
      <c r="L485" s="25"/>
      <c r="N485" s="15" t="s">
        <v>1356</v>
      </c>
      <c r="P485" s="37" t="s">
        <v>25</v>
      </c>
    </row>
    <row r="486" spans="1:16">
      <c r="A486" s="14">
        <v>10752</v>
      </c>
      <c r="B486" s="14" t="s">
        <v>1357</v>
      </c>
      <c r="C486" s="3" t="s">
        <v>1220</v>
      </c>
      <c r="D486" s="4" t="s">
        <v>19</v>
      </c>
      <c r="E486" s="14">
        <v>109509</v>
      </c>
      <c r="F486" s="14">
        <v>14295558595</v>
      </c>
      <c r="G486" s="14">
        <v>495621131</v>
      </c>
      <c r="H486" s="28" t="s">
        <v>1358</v>
      </c>
      <c r="I486" s="28" t="s">
        <v>1358</v>
      </c>
      <c r="J486" s="3" t="s">
        <v>1359</v>
      </c>
      <c r="K486" s="15" t="s">
        <v>1357</v>
      </c>
      <c r="L486" s="25"/>
      <c r="N486" s="15" t="s">
        <v>1360</v>
      </c>
      <c r="P486" s="37" t="s">
        <v>25</v>
      </c>
    </row>
    <row r="487" spans="1:16">
      <c r="A487" s="14">
        <v>10753</v>
      </c>
      <c r="B487" s="14" t="s">
        <v>1361</v>
      </c>
      <c r="C487" s="3" t="s">
        <v>1220</v>
      </c>
      <c r="D487" s="4" t="s">
        <v>19</v>
      </c>
      <c r="E487" s="14">
        <v>109581</v>
      </c>
      <c r="F487" s="14">
        <v>14299454173</v>
      </c>
      <c r="G487" s="14">
        <v>495621209</v>
      </c>
      <c r="H487" s="28" t="s">
        <v>1362</v>
      </c>
      <c r="I487" s="28" t="s">
        <v>1362</v>
      </c>
      <c r="J487" s="3" t="s">
        <v>1363</v>
      </c>
      <c r="K487" s="15" t="s">
        <v>1361</v>
      </c>
      <c r="L487" s="25"/>
      <c r="N487" s="15" t="s">
        <v>1364</v>
      </c>
      <c r="P487" s="37" t="s">
        <v>25</v>
      </c>
    </row>
    <row r="488" spans="1:16">
      <c r="A488" s="14">
        <v>10754</v>
      </c>
      <c r="B488" s="14" t="s">
        <v>1365</v>
      </c>
      <c r="C488" s="3" t="s">
        <v>1220</v>
      </c>
      <c r="D488" s="4" t="s">
        <v>19</v>
      </c>
      <c r="E488" s="14">
        <v>109582</v>
      </c>
      <c r="F488" s="14">
        <v>14299454174</v>
      </c>
      <c r="G488" s="14">
        <v>495621095</v>
      </c>
      <c r="H488" s="28" t="s">
        <v>1366</v>
      </c>
      <c r="I488" s="28" t="s">
        <v>1366</v>
      </c>
      <c r="J488" s="3" t="s">
        <v>1367</v>
      </c>
      <c r="K488" s="15" t="s">
        <v>1365</v>
      </c>
      <c r="L488" s="25"/>
      <c r="N488" s="15" t="s">
        <v>1368</v>
      </c>
      <c r="P488" s="37" t="s">
        <v>25</v>
      </c>
    </row>
    <row r="489" spans="1:16">
      <c r="A489" s="14">
        <v>10755</v>
      </c>
      <c r="B489" s="14" t="s">
        <v>1369</v>
      </c>
      <c r="C489" s="3" t="s">
        <v>1220</v>
      </c>
      <c r="D489" s="4" t="s">
        <v>19</v>
      </c>
      <c r="E489" s="14">
        <v>112287</v>
      </c>
      <c r="F489" s="14">
        <v>15984652109</v>
      </c>
      <c r="G489" s="14">
        <v>517699246</v>
      </c>
      <c r="H489" s="28" t="s">
        <v>1370</v>
      </c>
      <c r="I489" s="28" t="s">
        <v>1370</v>
      </c>
      <c r="J489" s="3" t="s">
        <v>1371</v>
      </c>
      <c r="K489" s="15" t="s">
        <v>1369</v>
      </c>
      <c r="L489" s="25"/>
      <c r="N489" s="15" t="s">
        <v>1372</v>
      </c>
      <c r="P489" s="37" t="s">
        <v>25</v>
      </c>
    </row>
    <row r="490" spans="1:16">
      <c r="A490" s="14">
        <v>10756</v>
      </c>
      <c r="B490" s="14" t="s">
        <v>1373</v>
      </c>
      <c r="C490" s="3" t="s">
        <v>1220</v>
      </c>
      <c r="D490" s="4" t="s">
        <v>19</v>
      </c>
      <c r="E490" s="14">
        <v>112334</v>
      </c>
      <c r="F490" s="14">
        <v>15987995174</v>
      </c>
      <c r="G490" s="14">
        <v>517699189</v>
      </c>
      <c r="H490" s="28" t="s">
        <v>1374</v>
      </c>
      <c r="I490" s="28" t="s">
        <v>1374</v>
      </c>
      <c r="J490" s="3" t="s">
        <v>1375</v>
      </c>
      <c r="K490" s="15" t="s">
        <v>1373</v>
      </c>
      <c r="L490" s="25"/>
      <c r="N490" s="15" t="s">
        <v>1376</v>
      </c>
      <c r="P490" s="37" t="s">
        <v>25</v>
      </c>
    </row>
    <row r="491" spans="1:16">
      <c r="A491" s="14">
        <v>10757</v>
      </c>
      <c r="B491" s="14"/>
      <c r="C491" s="3" t="s">
        <v>1220</v>
      </c>
      <c r="E491" s="14">
        <v>109443</v>
      </c>
      <c r="F491" s="14"/>
      <c r="G491" s="14"/>
      <c r="H491" s="28"/>
      <c r="I491" s="28"/>
      <c r="L491" s="25"/>
    </row>
    <row r="492" spans="1:16">
      <c r="A492" s="14">
        <v>10758</v>
      </c>
      <c r="B492" s="14"/>
      <c r="C492" s="3" t="s">
        <v>1220</v>
      </c>
      <c r="E492" s="14"/>
      <c r="F492" s="14"/>
      <c r="G492" s="14"/>
      <c r="H492" s="28"/>
      <c r="I492" s="28"/>
      <c r="L492" s="25"/>
    </row>
    <row r="493" spans="1:16">
      <c r="A493" s="14">
        <v>10759</v>
      </c>
      <c r="B493" s="14"/>
      <c r="C493" s="3" t="s">
        <v>1220</v>
      </c>
      <c r="E493" s="14"/>
      <c r="F493" s="14"/>
      <c r="G493" s="14"/>
      <c r="H493" s="28"/>
      <c r="I493" s="28"/>
      <c r="L493" s="25"/>
    </row>
    <row r="494" spans="1:16">
      <c r="A494" s="14">
        <v>10760</v>
      </c>
      <c r="B494" s="14" t="s">
        <v>1377</v>
      </c>
      <c r="C494" s="3" t="s">
        <v>1220</v>
      </c>
      <c r="D494" s="4" t="s">
        <v>19</v>
      </c>
      <c r="E494" s="14">
        <v>109482</v>
      </c>
      <c r="F494" s="14">
        <v>14295539245</v>
      </c>
      <c r="G494" s="14">
        <v>495621096</v>
      </c>
      <c r="H494" s="28" t="s">
        <v>1378</v>
      </c>
      <c r="I494" s="28" t="s">
        <v>1378</v>
      </c>
      <c r="J494" s="3" t="s">
        <v>1379</v>
      </c>
      <c r="K494" s="15" t="s">
        <v>1377</v>
      </c>
      <c r="L494" s="25"/>
      <c r="N494" s="15" t="s">
        <v>1380</v>
      </c>
      <c r="P494" s="37" t="s">
        <v>25</v>
      </c>
    </row>
    <row r="495" spans="1:16">
      <c r="A495" s="14">
        <v>10761</v>
      </c>
      <c r="B495" s="14" t="s">
        <v>1381</v>
      </c>
      <c r="C495" s="3" t="s">
        <v>1220</v>
      </c>
      <c r="D495" s="4" t="s">
        <v>19</v>
      </c>
      <c r="E495" s="14">
        <v>109477</v>
      </c>
      <c r="F495" s="14">
        <v>14295529893</v>
      </c>
      <c r="G495" s="14">
        <v>495621178</v>
      </c>
      <c r="H495" s="28" t="s">
        <v>1382</v>
      </c>
      <c r="I495" s="28" t="s">
        <v>1382</v>
      </c>
      <c r="J495" s="3" t="s">
        <v>1383</v>
      </c>
      <c r="K495" s="15" t="s">
        <v>1381</v>
      </c>
      <c r="L495" s="25"/>
      <c r="N495" s="15" t="s">
        <v>1384</v>
      </c>
      <c r="P495" s="37" t="s">
        <v>25</v>
      </c>
    </row>
    <row r="496" spans="1:16">
      <c r="A496" s="14">
        <v>10762</v>
      </c>
      <c r="B496" s="14" t="s">
        <v>1385</v>
      </c>
      <c r="C496" s="3" t="s">
        <v>1220</v>
      </c>
      <c r="D496" s="4" t="s">
        <v>19</v>
      </c>
      <c r="E496" s="14">
        <v>109592</v>
      </c>
      <c r="F496" s="14">
        <v>14299667371</v>
      </c>
      <c r="G496" s="14">
        <v>495621114</v>
      </c>
      <c r="H496" s="28" t="s">
        <v>1386</v>
      </c>
      <c r="I496" s="28" t="s">
        <v>1386</v>
      </c>
      <c r="J496" s="3" t="s">
        <v>1387</v>
      </c>
      <c r="K496" s="15" t="s">
        <v>1385</v>
      </c>
      <c r="L496" s="25"/>
      <c r="N496" s="15" t="s">
        <v>1388</v>
      </c>
      <c r="P496" s="37" t="s">
        <v>25</v>
      </c>
    </row>
    <row r="497" spans="1:16">
      <c r="A497" s="14">
        <v>10763</v>
      </c>
      <c r="B497" s="14" t="s">
        <v>1389</v>
      </c>
      <c r="C497" s="3" t="s">
        <v>1220</v>
      </c>
      <c r="D497" s="4" t="s">
        <v>19</v>
      </c>
      <c r="E497" s="14">
        <v>112408</v>
      </c>
      <c r="F497" s="14">
        <v>16003772525</v>
      </c>
      <c r="G497" s="14">
        <v>517938950</v>
      </c>
      <c r="H497" s="28" t="s">
        <v>1390</v>
      </c>
      <c r="I497" s="28" t="s">
        <v>1390</v>
      </c>
      <c r="J497" s="3" t="s">
        <v>1391</v>
      </c>
      <c r="K497" s="15" t="s">
        <v>1389</v>
      </c>
      <c r="L497" s="25"/>
      <c r="N497" s="15" t="s">
        <v>1392</v>
      </c>
      <c r="P497" s="37" t="s">
        <v>25</v>
      </c>
    </row>
    <row r="498" spans="1:16">
      <c r="A498" s="14">
        <v>10764</v>
      </c>
      <c r="B498" s="14" t="s">
        <v>820</v>
      </c>
      <c r="C498" s="3" t="s">
        <v>1220</v>
      </c>
      <c r="D498" s="4" t="s">
        <v>19</v>
      </c>
      <c r="E498" s="14">
        <v>112293</v>
      </c>
      <c r="F498" s="14">
        <v>15984661496</v>
      </c>
      <c r="G498" s="14">
        <v>517699232</v>
      </c>
      <c r="H498" s="28" t="s">
        <v>1393</v>
      </c>
      <c r="I498" s="28" t="s">
        <v>1393</v>
      </c>
      <c r="J498" s="3" t="s">
        <v>1394</v>
      </c>
      <c r="K498" s="15" t="s">
        <v>820</v>
      </c>
      <c r="L498" s="25"/>
      <c r="N498" s="15" t="s">
        <v>1395</v>
      </c>
      <c r="P498" s="37" t="s">
        <v>25</v>
      </c>
    </row>
    <row r="499" spans="1:16">
      <c r="A499" s="14">
        <v>10765</v>
      </c>
      <c r="B499" s="14" t="s">
        <v>1396</v>
      </c>
      <c r="C499" s="3" t="s">
        <v>1220</v>
      </c>
      <c r="D499" s="4" t="s">
        <v>19</v>
      </c>
      <c r="E499" s="14">
        <v>109676</v>
      </c>
      <c r="F499" s="14">
        <v>14507321276</v>
      </c>
      <c r="G499" s="14">
        <v>498373750</v>
      </c>
      <c r="H499" s="28" t="s">
        <v>1397</v>
      </c>
      <c r="I499" s="28" t="s">
        <v>1397</v>
      </c>
      <c r="J499" s="3" t="s">
        <v>1398</v>
      </c>
      <c r="K499" s="15" t="s">
        <v>1396</v>
      </c>
      <c r="L499" s="25"/>
      <c r="N499" s="15" t="s">
        <v>1399</v>
      </c>
      <c r="P499" s="37" t="s">
        <v>25</v>
      </c>
    </row>
    <row r="500" spans="1:16">
      <c r="A500" s="14">
        <v>10766</v>
      </c>
      <c r="B500" s="14"/>
      <c r="C500" s="3" t="s">
        <v>1220</v>
      </c>
      <c r="E500" s="14"/>
      <c r="F500" s="14"/>
      <c r="G500" s="14"/>
      <c r="H500" s="28"/>
      <c r="I500" s="28"/>
      <c r="L500" s="25"/>
    </row>
    <row r="501" spans="1:16">
      <c r="A501" s="14">
        <v>10767</v>
      </c>
      <c r="B501" s="14"/>
      <c r="C501" s="3" t="s">
        <v>1220</v>
      </c>
      <c r="E501" s="14"/>
      <c r="F501" s="14"/>
      <c r="G501" s="14"/>
      <c r="H501" s="28"/>
      <c r="I501" s="28"/>
      <c r="L501" s="25"/>
    </row>
    <row r="502" spans="1:16">
      <c r="A502" s="14">
        <v>10768</v>
      </c>
      <c r="B502" s="14" t="s">
        <v>1400</v>
      </c>
      <c r="C502" s="3" t="s">
        <v>1220</v>
      </c>
      <c r="D502" s="4" t="s">
        <v>19</v>
      </c>
      <c r="E502" s="14">
        <v>109533</v>
      </c>
      <c r="F502" s="14">
        <v>14295610737</v>
      </c>
      <c r="G502" s="14">
        <v>495621252</v>
      </c>
      <c r="H502" s="28" t="s">
        <v>1401</v>
      </c>
      <c r="I502" s="28" t="s">
        <v>1401</v>
      </c>
      <c r="J502" s="3" t="s">
        <v>1402</v>
      </c>
      <c r="K502" s="15" t="s">
        <v>1400</v>
      </c>
      <c r="L502" s="25"/>
      <c r="N502" s="15" t="s">
        <v>1403</v>
      </c>
      <c r="P502" s="37" t="s">
        <v>25</v>
      </c>
    </row>
    <row r="503" spans="1:16">
      <c r="A503" s="14">
        <v>10769</v>
      </c>
      <c r="B503" s="14" t="s">
        <v>1404</v>
      </c>
      <c r="C503" s="3" t="s">
        <v>1220</v>
      </c>
      <c r="D503" s="4" t="s">
        <v>19</v>
      </c>
      <c r="E503" s="14">
        <v>109522</v>
      </c>
      <c r="F503" s="14">
        <v>14295603740</v>
      </c>
      <c r="G503" s="14">
        <v>495621152</v>
      </c>
      <c r="H503" s="28" t="s">
        <v>1405</v>
      </c>
      <c r="I503" s="28" t="s">
        <v>1405</v>
      </c>
      <c r="J503" s="3" t="s">
        <v>1406</v>
      </c>
      <c r="K503" s="15" t="s">
        <v>1404</v>
      </c>
      <c r="L503" s="25"/>
      <c r="N503" s="15" t="s">
        <v>1407</v>
      </c>
      <c r="P503" s="37" t="s">
        <v>25</v>
      </c>
    </row>
    <row r="504" spans="1:16">
      <c r="A504" s="14">
        <v>10770</v>
      </c>
      <c r="B504" s="14" t="s">
        <v>1408</v>
      </c>
      <c r="C504" s="3" t="s">
        <v>1220</v>
      </c>
      <c r="D504" s="4" t="s">
        <v>19</v>
      </c>
      <c r="E504" s="14">
        <v>109480</v>
      </c>
      <c r="F504" s="14">
        <v>14295535825</v>
      </c>
      <c r="G504" s="14">
        <v>495621171</v>
      </c>
      <c r="H504" s="28" t="s">
        <v>1409</v>
      </c>
      <c r="I504" s="28" t="s">
        <v>1409</v>
      </c>
      <c r="J504" s="3" t="s">
        <v>1410</v>
      </c>
      <c r="K504" s="15" t="s">
        <v>1408</v>
      </c>
      <c r="L504" s="25"/>
      <c r="N504" s="15" t="s">
        <v>1411</v>
      </c>
      <c r="P504" s="37" t="s">
        <v>25</v>
      </c>
    </row>
    <row r="505" spans="1:16">
      <c r="A505" s="14">
        <v>10771</v>
      </c>
      <c r="B505" s="14" t="s">
        <v>1412</v>
      </c>
      <c r="C505" s="3" t="s">
        <v>1220</v>
      </c>
      <c r="D505" s="4" t="s">
        <v>19</v>
      </c>
      <c r="E505" s="14">
        <v>112218</v>
      </c>
      <c r="F505" s="14">
        <v>15979422857</v>
      </c>
      <c r="G505" s="14">
        <v>517637340</v>
      </c>
      <c r="H505" s="28" t="s">
        <v>1413</v>
      </c>
      <c r="I505" s="28" t="s">
        <v>1413</v>
      </c>
      <c r="J505" s="3" t="s">
        <v>1414</v>
      </c>
      <c r="K505" s="15" t="s">
        <v>1412</v>
      </c>
      <c r="L505" s="25"/>
      <c r="N505" s="15" t="s">
        <v>1415</v>
      </c>
      <c r="P505" s="37" t="s">
        <v>25</v>
      </c>
    </row>
    <row r="506" spans="1:16">
      <c r="A506" s="14">
        <v>10772</v>
      </c>
      <c r="B506" s="14"/>
      <c r="C506" s="3" t="s">
        <v>1220</v>
      </c>
      <c r="E506" s="14"/>
      <c r="F506" s="14"/>
      <c r="G506" s="14"/>
      <c r="H506" s="28"/>
      <c r="I506" s="28"/>
      <c r="L506" s="25"/>
    </row>
    <row r="507" spans="1:16">
      <c r="A507" s="14">
        <v>10773</v>
      </c>
      <c r="B507" s="14"/>
      <c r="C507" s="3" t="s">
        <v>1220</v>
      </c>
      <c r="E507" s="14"/>
      <c r="F507" s="14"/>
      <c r="G507" s="14"/>
      <c r="H507" s="28"/>
      <c r="I507" s="28"/>
      <c r="L507" s="25"/>
    </row>
    <row r="508" spans="1:16">
      <c r="A508" s="14">
        <v>10774</v>
      </c>
      <c r="B508" s="14" t="s">
        <v>1416</v>
      </c>
      <c r="C508" s="3" t="s">
        <v>1220</v>
      </c>
      <c r="D508" s="4" t="s">
        <v>19</v>
      </c>
      <c r="E508" s="14">
        <v>112175</v>
      </c>
      <c r="F508" s="14">
        <v>15974349584</v>
      </c>
      <c r="G508" s="14">
        <v>517571283</v>
      </c>
      <c r="H508" s="28" t="s">
        <v>1417</v>
      </c>
      <c r="I508" s="28" t="s">
        <v>1417</v>
      </c>
      <c r="J508" s="3" t="s">
        <v>1418</v>
      </c>
      <c r="K508" s="15" t="s">
        <v>1416</v>
      </c>
      <c r="L508" s="25"/>
      <c r="N508" s="15" t="s">
        <v>1419</v>
      </c>
      <c r="P508" s="37" t="s">
        <v>25</v>
      </c>
    </row>
    <row r="509" spans="1:16">
      <c r="A509" s="14">
        <v>10775</v>
      </c>
      <c r="B509" s="14" t="s">
        <v>1420</v>
      </c>
      <c r="C509" s="3" t="s">
        <v>1220</v>
      </c>
      <c r="D509" s="4" t="s">
        <v>19</v>
      </c>
      <c r="E509" s="14">
        <v>109539</v>
      </c>
      <c r="F509" s="14">
        <v>14295635311</v>
      </c>
      <c r="G509" s="14">
        <v>495621221</v>
      </c>
      <c r="H509" s="28" t="s">
        <v>1421</v>
      </c>
      <c r="I509" s="28" t="s">
        <v>1421</v>
      </c>
      <c r="J509" s="3" t="s">
        <v>1422</v>
      </c>
      <c r="K509" s="15" t="s">
        <v>1420</v>
      </c>
      <c r="L509" s="25"/>
      <c r="N509" s="15" t="s">
        <v>1423</v>
      </c>
      <c r="P509" s="37" t="s">
        <v>25</v>
      </c>
    </row>
    <row r="510" spans="1:16">
      <c r="A510" s="14">
        <v>10776</v>
      </c>
      <c r="B510" s="14" t="s">
        <v>1424</v>
      </c>
      <c r="C510" s="3" t="s">
        <v>1220</v>
      </c>
      <c r="D510" s="4" t="s">
        <v>19</v>
      </c>
      <c r="E510" s="14">
        <v>112442</v>
      </c>
      <c r="F510" s="14">
        <v>16008725348</v>
      </c>
      <c r="G510" s="14">
        <v>517999848</v>
      </c>
      <c r="H510" s="28" t="s">
        <v>1425</v>
      </c>
      <c r="I510" s="28" t="s">
        <v>1425</v>
      </c>
      <c r="J510" s="3" t="s">
        <v>1426</v>
      </c>
      <c r="K510" s="15" t="s">
        <v>1424</v>
      </c>
      <c r="L510" s="25"/>
      <c r="N510" s="15" t="s">
        <v>1427</v>
      </c>
      <c r="P510" s="37" t="s">
        <v>25</v>
      </c>
    </row>
    <row r="511" spans="1:16">
      <c r="A511" s="14">
        <v>10777</v>
      </c>
      <c r="B511" s="14" t="s">
        <v>1428</v>
      </c>
      <c r="C511" s="3" t="s">
        <v>1220</v>
      </c>
      <c r="D511" s="4" t="s">
        <v>19</v>
      </c>
      <c r="E511" s="14">
        <v>112413</v>
      </c>
      <c r="F511" s="14">
        <v>16004000999</v>
      </c>
      <c r="G511" s="14">
        <v>517938466</v>
      </c>
      <c r="H511" s="28" t="s">
        <v>1429</v>
      </c>
      <c r="I511" s="28" t="s">
        <v>1429</v>
      </c>
      <c r="J511" s="3" t="s">
        <v>1430</v>
      </c>
      <c r="K511" s="15" t="s">
        <v>1428</v>
      </c>
      <c r="L511" s="25"/>
      <c r="N511" s="15" t="s">
        <v>1431</v>
      </c>
      <c r="P511" s="37" t="s">
        <v>25</v>
      </c>
    </row>
    <row r="512" spans="1:16">
      <c r="A512" s="14">
        <v>10778</v>
      </c>
      <c r="B512" s="14" t="s">
        <v>1432</v>
      </c>
      <c r="C512" s="3" t="s">
        <v>1220</v>
      </c>
      <c r="D512" s="4" t="s">
        <v>19</v>
      </c>
      <c r="E512" s="14">
        <v>112200</v>
      </c>
      <c r="F512" s="14">
        <v>15979326199</v>
      </c>
      <c r="G512" s="14">
        <v>517637396</v>
      </c>
      <c r="H512" s="28" t="s">
        <v>1433</v>
      </c>
      <c r="I512" s="28" t="s">
        <v>1433</v>
      </c>
      <c r="J512" s="3" t="s">
        <v>1434</v>
      </c>
      <c r="K512" s="15" t="s">
        <v>1432</v>
      </c>
      <c r="L512" s="25"/>
      <c r="N512" s="15" t="s">
        <v>1435</v>
      </c>
      <c r="P512" s="37" t="s">
        <v>25</v>
      </c>
    </row>
    <row r="513" spans="1:16">
      <c r="A513" s="14">
        <v>10779</v>
      </c>
      <c r="B513" s="14" t="s">
        <v>1436</v>
      </c>
      <c r="C513" s="3" t="s">
        <v>1220</v>
      </c>
      <c r="D513" s="4" t="s">
        <v>19</v>
      </c>
      <c r="E513" s="14">
        <v>112207</v>
      </c>
      <c r="F513" s="14">
        <v>15979334764</v>
      </c>
      <c r="G513" s="14">
        <v>517637417</v>
      </c>
      <c r="H513" s="28" t="s">
        <v>1437</v>
      </c>
      <c r="I513" s="28" t="s">
        <v>1437</v>
      </c>
      <c r="J513" s="3" t="s">
        <v>1438</v>
      </c>
      <c r="K513" s="15" t="s">
        <v>1436</v>
      </c>
      <c r="L513" s="25"/>
      <c r="N513" s="15" t="s">
        <v>1439</v>
      </c>
      <c r="P513" s="37" t="s">
        <v>25</v>
      </c>
    </row>
    <row r="514" spans="1:16">
      <c r="A514" s="14">
        <v>10780</v>
      </c>
      <c r="B514" s="14" t="s">
        <v>1440</v>
      </c>
      <c r="C514" s="3" t="s">
        <v>1220</v>
      </c>
      <c r="D514" s="4" t="s">
        <v>19</v>
      </c>
      <c r="E514" s="14">
        <v>112199</v>
      </c>
      <c r="F514" s="14">
        <v>15979324455</v>
      </c>
      <c r="G514" s="14">
        <v>517637343</v>
      </c>
      <c r="H514" s="28" t="s">
        <v>1441</v>
      </c>
      <c r="I514" s="28" t="s">
        <v>1441</v>
      </c>
      <c r="J514" s="3" t="s">
        <v>1442</v>
      </c>
      <c r="K514" s="15" t="s">
        <v>1440</v>
      </c>
      <c r="L514" s="25"/>
      <c r="N514" s="15" t="s">
        <v>1443</v>
      </c>
      <c r="P514" s="37" t="s">
        <v>25</v>
      </c>
    </row>
    <row r="515" spans="1:16">
      <c r="A515" s="14">
        <v>10781</v>
      </c>
      <c r="B515" s="14" t="s">
        <v>1444</v>
      </c>
      <c r="C515" s="3" t="s">
        <v>1220</v>
      </c>
      <c r="D515" s="4" t="s">
        <v>19</v>
      </c>
      <c r="E515" s="14">
        <v>112411</v>
      </c>
      <c r="F515" s="14">
        <v>16003807673</v>
      </c>
      <c r="G515" s="14">
        <v>517938465</v>
      </c>
      <c r="H515" s="28" t="s">
        <v>1445</v>
      </c>
      <c r="I515" s="28" t="s">
        <v>1445</v>
      </c>
      <c r="J515" s="3" t="s">
        <v>1446</v>
      </c>
      <c r="K515" s="15" t="s">
        <v>1444</v>
      </c>
      <c r="L515" s="25"/>
      <c r="N515" s="15" t="s">
        <v>1447</v>
      </c>
      <c r="P515" s="37" t="s">
        <v>25</v>
      </c>
    </row>
    <row r="516" spans="1:16">
      <c r="A516" s="14">
        <v>10782</v>
      </c>
      <c r="B516" s="14" t="s">
        <v>1448</v>
      </c>
      <c r="C516" s="3" t="s">
        <v>1220</v>
      </c>
      <c r="D516" s="4" t="s">
        <v>19</v>
      </c>
      <c r="E516" s="14">
        <v>112441</v>
      </c>
      <c r="F516" s="14">
        <v>16008715386</v>
      </c>
      <c r="G516" s="14">
        <v>517999866</v>
      </c>
      <c r="H516" s="28" t="s">
        <v>1449</v>
      </c>
      <c r="I516" s="28" t="s">
        <v>1449</v>
      </c>
      <c r="J516" s="3" t="s">
        <v>1450</v>
      </c>
      <c r="K516" s="15" t="s">
        <v>1448</v>
      </c>
      <c r="L516" s="25"/>
      <c r="N516" s="15" t="s">
        <v>1451</v>
      </c>
      <c r="P516" s="37" t="s">
        <v>25</v>
      </c>
    </row>
    <row r="517" spans="1:16">
      <c r="A517" s="14">
        <v>10783</v>
      </c>
      <c r="B517" s="14" t="s">
        <v>1452</v>
      </c>
      <c r="C517" s="3" t="s">
        <v>1220</v>
      </c>
      <c r="D517" s="4" t="s">
        <v>19</v>
      </c>
      <c r="E517" s="14">
        <v>112208</v>
      </c>
      <c r="F517" s="14">
        <v>15979347462</v>
      </c>
      <c r="G517" s="14">
        <v>517638269</v>
      </c>
      <c r="H517" s="28" t="s">
        <v>1453</v>
      </c>
      <c r="I517" s="28" t="s">
        <v>1453</v>
      </c>
      <c r="J517" s="3" t="s">
        <v>1454</v>
      </c>
      <c r="K517" s="15" t="s">
        <v>1452</v>
      </c>
      <c r="L517" s="25"/>
      <c r="N517" s="15" t="s">
        <v>1455</v>
      </c>
      <c r="P517" s="37" t="s">
        <v>25</v>
      </c>
    </row>
    <row r="518" spans="1:16">
      <c r="A518" s="14">
        <v>10784</v>
      </c>
      <c r="B518" s="14" t="s">
        <v>1456</v>
      </c>
      <c r="C518" s="3" t="s">
        <v>1220</v>
      </c>
      <c r="D518" s="4" t="s">
        <v>19</v>
      </c>
      <c r="E518" s="14">
        <v>112445</v>
      </c>
      <c r="F518" s="14">
        <v>16008725351</v>
      </c>
      <c r="G518" s="14">
        <v>517999882</v>
      </c>
      <c r="H518" s="28" t="s">
        <v>1457</v>
      </c>
      <c r="I518" s="28" t="s">
        <v>1457</v>
      </c>
      <c r="J518" s="3" t="s">
        <v>1458</v>
      </c>
      <c r="K518" s="15" t="s">
        <v>1456</v>
      </c>
      <c r="L518" s="25"/>
      <c r="N518" s="15" t="s">
        <v>1459</v>
      </c>
      <c r="P518" s="37" t="s">
        <v>25</v>
      </c>
    </row>
    <row r="519" spans="1:16">
      <c r="A519" s="14">
        <v>10785</v>
      </c>
      <c r="B519" s="14" t="s">
        <v>1460</v>
      </c>
      <c r="C519" s="3" t="s">
        <v>1220</v>
      </c>
      <c r="D519" s="4" t="s">
        <v>19</v>
      </c>
      <c r="E519" s="14">
        <v>112151</v>
      </c>
      <c r="F519" s="14">
        <v>15973056208</v>
      </c>
      <c r="G519" s="14">
        <v>517571302</v>
      </c>
      <c r="H519" s="28" t="s">
        <v>1461</v>
      </c>
      <c r="I519" s="28" t="s">
        <v>1461</v>
      </c>
      <c r="J519" s="3" t="s">
        <v>1462</v>
      </c>
      <c r="K519" s="15" t="s">
        <v>1460</v>
      </c>
      <c r="L519" s="25"/>
      <c r="N519" s="15" t="s">
        <v>1463</v>
      </c>
      <c r="P519" s="37" t="s">
        <v>25</v>
      </c>
    </row>
    <row r="520" spans="1:16">
      <c r="A520" s="14">
        <v>10786</v>
      </c>
      <c r="B520" s="14" t="s">
        <v>1464</v>
      </c>
      <c r="C520" s="3" t="s">
        <v>1220</v>
      </c>
      <c r="D520" s="4" t="s">
        <v>19</v>
      </c>
      <c r="E520" s="14">
        <v>112174</v>
      </c>
      <c r="F520" s="14">
        <v>15974349583</v>
      </c>
      <c r="G520" s="14">
        <v>517571289</v>
      </c>
      <c r="H520" s="28" t="s">
        <v>1465</v>
      </c>
      <c r="I520" s="28" t="s">
        <v>1465</v>
      </c>
      <c r="J520" s="3" t="s">
        <v>1466</v>
      </c>
      <c r="K520" s="15" t="s">
        <v>1464</v>
      </c>
      <c r="L520" s="25"/>
      <c r="N520" s="15" t="s">
        <v>1467</v>
      </c>
      <c r="P520" s="37" t="s">
        <v>25</v>
      </c>
    </row>
    <row r="521" spans="1:16">
      <c r="A521" s="14">
        <v>10787</v>
      </c>
      <c r="B521" s="14"/>
      <c r="C521" s="3" t="s">
        <v>1220</v>
      </c>
      <c r="E521" s="14"/>
      <c r="F521" s="14"/>
      <c r="G521" s="14"/>
      <c r="H521" s="28"/>
      <c r="I521" s="28"/>
      <c r="L521" s="25"/>
    </row>
    <row r="522" spans="1:16">
      <c r="A522" s="14">
        <v>10788</v>
      </c>
      <c r="B522" s="14"/>
      <c r="C522" s="3" t="s">
        <v>1220</v>
      </c>
      <c r="E522" s="14"/>
      <c r="F522" s="14"/>
      <c r="G522" s="14"/>
      <c r="H522" s="28"/>
      <c r="I522" s="28"/>
      <c r="L522" s="25"/>
    </row>
    <row r="523" spans="1:16">
      <c r="A523" s="14">
        <v>10789</v>
      </c>
      <c r="B523" s="14" t="s">
        <v>1468</v>
      </c>
      <c r="C523" s="3" t="s">
        <v>1220</v>
      </c>
      <c r="D523" s="4" t="s">
        <v>19</v>
      </c>
      <c r="E523" s="14">
        <v>112165</v>
      </c>
      <c r="F523" s="14">
        <v>15974340092</v>
      </c>
      <c r="G523" s="14">
        <v>517571287</v>
      </c>
      <c r="H523" s="28" t="s">
        <v>1469</v>
      </c>
      <c r="I523" s="28" t="s">
        <v>1469</v>
      </c>
      <c r="J523" s="3" t="s">
        <v>1470</v>
      </c>
      <c r="K523" s="15" t="s">
        <v>1468</v>
      </c>
      <c r="L523" s="25"/>
      <c r="N523" s="15" t="s">
        <v>1471</v>
      </c>
      <c r="P523" s="37" t="s">
        <v>25</v>
      </c>
    </row>
    <row r="524" spans="1:16">
      <c r="A524" s="14">
        <v>10790</v>
      </c>
      <c r="B524" s="14" t="s">
        <v>1472</v>
      </c>
      <c r="C524" s="3" t="s">
        <v>1220</v>
      </c>
      <c r="D524" s="4" t="s">
        <v>19</v>
      </c>
      <c r="E524" s="14">
        <v>112169</v>
      </c>
      <c r="F524" s="14">
        <v>15974341209</v>
      </c>
      <c r="G524" s="14">
        <v>517571281</v>
      </c>
      <c r="H524" s="28" t="s">
        <v>1473</v>
      </c>
      <c r="I524" s="28" t="s">
        <v>1473</v>
      </c>
      <c r="J524" s="3" t="s">
        <v>1474</v>
      </c>
      <c r="K524" s="15" t="s">
        <v>1472</v>
      </c>
      <c r="L524" s="25"/>
      <c r="N524" s="15" t="s">
        <v>1475</v>
      </c>
      <c r="P524" s="37" t="s">
        <v>25</v>
      </c>
    </row>
    <row r="525" spans="1:16">
      <c r="A525" s="14">
        <v>10791</v>
      </c>
      <c r="B525" s="14" t="s">
        <v>1476</v>
      </c>
      <c r="C525" s="3" t="s">
        <v>1220</v>
      </c>
      <c r="D525" s="4" t="s">
        <v>19</v>
      </c>
      <c r="E525" s="14">
        <v>112173</v>
      </c>
      <c r="F525" s="14">
        <v>15974346092</v>
      </c>
      <c r="G525" s="14">
        <v>517571280</v>
      </c>
      <c r="H525" s="28" t="s">
        <v>1477</v>
      </c>
      <c r="I525" s="28" t="s">
        <v>1477</v>
      </c>
      <c r="J525" s="3" t="s">
        <v>1478</v>
      </c>
      <c r="K525" s="15" t="s">
        <v>1476</v>
      </c>
      <c r="L525" s="25"/>
      <c r="N525" s="15" t="s">
        <v>1479</v>
      </c>
      <c r="P525" s="37" t="s">
        <v>25</v>
      </c>
    </row>
    <row r="526" spans="1:16">
      <c r="A526" s="14">
        <v>10792</v>
      </c>
      <c r="B526" s="14"/>
      <c r="C526" s="3" t="s">
        <v>1220</v>
      </c>
      <c r="E526" s="14"/>
      <c r="F526" s="14"/>
      <c r="G526" s="14"/>
      <c r="H526" s="28"/>
      <c r="I526" s="28"/>
      <c r="L526" s="25"/>
    </row>
    <row r="527" spans="1:16">
      <c r="A527" s="14">
        <v>10793</v>
      </c>
      <c r="B527" s="14"/>
      <c r="C527" s="3" t="s">
        <v>1220</v>
      </c>
      <c r="E527" s="14"/>
      <c r="F527" s="14"/>
      <c r="G527" s="14"/>
      <c r="H527" s="28"/>
      <c r="I527" s="28"/>
      <c r="L527" s="25"/>
    </row>
    <row r="528" spans="1:16">
      <c r="A528" s="14">
        <v>10794</v>
      </c>
      <c r="B528" s="14" t="s">
        <v>1480</v>
      </c>
      <c r="C528" s="3" t="s">
        <v>1220</v>
      </c>
      <c r="D528" s="4" t="s">
        <v>19</v>
      </c>
      <c r="E528" s="14">
        <v>108209</v>
      </c>
      <c r="F528" s="14">
        <v>13409964981</v>
      </c>
      <c r="G528" s="14">
        <v>483305703</v>
      </c>
      <c r="H528" s="28" t="s">
        <v>1481</v>
      </c>
      <c r="I528" s="28" t="s">
        <v>1481</v>
      </c>
      <c r="J528" s="3" t="s">
        <v>1482</v>
      </c>
      <c r="K528" s="15" t="s">
        <v>1480</v>
      </c>
      <c r="L528" s="25"/>
      <c r="N528" s="15" t="s">
        <v>1483</v>
      </c>
      <c r="P528" s="37" t="s">
        <v>25</v>
      </c>
    </row>
    <row r="529" spans="1:16">
      <c r="A529" s="14">
        <v>10795</v>
      </c>
      <c r="B529" s="14" t="s">
        <v>1484</v>
      </c>
      <c r="C529" s="3" t="s">
        <v>1220</v>
      </c>
      <c r="D529" s="4" t="s">
        <v>19</v>
      </c>
      <c r="E529" s="14">
        <v>112467</v>
      </c>
      <c r="F529" s="14">
        <v>16008804463</v>
      </c>
      <c r="G529" s="14">
        <v>517999858</v>
      </c>
      <c r="H529" s="28" t="s">
        <v>1485</v>
      </c>
      <c r="I529" s="28" t="s">
        <v>1485</v>
      </c>
      <c r="J529" s="3" t="s">
        <v>1486</v>
      </c>
      <c r="K529" s="15" t="s">
        <v>1484</v>
      </c>
      <c r="L529" s="25"/>
      <c r="N529" s="15" t="s">
        <v>1487</v>
      </c>
      <c r="P529" s="37" t="s">
        <v>25</v>
      </c>
    </row>
    <row r="530" spans="1:16">
      <c r="A530" s="14">
        <v>10796</v>
      </c>
      <c r="B530" s="14" t="s">
        <v>1488</v>
      </c>
      <c r="C530" s="3" t="s">
        <v>1220</v>
      </c>
      <c r="D530" s="4" t="s">
        <v>19</v>
      </c>
      <c r="E530" s="14">
        <v>112205</v>
      </c>
      <c r="F530" s="14">
        <v>15979331354</v>
      </c>
      <c r="G530" s="14">
        <v>517637410</v>
      </c>
      <c r="H530" s="28" t="s">
        <v>1489</v>
      </c>
      <c r="I530" s="28" t="s">
        <v>1489</v>
      </c>
      <c r="J530" s="3" t="s">
        <v>1490</v>
      </c>
      <c r="K530" s="15" t="s">
        <v>1488</v>
      </c>
      <c r="L530" s="25"/>
      <c r="N530" s="15" t="s">
        <v>1491</v>
      </c>
      <c r="P530" s="37" t="s">
        <v>25</v>
      </c>
    </row>
    <row r="531" spans="1:16">
      <c r="A531" s="14">
        <v>10797</v>
      </c>
      <c r="B531" s="14" t="s">
        <v>1492</v>
      </c>
      <c r="C531" s="3" t="s">
        <v>1220</v>
      </c>
      <c r="D531" s="4" t="s">
        <v>19</v>
      </c>
      <c r="E531" s="14">
        <v>112201</v>
      </c>
      <c r="F531" s="14">
        <v>15979327552</v>
      </c>
      <c r="G531" s="14">
        <v>517637398</v>
      </c>
      <c r="H531" s="28" t="s">
        <v>1493</v>
      </c>
      <c r="I531" s="28" t="s">
        <v>1493</v>
      </c>
      <c r="J531" s="3" t="s">
        <v>1494</v>
      </c>
      <c r="K531" s="15" t="s">
        <v>1492</v>
      </c>
      <c r="L531" s="25"/>
      <c r="N531" s="15" t="s">
        <v>1495</v>
      </c>
      <c r="P531" s="37" t="s">
        <v>25</v>
      </c>
    </row>
    <row r="532" spans="1:16">
      <c r="A532" s="14">
        <v>10798</v>
      </c>
      <c r="B532" s="14" t="s">
        <v>1496</v>
      </c>
      <c r="C532" s="3" t="s">
        <v>1220</v>
      </c>
      <c r="D532" s="4" t="s">
        <v>19</v>
      </c>
      <c r="E532" s="14">
        <v>112190</v>
      </c>
      <c r="F532" s="14">
        <v>15979309288</v>
      </c>
      <c r="G532" s="14">
        <v>517638270</v>
      </c>
      <c r="H532" s="28" t="s">
        <v>1497</v>
      </c>
      <c r="I532" s="28" t="s">
        <v>1497</v>
      </c>
      <c r="J532" s="3" t="s">
        <v>1498</v>
      </c>
      <c r="K532" s="15" t="s">
        <v>1496</v>
      </c>
      <c r="L532" s="25"/>
      <c r="N532" s="15" t="s">
        <v>1499</v>
      </c>
      <c r="P532" s="37" t="s">
        <v>25</v>
      </c>
    </row>
    <row r="533" spans="1:16">
      <c r="A533" s="14">
        <v>10799</v>
      </c>
      <c r="B533" s="14" t="s">
        <v>1500</v>
      </c>
      <c r="C533" s="3" t="s">
        <v>1220</v>
      </c>
      <c r="D533" s="4" t="s">
        <v>19</v>
      </c>
      <c r="E533" s="14">
        <v>110053</v>
      </c>
      <c r="F533" s="14">
        <v>14742696104</v>
      </c>
      <c r="G533" s="14">
        <v>501459314</v>
      </c>
      <c r="H533" s="28" t="s">
        <v>1501</v>
      </c>
      <c r="I533" s="28" t="s">
        <v>1501</v>
      </c>
      <c r="J533" s="3" t="s">
        <v>1502</v>
      </c>
      <c r="K533" s="15" t="s">
        <v>1500</v>
      </c>
      <c r="L533" s="25"/>
      <c r="N533" s="15" t="s">
        <v>1503</v>
      </c>
      <c r="P533" s="37" t="s">
        <v>25</v>
      </c>
    </row>
    <row r="534" spans="1:16">
      <c r="A534" s="14">
        <v>10800</v>
      </c>
      <c r="B534" s="14"/>
      <c r="C534" s="3" t="s">
        <v>1220</v>
      </c>
      <c r="E534" s="14"/>
      <c r="F534" s="14"/>
      <c r="G534" s="14"/>
      <c r="H534" s="28"/>
      <c r="I534" s="28"/>
      <c r="L534" s="25"/>
    </row>
    <row r="535" spans="1:16">
      <c r="A535" s="14">
        <v>10801</v>
      </c>
      <c r="B535" s="14"/>
      <c r="C535" s="3" t="s">
        <v>1220</v>
      </c>
      <c r="E535" s="14"/>
      <c r="F535" s="14"/>
      <c r="G535" s="14"/>
      <c r="H535" s="28"/>
      <c r="I535" s="28"/>
      <c r="L535" s="25"/>
    </row>
    <row r="536" spans="1:16">
      <c r="A536" s="14">
        <v>10802</v>
      </c>
      <c r="B536" s="14" t="s">
        <v>1504</v>
      </c>
      <c r="C536" s="3" t="s">
        <v>1220</v>
      </c>
      <c r="D536" s="4" t="s">
        <v>19</v>
      </c>
      <c r="E536" s="14">
        <v>112416</v>
      </c>
      <c r="F536" s="14">
        <v>16004009511</v>
      </c>
      <c r="G536" s="14">
        <v>517938948</v>
      </c>
      <c r="H536" s="28" t="s">
        <v>1505</v>
      </c>
      <c r="I536" s="28" t="s">
        <v>1505</v>
      </c>
      <c r="J536" s="3" t="s">
        <v>1506</v>
      </c>
      <c r="K536" s="15" t="s">
        <v>1504</v>
      </c>
      <c r="L536" s="25"/>
      <c r="N536" s="15" t="s">
        <v>1507</v>
      </c>
      <c r="P536" s="37" t="s">
        <v>25</v>
      </c>
    </row>
    <row r="537" spans="1:16">
      <c r="A537" s="14">
        <v>10803</v>
      </c>
      <c r="B537" s="14" t="s">
        <v>1508</v>
      </c>
      <c r="C537" s="3" t="s">
        <v>1220</v>
      </c>
      <c r="D537" s="4" t="s">
        <v>19</v>
      </c>
      <c r="E537" s="14">
        <v>109460</v>
      </c>
      <c r="F537" s="14">
        <v>14295502213</v>
      </c>
      <c r="G537" s="14">
        <v>495621157</v>
      </c>
      <c r="H537" s="28" t="s">
        <v>1509</v>
      </c>
      <c r="I537" s="28" t="s">
        <v>1509</v>
      </c>
      <c r="J537" s="3" t="s">
        <v>1510</v>
      </c>
      <c r="K537" s="15" t="s">
        <v>1508</v>
      </c>
      <c r="L537" s="25"/>
      <c r="N537" s="15" t="s">
        <v>1511</v>
      </c>
      <c r="P537" s="37" t="s">
        <v>25</v>
      </c>
    </row>
    <row r="538" spans="1:16">
      <c r="A538" s="14">
        <v>10804</v>
      </c>
      <c r="B538" s="14" t="s">
        <v>1512</v>
      </c>
      <c r="C538" s="3" t="s">
        <v>1220</v>
      </c>
      <c r="D538" s="4" t="s">
        <v>19</v>
      </c>
      <c r="E538" s="14">
        <v>109514</v>
      </c>
      <c r="F538" s="14">
        <v>14295566308</v>
      </c>
      <c r="G538" s="14">
        <v>495621084</v>
      </c>
      <c r="H538" s="28" t="s">
        <v>1513</v>
      </c>
      <c r="I538" s="28" t="s">
        <v>1513</v>
      </c>
      <c r="J538" s="3" t="s">
        <v>1514</v>
      </c>
      <c r="K538" s="15" t="s">
        <v>1512</v>
      </c>
      <c r="L538" s="25"/>
      <c r="N538" s="15" t="s">
        <v>1515</v>
      </c>
      <c r="P538" s="37" t="s">
        <v>25</v>
      </c>
    </row>
    <row r="539" spans="1:16">
      <c r="A539" s="14">
        <v>10805</v>
      </c>
      <c r="B539" s="14"/>
      <c r="C539" s="3" t="s">
        <v>1220</v>
      </c>
      <c r="E539" s="14"/>
      <c r="F539" s="14"/>
      <c r="G539" s="14"/>
      <c r="H539" s="28"/>
      <c r="I539" s="28"/>
      <c r="L539" s="25"/>
    </row>
    <row r="540" spans="1:16">
      <c r="A540" s="14">
        <v>10806</v>
      </c>
      <c r="B540" s="14" t="s">
        <v>1516</v>
      </c>
      <c r="C540" s="3" t="s">
        <v>1220</v>
      </c>
      <c r="D540" s="4" t="s">
        <v>19</v>
      </c>
      <c r="E540" s="14">
        <v>109544</v>
      </c>
      <c r="F540" s="14">
        <v>14295674927</v>
      </c>
      <c r="G540" s="14">
        <v>495621059</v>
      </c>
      <c r="H540" s="28" t="s">
        <v>1517</v>
      </c>
      <c r="I540" s="28" t="s">
        <v>1517</v>
      </c>
      <c r="J540" s="3" t="s">
        <v>1518</v>
      </c>
      <c r="K540" s="15" t="s">
        <v>1516</v>
      </c>
      <c r="L540" s="25"/>
      <c r="N540" s="15" t="s">
        <v>1519</v>
      </c>
      <c r="P540" s="37" t="s">
        <v>25</v>
      </c>
    </row>
    <row r="541" spans="1:16">
      <c r="A541" s="14">
        <v>10807</v>
      </c>
      <c r="B541" s="14" t="s">
        <v>1520</v>
      </c>
      <c r="C541" s="3" t="s">
        <v>1220</v>
      </c>
      <c r="D541" s="4" t="s">
        <v>19</v>
      </c>
      <c r="E541" s="14">
        <v>112368</v>
      </c>
      <c r="F541" s="14">
        <v>15998809021</v>
      </c>
      <c r="G541" s="14">
        <v>517878574</v>
      </c>
      <c r="H541" s="28" t="s">
        <v>1521</v>
      </c>
      <c r="I541" s="28" t="s">
        <v>1521</v>
      </c>
      <c r="J541" s="3" t="s">
        <v>1522</v>
      </c>
      <c r="K541" s="15" t="s">
        <v>1520</v>
      </c>
      <c r="L541" s="25"/>
      <c r="N541" s="15" t="s">
        <v>1523</v>
      </c>
      <c r="P541" s="37" t="s">
        <v>25</v>
      </c>
    </row>
    <row r="542" spans="1:16">
      <c r="A542" s="14">
        <v>10808</v>
      </c>
      <c r="B542" s="14" t="s">
        <v>1524</v>
      </c>
      <c r="C542" s="3" t="s">
        <v>1220</v>
      </c>
      <c r="D542" s="4" t="s">
        <v>19</v>
      </c>
      <c r="E542" s="14">
        <v>112367</v>
      </c>
      <c r="F542" s="14">
        <v>15998709759</v>
      </c>
      <c r="G542" s="14">
        <v>517878620</v>
      </c>
      <c r="H542" s="28" t="s">
        <v>1525</v>
      </c>
      <c r="I542" s="28" t="s">
        <v>1525</v>
      </c>
      <c r="J542" s="3" t="s">
        <v>1526</v>
      </c>
      <c r="K542" s="15" t="s">
        <v>1524</v>
      </c>
      <c r="L542" s="25"/>
      <c r="N542" s="15" t="s">
        <v>1527</v>
      </c>
      <c r="P542" s="37" t="s">
        <v>25</v>
      </c>
    </row>
    <row r="543" spans="1:16">
      <c r="A543" s="14">
        <v>10809</v>
      </c>
      <c r="B543" s="14" t="s">
        <v>1528</v>
      </c>
      <c r="C543" s="3" t="s">
        <v>1220</v>
      </c>
      <c r="D543" s="4" t="s">
        <v>19</v>
      </c>
      <c r="E543" s="14">
        <v>109445</v>
      </c>
      <c r="F543" s="14">
        <v>14295410180</v>
      </c>
      <c r="G543" s="14">
        <v>495621135</v>
      </c>
      <c r="H543" s="28" t="s">
        <v>1529</v>
      </c>
      <c r="I543" s="28" t="s">
        <v>1529</v>
      </c>
      <c r="J543" s="3" t="s">
        <v>1530</v>
      </c>
      <c r="K543" s="15" t="s">
        <v>1528</v>
      </c>
      <c r="L543" s="25"/>
      <c r="N543" s="15" t="s">
        <v>1531</v>
      </c>
      <c r="P543" s="37" t="s">
        <v>25</v>
      </c>
    </row>
    <row r="544" spans="1:16">
      <c r="A544" s="14">
        <v>10810</v>
      </c>
      <c r="B544" s="14" t="s">
        <v>1532</v>
      </c>
      <c r="C544" s="3" t="s">
        <v>1220</v>
      </c>
      <c r="D544" s="4" t="s">
        <v>19</v>
      </c>
      <c r="E544" s="14">
        <v>95945</v>
      </c>
      <c r="F544" s="14">
        <v>8011826044</v>
      </c>
      <c r="G544" s="14">
        <v>495621150</v>
      </c>
      <c r="H544" s="28" t="s">
        <v>1533</v>
      </c>
      <c r="I544" s="28" t="s">
        <v>1533</v>
      </c>
      <c r="J544" s="3" t="s">
        <v>1534</v>
      </c>
      <c r="K544" s="15" t="s">
        <v>1532</v>
      </c>
      <c r="L544" s="25"/>
      <c r="N544" s="15" t="s">
        <v>1535</v>
      </c>
      <c r="P544" s="37" t="s">
        <v>25</v>
      </c>
    </row>
    <row r="545" spans="1:16">
      <c r="A545" s="14">
        <v>10811</v>
      </c>
      <c r="B545" s="14"/>
      <c r="C545" s="3" t="s">
        <v>1220</v>
      </c>
      <c r="E545" s="14"/>
      <c r="F545" s="14"/>
      <c r="G545" s="14"/>
      <c r="H545" s="28"/>
      <c r="I545" s="28"/>
      <c r="L545" s="25"/>
    </row>
    <row r="546" spans="1:16">
      <c r="A546" s="14">
        <v>10812</v>
      </c>
      <c r="B546" s="14"/>
      <c r="C546" s="3" t="s">
        <v>1220</v>
      </c>
      <c r="E546" s="14"/>
      <c r="F546" s="14"/>
      <c r="G546" s="14"/>
      <c r="H546" s="28"/>
      <c r="I546" s="28"/>
      <c r="L546" s="25"/>
    </row>
    <row r="547" spans="1:16">
      <c r="A547" s="14">
        <v>10813</v>
      </c>
      <c r="B547" s="14" t="s">
        <v>1536</v>
      </c>
      <c r="C547" s="3" t="s">
        <v>1220</v>
      </c>
      <c r="D547" s="4" t="s">
        <v>19</v>
      </c>
      <c r="E547" s="14">
        <v>112058</v>
      </c>
      <c r="F547" s="14">
        <v>15876568956</v>
      </c>
      <c r="G547" s="14">
        <v>516172489</v>
      </c>
      <c r="H547" s="28" t="s">
        <v>1537</v>
      </c>
      <c r="I547" s="28" t="s">
        <v>1537</v>
      </c>
      <c r="J547" s="3" t="s">
        <v>1538</v>
      </c>
      <c r="K547" s="15" t="s">
        <v>1536</v>
      </c>
      <c r="L547" s="25"/>
      <c r="N547" s="15" t="s">
        <v>1539</v>
      </c>
      <c r="P547" s="37" t="s">
        <v>25</v>
      </c>
    </row>
    <row r="548" spans="1:16">
      <c r="A548" s="14">
        <v>10814</v>
      </c>
      <c r="B548" s="14" t="s">
        <v>1540</v>
      </c>
      <c r="C548" s="3" t="s">
        <v>1220</v>
      </c>
      <c r="D548" s="4" t="s">
        <v>19</v>
      </c>
      <c r="E548" s="14">
        <v>110072</v>
      </c>
      <c r="F548" s="14">
        <v>14742749551</v>
      </c>
      <c r="G548" s="14">
        <v>501459334</v>
      </c>
      <c r="H548" s="28" t="s">
        <v>1541</v>
      </c>
      <c r="I548" s="28" t="s">
        <v>1541</v>
      </c>
      <c r="J548" s="3" t="s">
        <v>1542</v>
      </c>
      <c r="K548" s="15" t="s">
        <v>1540</v>
      </c>
      <c r="L548" s="25"/>
      <c r="N548" s="15" t="s">
        <v>1543</v>
      </c>
      <c r="P548" s="37" t="s">
        <v>25</v>
      </c>
    </row>
    <row r="549" spans="1:16">
      <c r="A549" s="14">
        <v>10815</v>
      </c>
      <c r="B549" s="14" t="s">
        <v>1544</v>
      </c>
      <c r="C549" s="3" t="s">
        <v>1220</v>
      </c>
      <c r="D549" s="4" t="s">
        <v>19</v>
      </c>
      <c r="E549" s="14">
        <v>109485</v>
      </c>
      <c r="F549" s="14">
        <v>14295541152</v>
      </c>
      <c r="G549" s="14">
        <v>495621188</v>
      </c>
      <c r="H549" s="28" t="s">
        <v>1545</v>
      </c>
      <c r="I549" s="28" t="s">
        <v>1545</v>
      </c>
      <c r="J549" s="3" t="s">
        <v>1546</v>
      </c>
      <c r="K549" s="15" t="s">
        <v>1544</v>
      </c>
      <c r="L549" s="25"/>
      <c r="N549" s="15" t="s">
        <v>1547</v>
      </c>
      <c r="P549" s="37" t="s">
        <v>25</v>
      </c>
    </row>
    <row r="550" spans="1:16">
      <c r="A550" s="14">
        <v>10816</v>
      </c>
      <c r="B550" s="14"/>
      <c r="C550" s="3" t="s">
        <v>1220</v>
      </c>
      <c r="E550" s="14"/>
      <c r="F550" s="14"/>
      <c r="G550" s="14"/>
      <c r="H550" s="28"/>
      <c r="I550" s="28"/>
      <c r="L550" s="25"/>
    </row>
    <row r="551" spans="1:16">
      <c r="A551" s="14">
        <v>10817</v>
      </c>
      <c r="B551" s="14"/>
      <c r="C551" s="3" t="s">
        <v>1220</v>
      </c>
      <c r="E551" s="14"/>
      <c r="F551" s="14"/>
      <c r="G551" s="14"/>
      <c r="H551" s="28"/>
      <c r="I551" s="28"/>
      <c r="L551" s="25"/>
    </row>
    <row r="552" spans="1:16">
      <c r="A552" s="14">
        <v>10818</v>
      </c>
      <c r="B552" s="14" t="s">
        <v>1548</v>
      </c>
      <c r="C552" s="3" t="s">
        <v>1220</v>
      </c>
      <c r="D552" s="4" t="s">
        <v>19</v>
      </c>
      <c r="E552" s="14">
        <v>109543</v>
      </c>
      <c r="F552" s="14">
        <v>14295673282</v>
      </c>
      <c r="G552" s="14">
        <v>495621229</v>
      </c>
      <c r="H552" s="28" t="s">
        <v>1549</v>
      </c>
      <c r="I552" s="28" t="s">
        <v>1549</v>
      </c>
      <c r="J552" s="3" t="s">
        <v>1550</v>
      </c>
      <c r="K552" s="15" t="s">
        <v>1548</v>
      </c>
      <c r="L552" s="25"/>
      <c r="N552" s="15" t="s">
        <v>1551</v>
      </c>
      <c r="P552" s="37" t="s">
        <v>25</v>
      </c>
    </row>
    <row r="553" spans="1:16">
      <c r="A553" s="14">
        <v>10819</v>
      </c>
      <c r="B553" s="14" t="s">
        <v>1552</v>
      </c>
      <c r="C553" s="3" t="s">
        <v>1220</v>
      </c>
      <c r="D553" s="4" t="s">
        <v>19</v>
      </c>
      <c r="E553" s="14">
        <v>110054</v>
      </c>
      <c r="F553" s="14">
        <v>14742696850</v>
      </c>
      <c r="G553" s="14">
        <v>501459327</v>
      </c>
      <c r="H553" s="28" t="s">
        <v>1553</v>
      </c>
      <c r="I553" s="28" t="s">
        <v>1553</v>
      </c>
      <c r="J553" s="3" t="s">
        <v>1554</v>
      </c>
      <c r="K553" s="15" t="s">
        <v>1552</v>
      </c>
      <c r="L553" s="25"/>
      <c r="N553" s="15" t="s">
        <v>1555</v>
      </c>
      <c r="P553" s="37" t="s">
        <v>25</v>
      </c>
    </row>
    <row r="554" spans="1:16">
      <c r="A554" s="14">
        <v>10820</v>
      </c>
      <c r="B554" s="14" t="s">
        <v>1556</v>
      </c>
      <c r="C554" s="3" t="s">
        <v>1220</v>
      </c>
      <c r="D554" s="4" t="s">
        <v>19</v>
      </c>
      <c r="E554" s="14">
        <v>109469</v>
      </c>
      <c r="F554" s="14">
        <v>14295521367</v>
      </c>
      <c r="G554" s="14">
        <v>495621124</v>
      </c>
      <c r="H554" s="28" t="s">
        <v>1557</v>
      </c>
      <c r="I554" s="28" t="s">
        <v>1557</v>
      </c>
      <c r="J554" s="3" t="s">
        <v>1558</v>
      </c>
      <c r="K554" s="15" t="s">
        <v>1556</v>
      </c>
      <c r="L554" s="25"/>
      <c r="N554" s="15" t="s">
        <v>1559</v>
      </c>
      <c r="P554" s="37" t="s">
        <v>25</v>
      </c>
    </row>
    <row r="555" spans="1:16">
      <c r="A555" s="14">
        <v>10821</v>
      </c>
      <c r="B555" s="14" t="s">
        <v>1560</v>
      </c>
      <c r="C555" s="3" t="s">
        <v>1220</v>
      </c>
      <c r="D555" s="4" t="s">
        <v>19</v>
      </c>
      <c r="E555" s="14">
        <v>112216</v>
      </c>
      <c r="F555" s="14">
        <v>15979418879</v>
      </c>
      <c r="G555" s="14">
        <v>517637415</v>
      </c>
      <c r="H555" s="28" t="s">
        <v>1561</v>
      </c>
      <c r="I555" s="28" t="s">
        <v>1561</v>
      </c>
      <c r="J555" s="3" t="s">
        <v>1562</v>
      </c>
      <c r="K555" s="15" t="s">
        <v>1560</v>
      </c>
      <c r="L555" s="25"/>
      <c r="N555" s="15" t="s">
        <v>1563</v>
      </c>
      <c r="P555" s="37" t="s">
        <v>25</v>
      </c>
    </row>
    <row r="556" spans="1:16">
      <c r="A556" s="14">
        <v>10822</v>
      </c>
      <c r="B556" s="14" t="s">
        <v>1564</v>
      </c>
      <c r="C556" s="3" t="s">
        <v>1220</v>
      </c>
      <c r="D556" s="4" t="s">
        <v>19</v>
      </c>
      <c r="E556" s="14">
        <v>109515</v>
      </c>
      <c r="F556" s="14">
        <v>14295567136</v>
      </c>
      <c r="G556" s="14">
        <v>517938457</v>
      </c>
      <c r="H556" s="28" t="s">
        <v>1565</v>
      </c>
      <c r="I556" s="28" t="s">
        <v>1565</v>
      </c>
      <c r="J556" s="3" t="s">
        <v>1566</v>
      </c>
      <c r="K556" s="15" t="s">
        <v>1564</v>
      </c>
      <c r="L556" s="25"/>
      <c r="N556" s="15" t="s">
        <v>1567</v>
      </c>
      <c r="P556" s="37" t="s">
        <v>25</v>
      </c>
    </row>
    <row r="557" spans="1:16">
      <c r="A557" s="14">
        <v>10823</v>
      </c>
      <c r="B557" s="14" t="s">
        <v>1568</v>
      </c>
      <c r="C557" s="3" t="s">
        <v>1220</v>
      </c>
      <c r="D557" s="4" t="s">
        <v>19</v>
      </c>
      <c r="E557" s="14">
        <v>109447</v>
      </c>
      <c r="F557" s="14">
        <v>14295420576</v>
      </c>
      <c r="G557" s="14">
        <v>495621201</v>
      </c>
      <c r="H557" s="28" t="s">
        <v>1569</v>
      </c>
      <c r="I557" s="28" t="s">
        <v>1569</v>
      </c>
      <c r="J557" s="3" t="s">
        <v>1570</v>
      </c>
      <c r="K557" s="15" t="s">
        <v>1568</v>
      </c>
      <c r="L557" s="25"/>
      <c r="N557" s="15" t="s">
        <v>1571</v>
      </c>
      <c r="P557" s="37" t="s">
        <v>25</v>
      </c>
    </row>
    <row r="558" spans="1:16">
      <c r="A558" s="14">
        <v>10824</v>
      </c>
      <c r="B558" s="14" t="s">
        <v>1572</v>
      </c>
      <c r="C558" s="3" t="s">
        <v>1220</v>
      </c>
      <c r="D558" s="4" t="s">
        <v>19</v>
      </c>
      <c r="E558" s="14">
        <v>112225</v>
      </c>
      <c r="F558" s="14">
        <v>15980241837</v>
      </c>
      <c r="G558" s="14">
        <v>517637588</v>
      </c>
      <c r="H558" s="28" t="s">
        <v>1573</v>
      </c>
      <c r="I558" s="28" t="s">
        <v>1573</v>
      </c>
      <c r="J558" s="3" t="s">
        <v>1574</v>
      </c>
      <c r="K558" s="15" t="s">
        <v>1572</v>
      </c>
      <c r="L558" s="25"/>
      <c r="N558" s="15" t="s">
        <v>1575</v>
      </c>
      <c r="P558" s="37" t="s">
        <v>25</v>
      </c>
    </row>
    <row r="559" spans="1:16">
      <c r="A559" s="14">
        <v>10825</v>
      </c>
      <c r="B559" s="14"/>
      <c r="C559" s="3" t="s">
        <v>1220</v>
      </c>
      <c r="E559" s="14"/>
      <c r="F559" s="14"/>
      <c r="G559" s="14"/>
      <c r="H559" s="28"/>
      <c r="I559" s="28"/>
      <c r="L559" s="25"/>
    </row>
    <row r="560" spans="1:16">
      <c r="A560" s="14">
        <v>10826</v>
      </c>
      <c r="B560" s="14"/>
      <c r="C560" s="3" t="s">
        <v>1220</v>
      </c>
      <c r="E560" s="14"/>
      <c r="F560" s="14"/>
      <c r="G560" s="14"/>
      <c r="H560" s="28"/>
      <c r="I560" s="28"/>
      <c r="L560" s="25"/>
    </row>
    <row r="561" spans="1:16">
      <c r="A561" s="14">
        <v>10827</v>
      </c>
      <c r="B561" s="14" t="s">
        <v>1576</v>
      </c>
      <c r="C561" s="3" t="s">
        <v>1220</v>
      </c>
      <c r="D561" s="4" t="s">
        <v>19</v>
      </c>
      <c r="E561" s="14">
        <v>112171</v>
      </c>
      <c r="F561" s="14">
        <v>15974343061</v>
      </c>
      <c r="G561" s="14">
        <v>517571270</v>
      </c>
      <c r="H561" s="28" t="s">
        <v>1577</v>
      </c>
      <c r="I561" s="28" t="s">
        <v>1577</v>
      </c>
      <c r="J561" s="3" t="s">
        <v>1578</v>
      </c>
      <c r="K561" s="15" t="s">
        <v>1576</v>
      </c>
      <c r="L561" s="25"/>
      <c r="N561" s="15" t="s">
        <v>1579</v>
      </c>
      <c r="P561" s="37" t="s">
        <v>25</v>
      </c>
    </row>
    <row r="562" spans="1:16">
      <c r="A562" s="14">
        <v>10828</v>
      </c>
      <c r="B562" s="14" t="s">
        <v>1580</v>
      </c>
      <c r="C562" s="3" t="s">
        <v>1220</v>
      </c>
      <c r="D562" s="4" t="s">
        <v>19</v>
      </c>
      <c r="E562" s="14">
        <v>112213</v>
      </c>
      <c r="F562" s="14">
        <v>15979381864</v>
      </c>
      <c r="G562" s="14">
        <v>517637393</v>
      </c>
      <c r="H562" s="28" t="s">
        <v>1581</v>
      </c>
      <c r="I562" s="28" t="s">
        <v>1581</v>
      </c>
      <c r="J562" s="3" t="s">
        <v>1582</v>
      </c>
      <c r="K562" s="15" t="s">
        <v>1580</v>
      </c>
      <c r="L562" s="25"/>
      <c r="N562" s="15" t="s">
        <v>1583</v>
      </c>
      <c r="P562" s="37" t="s">
        <v>25</v>
      </c>
    </row>
    <row r="563" spans="1:16">
      <c r="A563" s="14">
        <v>10829</v>
      </c>
      <c r="B563" s="14"/>
      <c r="C563" s="3" t="s">
        <v>1220</v>
      </c>
      <c r="E563" s="14"/>
      <c r="F563" s="14"/>
      <c r="G563" s="14"/>
      <c r="H563" s="28"/>
      <c r="I563" s="28"/>
      <c r="L563" s="25"/>
    </row>
    <row r="564" spans="1:16">
      <c r="A564" s="14">
        <v>10830</v>
      </c>
      <c r="B564" s="14"/>
      <c r="C564" s="3" t="s">
        <v>1220</v>
      </c>
      <c r="E564" s="14"/>
      <c r="F564" s="14"/>
      <c r="G564" s="14"/>
      <c r="H564" s="28"/>
      <c r="I564" s="28"/>
      <c r="L564" s="25"/>
    </row>
    <row r="565" spans="1:16">
      <c r="A565" s="14">
        <v>10831</v>
      </c>
      <c r="B565" s="14" t="s">
        <v>1584</v>
      </c>
      <c r="C565" s="3" t="s">
        <v>1220</v>
      </c>
      <c r="D565" s="4" t="s">
        <v>19</v>
      </c>
      <c r="E565" s="14">
        <v>112402</v>
      </c>
      <c r="F565" s="14">
        <v>16003769716</v>
      </c>
      <c r="G565" s="14">
        <v>517938472</v>
      </c>
      <c r="H565" s="28" t="s">
        <v>1585</v>
      </c>
      <c r="I565" s="28" t="s">
        <v>1585</v>
      </c>
      <c r="J565" s="3" t="s">
        <v>1586</v>
      </c>
      <c r="K565" s="15" t="s">
        <v>1584</v>
      </c>
      <c r="L565" s="25"/>
      <c r="N565" s="15" t="s">
        <v>1587</v>
      </c>
      <c r="P565" s="37" t="s">
        <v>25</v>
      </c>
    </row>
    <row r="566" spans="1:16">
      <c r="A566" s="14">
        <v>10832</v>
      </c>
      <c r="B566" s="14" t="s">
        <v>1588</v>
      </c>
      <c r="C566" s="3" t="s">
        <v>1220</v>
      </c>
      <c r="D566" s="4" t="s">
        <v>19</v>
      </c>
      <c r="E566" s="14">
        <v>109504</v>
      </c>
      <c r="F566" s="14">
        <v>14295555257</v>
      </c>
      <c r="G566" s="14">
        <v>495621144</v>
      </c>
      <c r="H566" s="28" t="s">
        <v>1589</v>
      </c>
      <c r="I566" s="28" t="s">
        <v>1589</v>
      </c>
      <c r="J566" s="3" t="s">
        <v>1590</v>
      </c>
      <c r="K566" s="15" t="s">
        <v>1588</v>
      </c>
      <c r="L566" s="25"/>
      <c r="N566" s="15" t="s">
        <v>1591</v>
      </c>
      <c r="P566" s="37" t="s">
        <v>25</v>
      </c>
    </row>
    <row r="567" spans="1:16">
      <c r="A567" s="14">
        <v>10833</v>
      </c>
      <c r="B567" s="14" t="s">
        <v>1592</v>
      </c>
      <c r="C567" s="3" t="s">
        <v>1220</v>
      </c>
      <c r="D567" s="4" t="s">
        <v>19</v>
      </c>
      <c r="E567" s="14">
        <v>109548</v>
      </c>
      <c r="F567" s="14">
        <v>14295692609</v>
      </c>
      <c r="G567" s="14">
        <v>495621220</v>
      </c>
      <c r="H567" s="28" t="s">
        <v>1593</v>
      </c>
      <c r="I567" s="28" t="s">
        <v>1593</v>
      </c>
      <c r="J567" s="3" t="s">
        <v>1594</v>
      </c>
      <c r="K567" s="15" t="s">
        <v>1592</v>
      </c>
      <c r="L567" s="25"/>
      <c r="N567" s="15" t="s">
        <v>1595</v>
      </c>
      <c r="P567" s="37" t="s">
        <v>25</v>
      </c>
    </row>
    <row r="568" spans="1:16">
      <c r="A568" s="14">
        <v>10834</v>
      </c>
      <c r="B568" s="14"/>
      <c r="C568" s="3" t="s">
        <v>1220</v>
      </c>
      <c r="E568" s="14"/>
      <c r="F568" s="14"/>
      <c r="G568" s="14"/>
      <c r="H568" s="28"/>
      <c r="I568" s="28"/>
      <c r="L568" s="25"/>
    </row>
    <row r="569" spans="1:16">
      <c r="A569" s="14">
        <v>10835</v>
      </c>
      <c r="B569" s="14"/>
      <c r="C569" s="3" t="s">
        <v>1220</v>
      </c>
      <c r="E569" s="14"/>
      <c r="F569" s="14"/>
      <c r="G569" s="14"/>
      <c r="H569" s="28"/>
      <c r="I569" s="28"/>
      <c r="L569" s="25"/>
    </row>
    <row r="570" spans="1:16">
      <c r="A570" s="14">
        <v>10836</v>
      </c>
      <c r="B570" s="14" t="s">
        <v>1596</v>
      </c>
      <c r="C570" s="3" t="s">
        <v>1220</v>
      </c>
      <c r="D570" s="4" t="s">
        <v>19</v>
      </c>
      <c r="E570" s="14">
        <v>109546</v>
      </c>
      <c r="F570" s="14">
        <v>14295682279</v>
      </c>
      <c r="G570" s="14">
        <v>495621077</v>
      </c>
      <c r="H570" s="28" t="s">
        <v>1597</v>
      </c>
      <c r="I570" s="28" t="s">
        <v>1597</v>
      </c>
      <c r="J570" s="3" t="s">
        <v>1598</v>
      </c>
      <c r="K570" s="15" t="s">
        <v>1596</v>
      </c>
      <c r="L570" s="25"/>
      <c r="N570" s="15" t="s">
        <v>1599</v>
      </c>
      <c r="P570" s="37" t="s">
        <v>25</v>
      </c>
    </row>
    <row r="571" spans="1:16">
      <c r="A571" s="14">
        <v>10837</v>
      </c>
      <c r="B571" s="14" t="s">
        <v>1600</v>
      </c>
      <c r="C571" s="3" t="s">
        <v>1220</v>
      </c>
      <c r="D571" s="4" t="s">
        <v>19</v>
      </c>
      <c r="E571" s="14">
        <v>112342</v>
      </c>
      <c r="F571" s="14">
        <v>15988513887</v>
      </c>
      <c r="G571" s="14">
        <v>517699244</v>
      </c>
      <c r="H571" s="28" t="s">
        <v>1601</v>
      </c>
      <c r="I571" s="28" t="s">
        <v>1601</v>
      </c>
      <c r="J571" s="3" t="s">
        <v>1602</v>
      </c>
      <c r="K571" s="15" t="s">
        <v>1600</v>
      </c>
      <c r="L571" s="25"/>
      <c r="N571" s="15" t="s">
        <v>1603</v>
      </c>
      <c r="P571" s="37" t="s">
        <v>25</v>
      </c>
    </row>
    <row r="572" spans="1:16">
      <c r="A572" s="14">
        <v>10838</v>
      </c>
      <c r="B572" s="14" t="s">
        <v>1604</v>
      </c>
      <c r="C572" s="3" t="s">
        <v>1220</v>
      </c>
      <c r="D572" s="4" t="s">
        <v>19</v>
      </c>
      <c r="E572" s="14">
        <v>95979</v>
      </c>
      <c r="F572" s="14">
        <v>8011941731</v>
      </c>
      <c r="G572" s="14">
        <v>495621147</v>
      </c>
      <c r="H572" s="28" t="s">
        <v>1605</v>
      </c>
      <c r="I572" s="28" t="s">
        <v>1605</v>
      </c>
      <c r="J572" s="3" t="s">
        <v>1606</v>
      </c>
      <c r="K572" s="15" t="s">
        <v>1604</v>
      </c>
      <c r="L572" s="25"/>
      <c r="N572" s="15" t="s">
        <v>1607</v>
      </c>
      <c r="P572" s="37" t="s">
        <v>25</v>
      </c>
    </row>
    <row r="573" spans="1:16">
      <c r="A573" s="14">
        <v>10839</v>
      </c>
      <c r="B573" s="14" t="s">
        <v>1608</v>
      </c>
      <c r="C573" s="3" t="s">
        <v>1220</v>
      </c>
      <c r="D573" s="4" t="s">
        <v>19</v>
      </c>
      <c r="E573" s="14">
        <v>109555</v>
      </c>
      <c r="F573" s="14">
        <v>14295772031</v>
      </c>
      <c r="G573" s="14">
        <v>495621225</v>
      </c>
      <c r="H573" s="28" t="s">
        <v>1609</v>
      </c>
      <c r="I573" s="28" t="s">
        <v>1609</v>
      </c>
      <c r="J573" s="3" t="s">
        <v>1610</v>
      </c>
      <c r="K573" s="15" t="s">
        <v>1608</v>
      </c>
      <c r="L573" s="25"/>
      <c r="N573" s="15" t="s">
        <v>1611</v>
      </c>
      <c r="P573" s="37" t="s">
        <v>25</v>
      </c>
    </row>
    <row r="574" spans="1:16">
      <c r="A574" s="14">
        <v>10840</v>
      </c>
      <c r="B574" s="14" t="s">
        <v>1612</v>
      </c>
      <c r="C574" s="3" t="s">
        <v>1220</v>
      </c>
      <c r="D574" s="4" t="s">
        <v>19</v>
      </c>
      <c r="E574" s="14">
        <v>109570</v>
      </c>
      <c r="F574" s="14">
        <v>14295824880</v>
      </c>
      <c r="G574" s="14">
        <v>495621133</v>
      </c>
      <c r="H574" s="28" t="s">
        <v>1613</v>
      </c>
      <c r="I574" s="28" t="s">
        <v>1613</v>
      </c>
      <c r="J574" s="3" t="s">
        <v>1614</v>
      </c>
      <c r="K574" s="15" t="s">
        <v>1612</v>
      </c>
      <c r="L574" s="25"/>
      <c r="N574" s="15" t="s">
        <v>1615</v>
      </c>
      <c r="P574" s="37" t="s">
        <v>25</v>
      </c>
    </row>
    <row r="575" spans="1:16">
      <c r="A575" s="14">
        <v>10841</v>
      </c>
      <c r="B575" s="14" t="s">
        <v>1616</v>
      </c>
      <c r="C575" s="3" t="s">
        <v>1220</v>
      </c>
      <c r="D575" s="4" t="s">
        <v>19</v>
      </c>
      <c r="E575" s="14">
        <v>112147</v>
      </c>
      <c r="F575" s="14">
        <v>15972792882</v>
      </c>
      <c r="G575" s="14">
        <v>517571274</v>
      </c>
      <c r="H575" s="28" t="s">
        <v>1617</v>
      </c>
      <c r="I575" s="28" t="s">
        <v>1617</v>
      </c>
      <c r="J575" s="3" t="s">
        <v>1618</v>
      </c>
      <c r="K575" s="15" t="s">
        <v>1616</v>
      </c>
      <c r="L575" s="25"/>
      <c r="N575" s="15" t="s">
        <v>1619</v>
      </c>
      <c r="P575" s="37" t="s">
        <v>25</v>
      </c>
    </row>
    <row r="576" spans="1:16">
      <c r="A576" s="14">
        <v>10842</v>
      </c>
      <c r="B576" s="14" t="s">
        <v>1620</v>
      </c>
      <c r="C576" s="3" t="s">
        <v>1220</v>
      </c>
      <c r="D576" s="4" t="s">
        <v>19</v>
      </c>
      <c r="E576" s="14">
        <v>112148</v>
      </c>
      <c r="F576" s="14">
        <v>15972951060</v>
      </c>
      <c r="G576" s="14">
        <v>517571294</v>
      </c>
      <c r="H576" s="28" t="s">
        <v>1621</v>
      </c>
      <c r="I576" s="28" t="s">
        <v>1621</v>
      </c>
      <c r="J576" s="3" t="s">
        <v>1622</v>
      </c>
      <c r="K576" s="15" t="s">
        <v>1620</v>
      </c>
      <c r="L576" s="25"/>
      <c r="N576" s="15" t="s">
        <v>1623</v>
      </c>
      <c r="P576" s="37" t="s">
        <v>25</v>
      </c>
    </row>
    <row r="577" spans="1:16">
      <c r="A577" s="14">
        <v>10843</v>
      </c>
      <c r="B577" s="14" t="s">
        <v>1624</v>
      </c>
      <c r="C577" s="3" t="s">
        <v>1220</v>
      </c>
      <c r="D577" s="4" t="s">
        <v>19</v>
      </c>
      <c r="E577" s="14">
        <v>112150</v>
      </c>
      <c r="F577" s="14">
        <v>15973050241</v>
      </c>
      <c r="G577" s="14">
        <v>517571269</v>
      </c>
      <c r="H577" s="28" t="s">
        <v>1625</v>
      </c>
      <c r="I577" s="28" t="s">
        <v>1625</v>
      </c>
      <c r="J577" s="3" t="s">
        <v>1626</v>
      </c>
      <c r="K577" s="15" t="s">
        <v>1624</v>
      </c>
      <c r="L577" s="25"/>
      <c r="N577" s="15" t="s">
        <v>1627</v>
      </c>
      <c r="P577" s="37" t="s">
        <v>25</v>
      </c>
    </row>
    <row r="578" spans="1:16">
      <c r="A578" s="14">
        <v>10844</v>
      </c>
      <c r="B578" s="14" t="s">
        <v>1628</v>
      </c>
      <c r="C578" s="3" t="s">
        <v>1220</v>
      </c>
      <c r="D578" s="4" t="s">
        <v>19</v>
      </c>
      <c r="E578" s="14">
        <v>112399</v>
      </c>
      <c r="F578" s="14">
        <v>16003758083</v>
      </c>
      <c r="G578" s="14">
        <v>517939141</v>
      </c>
      <c r="H578" s="28" t="s">
        <v>1629</v>
      </c>
      <c r="I578" s="28" t="s">
        <v>1629</v>
      </c>
      <c r="J578" s="3" t="s">
        <v>1630</v>
      </c>
      <c r="K578" s="15" t="s">
        <v>1628</v>
      </c>
      <c r="L578" s="25"/>
      <c r="N578" s="15" t="s">
        <v>1631</v>
      </c>
      <c r="P578" s="37" t="s">
        <v>25</v>
      </c>
    </row>
    <row r="579" spans="1:16">
      <c r="A579" s="14">
        <v>10845</v>
      </c>
      <c r="B579" s="14"/>
      <c r="C579" s="3" t="s">
        <v>1220</v>
      </c>
      <c r="E579" s="14"/>
      <c r="F579" s="14"/>
      <c r="G579" s="14"/>
      <c r="H579" s="28"/>
      <c r="I579" s="28"/>
      <c r="L579" s="25"/>
    </row>
    <row r="580" spans="1:16">
      <c r="A580" s="14">
        <v>10846</v>
      </c>
      <c r="B580" s="14"/>
      <c r="C580" s="3" t="s">
        <v>1220</v>
      </c>
      <c r="E580" s="14"/>
      <c r="F580" s="14"/>
      <c r="G580" s="14"/>
      <c r="H580" s="28"/>
      <c r="I580" s="28"/>
      <c r="L580" s="25"/>
    </row>
    <row r="581" spans="1:16">
      <c r="A581" s="14">
        <v>10847</v>
      </c>
      <c r="B581" s="14" t="s">
        <v>1632</v>
      </c>
      <c r="C581" s="3" t="s">
        <v>1220</v>
      </c>
      <c r="D581" s="4" t="s">
        <v>19</v>
      </c>
      <c r="E581" s="14">
        <v>112456</v>
      </c>
      <c r="F581" s="14">
        <v>16008743007</v>
      </c>
      <c r="G581" s="14">
        <v>517999894</v>
      </c>
      <c r="H581" s="28" t="s">
        <v>1633</v>
      </c>
      <c r="I581" s="28" t="s">
        <v>1633</v>
      </c>
      <c r="J581" s="3" t="s">
        <v>1634</v>
      </c>
      <c r="K581" s="15" t="s">
        <v>1632</v>
      </c>
      <c r="L581" s="25"/>
      <c r="N581" s="15" t="s">
        <v>1635</v>
      </c>
      <c r="P581" s="37" t="s">
        <v>25</v>
      </c>
    </row>
    <row r="582" spans="1:16">
      <c r="A582" s="14">
        <v>10848</v>
      </c>
      <c r="B582" s="14" t="s">
        <v>838</v>
      </c>
      <c r="C582" s="3" t="s">
        <v>1220</v>
      </c>
      <c r="D582" s="4" t="s">
        <v>19</v>
      </c>
      <c r="E582" s="14">
        <v>112157</v>
      </c>
      <c r="F582" s="14">
        <v>15974216449</v>
      </c>
      <c r="G582" s="14">
        <v>517571267</v>
      </c>
      <c r="H582" s="28" t="s">
        <v>1636</v>
      </c>
      <c r="I582" s="28" t="s">
        <v>1636</v>
      </c>
      <c r="J582" s="3" t="s">
        <v>1637</v>
      </c>
      <c r="K582" s="15" t="s">
        <v>838</v>
      </c>
      <c r="L582" s="25"/>
      <c r="N582" s="15" t="s">
        <v>1638</v>
      </c>
      <c r="P582" s="37" t="s">
        <v>25</v>
      </c>
    </row>
    <row r="583" spans="1:16">
      <c r="A583" s="14">
        <v>10849</v>
      </c>
      <c r="B583" s="14" t="s">
        <v>1639</v>
      </c>
      <c r="C583" s="3" t="s">
        <v>1220</v>
      </c>
      <c r="D583" s="4" t="s">
        <v>19</v>
      </c>
      <c r="E583" s="14">
        <v>112155</v>
      </c>
      <c r="F583" s="14">
        <v>15974177564</v>
      </c>
      <c r="G583" s="14">
        <v>517571293</v>
      </c>
      <c r="H583" s="28" t="s">
        <v>1640</v>
      </c>
      <c r="I583" s="28" t="s">
        <v>1640</v>
      </c>
      <c r="J583" s="3" t="s">
        <v>1641</v>
      </c>
      <c r="K583" s="15" t="s">
        <v>1639</v>
      </c>
      <c r="L583" s="25"/>
      <c r="N583" s="15" t="s">
        <v>1642</v>
      </c>
      <c r="P583" s="37" t="s">
        <v>25</v>
      </c>
    </row>
    <row r="584" spans="1:16">
      <c r="A584" s="14">
        <v>10850</v>
      </c>
      <c r="B584" s="14" t="s">
        <v>1643</v>
      </c>
      <c r="C584" s="3" t="s">
        <v>1220</v>
      </c>
      <c r="D584" s="4" t="s">
        <v>19</v>
      </c>
      <c r="E584" s="14">
        <v>112156</v>
      </c>
      <c r="F584" s="14">
        <v>15974216448</v>
      </c>
      <c r="G584" s="14">
        <v>517571268</v>
      </c>
      <c r="H584" s="28" t="s">
        <v>1644</v>
      </c>
      <c r="I584" s="28" t="s">
        <v>1644</v>
      </c>
      <c r="J584" s="3" t="s">
        <v>1645</v>
      </c>
      <c r="K584" s="15" t="s">
        <v>1643</v>
      </c>
      <c r="L584" s="25"/>
      <c r="N584" s="15" t="s">
        <v>1646</v>
      </c>
      <c r="P584" s="37" t="s">
        <v>25</v>
      </c>
    </row>
    <row r="585" spans="1:16">
      <c r="A585" s="14">
        <v>10851</v>
      </c>
      <c r="B585" s="14"/>
      <c r="C585" s="3" t="s">
        <v>1220</v>
      </c>
      <c r="E585" s="14"/>
      <c r="F585" s="14"/>
      <c r="G585" s="14"/>
      <c r="H585" s="28"/>
      <c r="I585" s="28"/>
      <c r="L585" s="25"/>
    </row>
    <row r="586" spans="1:16">
      <c r="A586" s="14">
        <v>10852</v>
      </c>
      <c r="B586" s="14"/>
      <c r="C586" s="3" t="s">
        <v>1220</v>
      </c>
      <c r="E586" s="14"/>
      <c r="F586" s="14"/>
      <c r="G586" s="14"/>
      <c r="H586" s="28"/>
      <c r="I586" s="28"/>
      <c r="L586" s="25"/>
    </row>
    <row r="587" spans="1:16">
      <c r="A587" s="14">
        <v>10853</v>
      </c>
      <c r="B587" s="14" t="s">
        <v>1647</v>
      </c>
      <c r="C587" s="3" t="s">
        <v>1220</v>
      </c>
      <c r="D587" s="4" t="s">
        <v>19</v>
      </c>
      <c r="E587" s="14">
        <v>99305</v>
      </c>
      <c r="F587" s="14">
        <v>8319065666</v>
      </c>
      <c r="G587" s="14">
        <v>420272286</v>
      </c>
      <c r="H587" s="28" t="s">
        <v>1648</v>
      </c>
      <c r="I587" s="28" t="s">
        <v>1648</v>
      </c>
      <c r="J587" s="3" t="s">
        <v>1647</v>
      </c>
      <c r="K587" s="15" t="s">
        <v>1647</v>
      </c>
      <c r="L587" s="25"/>
      <c r="N587" s="15" t="s">
        <v>1649</v>
      </c>
      <c r="P587" s="37" t="s">
        <v>25</v>
      </c>
    </row>
    <row r="588" spans="1:16">
      <c r="A588" s="14">
        <v>10854</v>
      </c>
      <c r="B588" s="14" t="s">
        <v>1650</v>
      </c>
      <c r="C588" s="3" t="s">
        <v>1220</v>
      </c>
      <c r="D588" s="4" t="s">
        <v>19</v>
      </c>
      <c r="E588" s="14">
        <v>112486</v>
      </c>
      <c r="F588" s="14">
        <v>16009006483</v>
      </c>
      <c r="G588" s="14">
        <v>517999897</v>
      </c>
      <c r="H588" s="28" t="s">
        <v>1651</v>
      </c>
      <c r="I588" s="28" t="s">
        <v>1651</v>
      </c>
      <c r="J588" s="3" t="s">
        <v>1652</v>
      </c>
      <c r="K588" s="15" t="s">
        <v>1650</v>
      </c>
      <c r="L588" s="25"/>
      <c r="N588" s="15" t="s">
        <v>1653</v>
      </c>
      <c r="P588" s="37" t="s">
        <v>25</v>
      </c>
    </row>
    <row r="589" spans="1:16">
      <c r="A589" s="14">
        <v>10855</v>
      </c>
      <c r="B589" s="14" t="s">
        <v>1654</v>
      </c>
      <c r="C589" s="3" t="s">
        <v>1220</v>
      </c>
      <c r="D589" s="4" t="s">
        <v>19</v>
      </c>
      <c r="E589" s="14">
        <v>112196</v>
      </c>
      <c r="F589" s="14">
        <v>15979322839</v>
      </c>
      <c r="G589" s="14">
        <v>517637669</v>
      </c>
      <c r="H589" s="28" t="s">
        <v>1655</v>
      </c>
      <c r="I589" s="28" t="s">
        <v>1655</v>
      </c>
      <c r="J589" s="3" t="s">
        <v>1656</v>
      </c>
      <c r="K589" s="15" t="s">
        <v>1654</v>
      </c>
      <c r="L589" s="25"/>
      <c r="N589" s="15" t="s">
        <v>1657</v>
      </c>
      <c r="P589" s="37" t="s">
        <v>25</v>
      </c>
    </row>
    <row r="590" spans="1:16">
      <c r="A590" s="14">
        <v>10856</v>
      </c>
      <c r="B590" s="14" t="s">
        <v>1658</v>
      </c>
      <c r="C590" s="3" t="s">
        <v>1220</v>
      </c>
      <c r="D590" s="4" t="s">
        <v>19</v>
      </c>
      <c r="E590" s="14">
        <v>112418</v>
      </c>
      <c r="F590" s="14">
        <v>16004146363</v>
      </c>
      <c r="G590" s="14">
        <v>517938477</v>
      </c>
      <c r="H590" s="28" t="s">
        <v>1659</v>
      </c>
      <c r="I590" s="28" t="s">
        <v>1659</v>
      </c>
      <c r="J590" s="3" t="s">
        <v>1660</v>
      </c>
      <c r="K590" s="15" t="s">
        <v>1658</v>
      </c>
      <c r="L590" s="25"/>
      <c r="N590" s="15" t="s">
        <v>1661</v>
      </c>
      <c r="P590" s="37" t="s">
        <v>25</v>
      </c>
    </row>
    <row r="591" spans="1:16">
      <c r="A591" s="14">
        <v>10857</v>
      </c>
      <c r="B591" s="14" t="s">
        <v>1662</v>
      </c>
      <c r="C591" s="3" t="s">
        <v>1220</v>
      </c>
      <c r="D591" s="4" t="s">
        <v>19</v>
      </c>
      <c r="E591" s="14">
        <v>109563</v>
      </c>
      <c r="F591" s="14">
        <v>14295785437</v>
      </c>
      <c r="G591" s="14">
        <v>495621250</v>
      </c>
      <c r="H591" s="28" t="s">
        <v>1663</v>
      </c>
      <c r="I591" s="28" t="s">
        <v>1663</v>
      </c>
      <c r="J591" s="3" t="s">
        <v>1664</v>
      </c>
      <c r="K591" s="15" t="s">
        <v>1662</v>
      </c>
      <c r="L591" s="25"/>
      <c r="N591" s="15" t="s">
        <v>1665</v>
      </c>
      <c r="P591" s="37" t="s">
        <v>25</v>
      </c>
    </row>
    <row r="592" spans="1:16">
      <c r="A592" s="14">
        <v>10858</v>
      </c>
      <c r="B592" s="14" t="s">
        <v>1666</v>
      </c>
      <c r="C592" s="3" t="s">
        <v>1220</v>
      </c>
      <c r="D592" s="4" t="s">
        <v>19</v>
      </c>
      <c r="E592" s="14">
        <v>109564</v>
      </c>
      <c r="F592" s="14">
        <v>14295788260</v>
      </c>
      <c r="G592" s="14">
        <v>495621107</v>
      </c>
      <c r="H592" s="28" t="s">
        <v>1667</v>
      </c>
      <c r="I592" s="28" t="s">
        <v>1667</v>
      </c>
      <c r="J592" s="3" t="s">
        <v>1668</v>
      </c>
      <c r="K592" s="15" t="s">
        <v>1666</v>
      </c>
      <c r="L592" s="25"/>
      <c r="N592" s="15" t="s">
        <v>1669</v>
      </c>
      <c r="P592" s="37" t="s">
        <v>25</v>
      </c>
    </row>
    <row r="593" spans="1:16">
      <c r="A593" s="14">
        <v>10859</v>
      </c>
      <c r="B593" s="14" t="s">
        <v>1670</v>
      </c>
      <c r="C593" s="3" t="s">
        <v>1220</v>
      </c>
      <c r="D593" s="4" t="s">
        <v>19</v>
      </c>
      <c r="E593" s="14">
        <v>110069</v>
      </c>
      <c r="F593" s="14">
        <v>14742738831</v>
      </c>
      <c r="G593" s="14">
        <v>501459300</v>
      </c>
      <c r="H593" s="28" t="s">
        <v>1671</v>
      </c>
      <c r="I593" s="28" t="s">
        <v>1671</v>
      </c>
      <c r="J593" s="3" t="s">
        <v>1672</v>
      </c>
      <c r="K593" s="15" t="s">
        <v>1670</v>
      </c>
      <c r="L593" s="25"/>
      <c r="N593" s="15" t="s">
        <v>1673</v>
      </c>
      <c r="P593" s="37" t="s">
        <v>25</v>
      </c>
    </row>
    <row r="594" spans="1:16">
      <c r="A594" s="14">
        <v>10860</v>
      </c>
      <c r="B594" s="14"/>
      <c r="C594" s="3" t="s">
        <v>1220</v>
      </c>
      <c r="E594" s="14"/>
      <c r="F594" s="14"/>
      <c r="G594" s="14"/>
      <c r="H594" s="28"/>
      <c r="I594" s="28"/>
      <c r="L594" s="25"/>
    </row>
    <row r="595" spans="1:16">
      <c r="A595" s="14">
        <v>10861</v>
      </c>
      <c r="B595" s="14"/>
      <c r="C595" s="3" t="s">
        <v>1220</v>
      </c>
      <c r="E595" s="14"/>
      <c r="F595" s="14"/>
      <c r="G595" s="14"/>
      <c r="H595" s="28"/>
      <c r="I595" s="28"/>
      <c r="L595" s="25"/>
    </row>
    <row r="596" spans="1:16">
      <c r="A596" s="14">
        <v>10862</v>
      </c>
      <c r="B596" s="14" t="s">
        <v>1674</v>
      </c>
      <c r="C596" s="3" t="s">
        <v>1220</v>
      </c>
      <c r="D596" s="4" t="s">
        <v>19</v>
      </c>
      <c r="E596" s="14">
        <v>109562</v>
      </c>
      <c r="F596" s="14">
        <v>14295783132</v>
      </c>
      <c r="G596" s="14">
        <v>495621141</v>
      </c>
      <c r="H596" s="28" t="s">
        <v>1675</v>
      </c>
      <c r="I596" s="28" t="s">
        <v>1675</v>
      </c>
      <c r="J596" s="3" t="s">
        <v>1676</v>
      </c>
      <c r="K596" s="15" t="s">
        <v>1674</v>
      </c>
      <c r="L596" s="25"/>
      <c r="N596" s="15" t="s">
        <v>1677</v>
      </c>
      <c r="P596" s="37" t="s">
        <v>25</v>
      </c>
    </row>
    <row r="597" spans="1:16">
      <c r="A597" s="14">
        <v>10863</v>
      </c>
      <c r="B597" s="14" t="s">
        <v>1678</v>
      </c>
      <c r="C597" s="3" t="s">
        <v>1220</v>
      </c>
      <c r="D597" s="4" t="s">
        <v>19</v>
      </c>
      <c r="E597" s="14">
        <v>112483</v>
      </c>
      <c r="F597" s="14">
        <v>16009006480</v>
      </c>
      <c r="G597" s="14">
        <v>517999854</v>
      </c>
      <c r="H597" s="28" t="s">
        <v>1679</v>
      </c>
      <c r="I597" s="28" t="s">
        <v>1679</v>
      </c>
      <c r="J597" s="3" t="s">
        <v>1680</v>
      </c>
      <c r="K597" s="15" t="s">
        <v>1678</v>
      </c>
      <c r="L597" s="25"/>
      <c r="N597" s="15" t="s">
        <v>1681</v>
      </c>
      <c r="P597" s="37" t="s">
        <v>25</v>
      </c>
    </row>
    <row r="598" spans="1:16">
      <c r="A598" s="14">
        <v>10864</v>
      </c>
      <c r="B598" s="14" t="s">
        <v>877</v>
      </c>
      <c r="C598" s="3" t="s">
        <v>1220</v>
      </c>
      <c r="D598" s="4" t="s">
        <v>19</v>
      </c>
      <c r="E598" s="14">
        <v>109470</v>
      </c>
      <c r="F598" s="14">
        <v>14295522964</v>
      </c>
      <c r="G598" s="14">
        <v>495621136</v>
      </c>
      <c r="H598" s="28" t="s">
        <v>1682</v>
      </c>
      <c r="I598" s="28" t="s">
        <v>1682</v>
      </c>
      <c r="J598" s="3" t="s">
        <v>1683</v>
      </c>
      <c r="K598" s="15" t="s">
        <v>877</v>
      </c>
      <c r="L598" s="25"/>
      <c r="N598" s="15" t="s">
        <v>1684</v>
      </c>
      <c r="P598" s="37" t="s">
        <v>25</v>
      </c>
    </row>
    <row r="599" spans="1:16">
      <c r="A599" s="14">
        <v>10865</v>
      </c>
      <c r="B599" s="14" t="s">
        <v>1685</v>
      </c>
      <c r="C599" s="3" t="s">
        <v>1220</v>
      </c>
      <c r="D599" s="4" t="s">
        <v>19</v>
      </c>
      <c r="E599" s="14">
        <v>112168</v>
      </c>
      <c r="F599" s="14">
        <v>15974341208</v>
      </c>
      <c r="G599" s="14">
        <v>517571275</v>
      </c>
      <c r="H599" s="28" t="s">
        <v>1686</v>
      </c>
      <c r="I599" s="28" t="s">
        <v>1686</v>
      </c>
      <c r="J599" s="3" t="s">
        <v>1687</v>
      </c>
      <c r="K599" s="15" t="s">
        <v>1685</v>
      </c>
      <c r="L599" s="25"/>
      <c r="N599" s="15" t="s">
        <v>1688</v>
      </c>
      <c r="P599" s="37" t="s">
        <v>25</v>
      </c>
    </row>
    <row r="600" spans="1:16">
      <c r="A600" s="14">
        <v>10866</v>
      </c>
      <c r="B600" s="14" t="s">
        <v>1689</v>
      </c>
      <c r="C600" s="3" t="s">
        <v>1220</v>
      </c>
      <c r="D600" s="4" t="s">
        <v>19</v>
      </c>
      <c r="E600" s="14">
        <v>109561</v>
      </c>
      <c r="F600" s="14">
        <v>14295783131</v>
      </c>
      <c r="G600" s="14">
        <v>495621120</v>
      </c>
      <c r="H600" s="28" t="s">
        <v>1690</v>
      </c>
      <c r="I600" s="28" t="s">
        <v>1690</v>
      </c>
      <c r="J600" s="3" t="s">
        <v>1691</v>
      </c>
      <c r="K600" s="15" t="s">
        <v>1689</v>
      </c>
      <c r="L600" s="25"/>
      <c r="N600" s="15" t="s">
        <v>1692</v>
      </c>
      <c r="P600" s="37" t="s">
        <v>25</v>
      </c>
    </row>
    <row r="601" spans="1:16">
      <c r="A601" s="14">
        <v>10867</v>
      </c>
      <c r="B601" s="14" t="s">
        <v>1693</v>
      </c>
      <c r="C601" s="3" t="s">
        <v>1220</v>
      </c>
      <c r="D601" s="4" t="s">
        <v>19</v>
      </c>
      <c r="E601" s="14">
        <v>112186</v>
      </c>
      <c r="F601" s="14">
        <v>15979301468</v>
      </c>
      <c r="G601" s="14">
        <v>517637346</v>
      </c>
      <c r="H601" s="28" t="s">
        <v>1694</v>
      </c>
      <c r="I601" s="28" t="s">
        <v>1694</v>
      </c>
      <c r="J601" s="3" t="s">
        <v>1695</v>
      </c>
      <c r="K601" s="15" t="s">
        <v>1693</v>
      </c>
      <c r="L601" s="25"/>
      <c r="N601" s="15" t="s">
        <v>1696</v>
      </c>
      <c r="P601" s="37" t="s">
        <v>25</v>
      </c>
    </row>
    <row r="602" spans="1:16">
      <c r="A602" s="14">
        <v>10868</v>
      </c>
      <c r="B602" s="14" t="s">
        <v>1697</v>
      </c>
      <c r="C602" s="3" t="s">
        <v>1220</v>
      </c>
      <c r="D602" s="4" t="s">
        <v>19</v>
      </c>
      <c r="E602" s="14">
        <v>112166</v>
      </c>
      <c r="F602" s="14">
        <v>15974340789</v>
      </c>
      <c r="G602" s="14">
        <v>517571304</v>
      </c>
      <c r="H602" s="28" t="s">
        <v>1698</v>
      </c>
      <c r="I602" s="28" t="s">
        <v>1698</v>
      </c>
      <c r="J602" s="3" t="s">
        <v>1699</v>
      </c>
      <c r="K602" s="15" t="s">
        <v>1697</v>
      </c>
      <c r="L602" s="25"/>
      <c r="N602" s="15" t="s">
        <v>1700</v>
      </c>
      <c r="P602" s="37" t="s">
        <v>25</v>
      </c>
    </row>
    <row r="603" spans="1:16">
      <c r="A603" s="14">
        <v>10869</v>
      </c>
      <c r="B603" s="14" t="s">
        <v>1701</v>
      </c>
      <c r="C603" s="3" t="s">
        <v>1220</v>
      </c>
      <c r="D603" s="4" t="s">
        <v>19</v>
      </c>
      <c r="E603" s="14">
        <v>112206</v>
      </c>
      <c r="F603" s="14">
        <v>15979332893</v>
      </c>
      <c r="G603" s="14">
        <v>517637341</v>
      </c>
      <c r="H603" s="28" t="s">
        <v>1702</v>
      </c>
      <c r="I603" s="28" t="s">
        <v>1702</v>
      </c>
      <c r="J603" s="3" t="s">
        <v>1703</v>
      </c>
      <c r="K603" s="15" t="s">
        <v>1701</v>
      </c>
      <c r="L603" s="25"/>
      <c r="N603" s="15" t="s">
        <v>1704</v>
      </c>
      <c r="P603" s="37" t="s">
        <v>25</v>
      </c>
    </row>
    <row r="604" spans="1:16">
      <c r="A604" s="14">
        <v>10870</v>
      </c>
      <c r="B604" s="14"/>
      <c r="C604" s="3" t="s">
        <v>1220</v>
      </c>
      <c r="E604" s="14"/>
      <c r="F604" s="14"/>
      <c r="G604" s="14"/>
      <c r="H604" s="28"/>
      <c r="I604" s="28"/>
      <c r="L604" s="25"/>
    </row>
    <row r="605" spans="1:16">
      <c r="A605" s="14">
        <v>10871</v>
      </c>
      <c r="B605" s="14"/>
      <c r="C605" s="3" t="s">
        <v>1220</v>
      </c>
      <c r="E605" s="14"/>
      <c r="F605" s="14"/>
      <c r="G605" s="14"/>
      <c r="H605" s="28"/>
      <c r="I605" s="28"/>
      <c r="L605" s="25"/>
    </row>
    <row r="606" spans="1:16">
      <c r="A606" s="14">
        <v>10872</v>
      </c>
      <c r="B606" s="14" t="s">
        <v>1705</v>
      </c>
      <c r="C606" s="3" t="s">
        <v>1220</v>
      </c>
      <c r="D606" s="4" t="s">
        <v>19</v>
      </c>
      <c r="E606" s="14">
        <v>112412</v>
      </c>
      <c r="F606" s="14">
        <v>16003990416</v>
      </c>
      <c r="G606" s="14">
        <v>517938464</v>
      </c>
      <c r="H606" s="28" t="s">
        <v>1706</v>
      </c>
      <c r="I606" s="28" t="s">
        <v>1706</v>
      </c>
      <c r="J606" s="3" t="s">
        <v>1707</v>
      </c>
      <c r="K606" s="15" t="s">
        <v>1705</v>
      </c>
      <c r="L606" s="25"/>
      <c r="N606" s="15" t="s">
        <v>1708</v>
      </c>
      <c r="P606" s="37" t="s">
        <v>25</v>
      </c>
    </row>
    <row r="607" spans="1:16">
      <c r="A607" s="14">
        <v>10873</v>
      </c>
      <c r="B607" s="14" t="s">
        <v>1709</v>
      </c>
      <c r="C607" s="3" t="s">
        <v>1220</v>
      </c>
      <c r="D607" s="4" t="s">
        <v>19</v>
      </c>
      <c r="E607" s="14">
        <v>112204</v>
      </c>
      <c r="F607" s="14">
        <v>15979331353</v>
      </c>
      <c r="G607" s="14">
        <v>517637344</v>
      </c>
      <c r="H607" s="28" t="s">
        <v>1710</v>
      </c>
      <c r="I607" s="28" t="s">
        <v>1710</v>
      </c>
      <c r="J607" s="3" t="s">
        <v>1711</v>
      </c>
      <c r="K607" s="15" t="s">
        <v>1709</v>
      </c>
      <c r="L607" s="25"/>
      <c r="N607" s="15" t="s">
        <v>1712</v>
      </c>
      <c r="P607" s="37" t="s">
        <v>25</v>
      </c>
    </row>
    <row r="608" spans="1:16">
      <c r="A608" s="14">
        <v>10874</v>
      </c>
      <c r="B608" s="14" t="s">
        <v>1713</v>
      </c>
      <c r="C608" s="3" t="s">
        <v>1220</v>
      </c>
      <c r="D608" s="4" t="s">
        <v>19</v>
      </c>
      <c r="E608" s="14">
        <v>112203</v>
      </c>
      <c r="F608" s="14">
        <v>15979327554</v>
      </c>
      <c r="G608" s="14">
        <v>517637352</v>
      </c>
      <c r="H608" s="28" t="s">
        <v>1714</v>
      </c>
      <c r="I608" s="28" t="s">
        <v>1714</v>
      </c>
      <c r="J608" s="3" t="s">
        <v>1715</v>
      </c>
      <c r="K608" s="15" t="s">
        <v>1713</v>
      </c>
      <c r="L608" s="25"/>
      <c r="N608" s="15" t="s">
        <v>1716</v>
      </c>
      <c r="P608" s="37" t="s">
        <v>25</v>
      </c>
    </row>
    <row r="609" spans="1:16">
      <c r="A609" s="14">
        <v>10875</v>
      </c>
      <c r="B609" s="14" t="s">
        <v>1717</v>
      </c>
      <c r="C609" s="3" t="s">
        <v>1220</v>
      </c>
      <c r="D609" s="4" t="s">
        <v>19</v>
      </c>
      <c r="E609" s="14">
        <v>112215</v>
      </c>
      <c r="F609" s="14">
        <v>15979410637</v>
      </c>
      <c r="G609" s="14">
        <v>517637339</v>
      </c>
      <c r="H609" s="28" t="s">
        <v>1718</v>
      </c>
      <c r="I609" s="28" t="s">
        <v>1718</v>
      </c>
      <c r="J609" s="3" t="s">
        <v>1719</v>
      </c>
      <c r="K609" s="15" t="s">
        <v>1717</v>
      </c>
      <c r="L609" s="25"/>
      <c r="N609" s="15" t="s">
        <v>1720</v>
      </c>
      <c r="P609" s="37" t="s">
        <v>25</v>
      </c>
    </row>
    <row r="610" spans="1:16">
      <c r="A610" s="14">
        <v>10876</v>
      </c>
      <c r="B610" s="14" t="s">
        <v>1721</v>
      </c>
      <c r="C610" s="3" t="s">
        <v>1220</v>
      </c>
      <c r="D610" s="4" t="s">
        <v>19</v>
      </c>
      <c r="E610" s="14">
        <v>112192</v>
      </c>
      <c r="F610" s="14">
        <v>15979311461</v>
      </c>
      <c r="G610" s="14">
        <v>517637461</v>
      </c>
      <c r="H610" s="28" t="s">
        <v>1722</v>
      </c>
      <c r="I610" s="28" t="s">
        <v>1722</v>
      </c>
      <c r="J610" s="3" t="s">
        <v>1723</v>
      </c>
      <c r="K610" s="15" t="s">
        <v>1721</v>
      </c>
      <c r="L610" s="25"/>
      <c r="N610" s="15" t="s">
        <v>1724</v>
      </c>
      <c r="P610" s="37" t="s">
        <v>25</v>
      </c>
    </row>
    <row r="611" spans="1:16">
      <c r="A611" s="14">
        <v>10877</v>
      </c>
      <c r="B611" s="14" t="s">
        <v>1725</v>
      </c>
      <c r="C611" s="3" t="s">
        <v>1220</v>
      </c>
      <c r="D611" s="4" t="s">
        <v>19</v>
      </c>
      <c r="E611" s="14">
        <v>112448</v>
      </c>
      <c r="F611" s="14">
        <v>16008740624</v>
      </c>
      <c r="G611" s="14">
        <v>517999891</v>
      </c>
      <c r="H611" s="28" t="s">
        <v>1726</v>
      </c>
      <c r="I611" s="28" t="s">
        <v>1726</v>
      </c>
      <c r="J611" s="3" t="s">
        <v>1727</v>
      </c>
      <c r="K611" s="15" t="s">
        <v>1725</v>
      </c>
      <c r="L611" s="25"/>
      <c r="N611" s="15" t="s">
        <v>1728</v>
      </c>
      <c r="P611" s="37" t="s">
        <v>25</v>
      </c>
    </row>
    <row r="612" spans="1:16">
      <c r="A612" s="14">
        <v>10878</v>
      </c>
      <c r="B612" s="14"/>
      <c r="C612" s="3" t="s">
        <v>1220</v>
      </c>
      <c r="E612" s="14"/>
      <c r="F612" s="14"/>
      <c r="G612" s="14"/>
      <c r="H612" s="28"/>
      <c r="I612" s="28"/>
      <c r="L612" s="25"/>
    </row>
    <row r="613" spans="1:16">
      <c r="A613" s="14">
        <v>10879</v>
      </c>
      <c r="B613" s="14"/>
      <c r="C613" s="3" t="s">
        <v>1220</v>
      </c>
      <c r="E613" s="14"/>
      <c r="F613" s="14"/>
      <c r="G613" s="14"/>
      <c r="H613" s="28"/>
      <c r="I613" s="28"/>
      <c r="L613" s="25"/>
    </row>
    <row r="614" spans="1:16">
      <c r="A614" s="14">
        <v>10880</v>
      </c>
      <c r="B614" s="14" t="s">
        <v>1729</v>
      </c>
      <c r="C614" s="3" t="s">
        <v>1220</v>
      </c>
      <c r="D614" s="4" t="s">
        <v>19</v>
      </c>
      <c r="E614" s="14">
        <v>112176</v>
      </c>
      <c r="F614" s="14">
        <v>15974352492</v>
      </c>
      <c r="G614" s="14">
        <v>517571284</v>
      </c>
      <c r="H614" s="28" t="s">
        <v>1730</v>
      </c>
      <c r="I614" s="28" t="s">
        <v>1730</v>
      </c>
      <c r="J614" s="3" t="s">
        <v>1731</v>
      </c>
      <c r="K614" s="15" t="s">
        <v>1729</v>
      </c>
      <c r="L614" s="25"/>
      <c r="N614" s="15" t="s">
        <v>1732</v>
      </c>
      <c r="P614" s="37" t="s">
        <v>25</v>
      </c>
    </row>
    <row r="615" spans="1:16">
      <c r="A615" s="14">
        <v>10881</v>
      </c>
      <c r="B615" s="14" t="s">
        <v>1733</v>
      </c>
      <c r="C615" s="3" t="s">
        <v>1220</v>
      </c>
      <c r="D615" s="4" t="s">
        <v>19</v>
      </c>
      <c r="E615" s="14">
        <v>112443</v>
      </c>
      <c r="F615" s="14">
        <v>16008725349</v>
      </c>
      <c r="G615" s="14">
        <v>517999875</v>
      </c>
      <c r="H615" s="28" t="s">
        <v>1734</v>
      </c>
      <c r="I615" s="28" t="s">
        <v>1734</v>
      </c>
      <c r="J615" s="3" t="s">
        <v>1735</v>
      </c>
      <c r="K615" s="15" t="s">
        <v>1733</v>
      </c>
      <c r="L615" s="25"/>
      <c r="N615" s="15" t="s">
        <v>1736</v>
      </c>
      <c r="P615" s="37" t="s">
        <v>25</v>
      </c>
    </row>
    <row r="616" spans="1:16">
      <c r="A616" s="14">
        <v>10882</v>
      </c>
      <c r="B616" s="14" t="s">
        <v>1737</v>
      </c>
      <c r="C616" s="3" t="s">
        <v>1220</v>
      </c>
      <c r="D616" s="4" t="s">
        <v>19</v>
      </c>
      <c r="E616" s="14">
        <v>112189</v>
      </c>
      <c r="F616" s="14">
        <v>15979309287</v>
      </c>
      <c r="G616" s="14">
        <v>517637349</v>
      </c>
      <c r="H616" s="28" t="s">
        <v>1738</v>
      </c>
      <c r="I616" s="28" t="s">
        <v>1738</v>
      </c>
      <c r="J616" s="3" t="s">
        <v>1739</v>
      </c>
      <c r="K616" s="15" t="s">
        <v>1737</v>
      </c>
      <c r="L616" s="25"/>
      <c r="N616" s="15" t="s">
        <v>1740</v>
      </c>
      <c r="P616" s="37" t="s">
        <v>25</v>
      </c>
    </row>
    <row r="617" spans="1:16">
      <c r="A617" s="14">
        <v>10883</v>
      </c>
      <c r="B617" s="14"/>
      <c r="C617" s="3" t="s">
        <v>1220</v>
      </c>
      <c r="E617" s="14"/>
      <c r="F617" s="14"/>
      <c r="G617" s="14"/>
      <c r="H617" s="28"/>
      <c r="I617" s="28"/>
      <c r="L617" s="25"/>
    </row>
    <row r="618" spans="1:16">
      <c r="A618" s="14">
        <v>10884</v>
      </c>
      <c r="B618" s="14"/>
      <c r="C618" s="3" t="s">
        <v>1220</v>
      </c>
      <c r="E618" s="14"/>
      <c r="F618" s="14"/>
      <c r="G618" s="14"/>
      <c r="H618" s="28"/>
      <c r="I618" s="28"/>
      <c r="L618" s="25"/>
    </row>
    <row r="619" spans="1:16">
      <c r="A619" s="14">
        <v>10885</v>
      </c>
      <c r="B619" s="14" t="s">
        <v>1741</v>
      </c>
      <c r="C619" s="3" t="s">
        <v>1220</v>
      </c>
      <c r="D619" s="4" t="s">
        <v>19</v>
      </c>
      <c r="E619" s="14">
        <v>109500</v>
      </c>
      <c r="F619" s="14">
        <v>14295553713</v>
      </c>
      <c r="G619" s="14">
        <v>495621091</v>
      </c>
      <c r="H619" s="28" t="s">
        <v>1742</v>
      </c>
      <c r="I619" s="28" t="s">
        <v>1742</v>
      </c>
      <c r="J619" s="3" t="s">
        <v>1743</v>
      </c>
      <c r="K619" s="15" t="s">
        <v>1741</v>
      </c>
      <c r="L619" s="25"/>
      <c r="N619" s="15" t="s">
        <v>1744</v>
      </c>
      <c r="P619" s="37" t="s">
        <v>25</v>
      </c>
    </row>
    <row r="620" spans="1:16">
      <c r="A620" s="14">
        <v>10886</v>
      </c>
      <c r="B620" s="14" t="s">
        <v>1745</v>
      </c>
      <c r="C620" s="3" t="s">
        <v>1220</v>
      </c>
      <c r="D620" s="4" t="s">
        <v>19</v>
      </c>
      <c r="E620" s="14">
        <v>110050</v>
      </c>
      <c r="F620" s="14">
        <v>14742673077</v>
      </c>
      <c r="G620" s="14">
        <v>501459325</v>
      </c>
      <c r="H620" s="28" t="s">
        <v>1746</v>
      </c>
      <c r="I620" s="28" t="s">
        <v>1746</v>
      </c>
      <c r="J620" s="3" t="s">
        <v>1747</v>
      </c>
      <c r="K620" s="15" t="s">
        <v>1745</v>
      </c>
      <c r="L620" s="25"/>
      <c r="N620" s="15" t="s">
        <v>1748</v>
      </c>
      <c r="P620" s="37" t="s">
        <v>25</v>
      </c>
    </row>
    <row r="621" spans="1:16">
      <c r="A621" s="14">
        <v>10887</v>
      </c>
      <c r="B621" s="14" t="s">
        <v>1749</v>
      </c>
      <c r="C621" s="3" t="s">
        <v>1220</v>
      </c>
      <c r="D621" s="4" t="s">
        <v>19</v>
      </c>
      <c r="E621" s="14">
        <v>109541</v>
      </c>
      <c r="F621" s="14">
        <v>14295648081</v>
      </c>
      <c r="G621" s="14">
        <v>495621130</v>
      </c>
      <c r="H621" s="28" t="s">
        <v>1750</v>
      </c>
      <c r="I621" s="28" t="s">
        <v>1750</v>
      </c>
      <c r="J621" s="3" t="s">
        <v>1751</v>
      </c>
      <c r="K621" s="15" t="s">
        <v>1749</v>
      </c>
      <c r="L621" s="25"/>
      <c r="N621" s="15" t="s">
        <v>1752</v>
      </c>
      <c r="P621" s="37" t="s">
        <v>25</v>
      </c>
    </row>
    <row r="622" spans="1:16">
      <c r="A622" s="14">
        <v>10888</v>
      </c>
      <c r="B622" s="14" t="s">
        <v>1753</v>
      </c>
      <c r="C622" s="3" t="s">
        <v>1220</v>
      </c>
      <c r="D622" s="4" t="s">
        <v>19</v>
      </c>
      <c r="E622" s="14">
        <v>109454</v>
      </c>
      <c r="F622" s="14">
        <v>14295459044</v>
      </c>
      <c r="G622" s="14">
        <v>495621103</v>
      </c>
      <c r="H622" s="28" t="s">
        <v>1754</v>
      </c>
      <c r="I622" s="28" t="s">
        <v>1754</v>
      </c>
      <c r="J622" s="3" t="s">
        <v>1755</v>
      </c>
      <c r="K622" s="15" t="s">
        <v>1753</v>
      </c>
      <c r="L622" s="25"/>
      <c r="N622" s="15" t="s">
        <v>1756</v>
      </c>
      <c r="P622" s="37" t="s">
        <v>25</v>
      </c>
    </row>
    <row r="623" spans="1:16">
      <c r="A623" s="14">
        <v>10889</v>
      </c>
      <c r="B623" s="14"/>
      <c r="C623" s="3" t="s">
        <v>1220</v>
      </c>
      <c r="E623" s="14"/>
      <c r="F623" s="14"/>
      <c r="G623" s="14"/>
      <c r="H623" s="28"/>
      <c r="I623" s="28"/>
      <c r="L623" s="25"/>
    </row>
    <row r="624" spans="1:16">
      <c r="A624" s="14">
        <v>10890</v>
      </c>
      <c r="B624" s="14"/>
      <c r="C624" s="3" t="s">
        <v>1220</v>
      </c>
      <c r="E624" s="14"/>
      <c r="F624" s="14"/>
      <c r="G624" s="14"/>
      <c r="H624" s="28"/>
      <c r="I624" s="28"/>
      <c r="L624" s="25"/>
    </row>
    <row r="625" spans="1:16">
      <c r="A625" s="14">
        <v>10891</v>
      </c>
      <c r="B625" s="14" t="s">
        <v>860</v>
      </c>
      <c r="C625" s="3" t="s">
        <v>1220</v>
      </c>
      <c r="D625" s="4" t="s">
        <v>19</v>
      </c>
      <c r="E625" s="14">
        <v>109455</v>
      </c>
      <c r="F625" s="14">
        <v>14295459045</v>
      </c>
      <c r="G625" s="14">
        <v>495621236</v>
      </c>
      <c r="H625" s="28" t="s">
        <v>1757</v>
      </c>
      <c r="I625" s="28" t="s">
        <v>1757</v>
      </c>
      <c r="J625" s="3" t="s">
        <v>1758</v>
      </c>
      <c r="K625" s="15" t="s">
        <v>860</v>
      </c>
      <c r="L625" s="25"/>
      <c r="N625" s="15" t="s">
        <v>1759</v>
      </c>
      <c r="P625" s="37" t="s">
        <v>25</v>
      </c>
    </row>
    <row r="626" spans="1:16">
      <c r="A626" s="14">
        <v>10892</v>
      </c>
      <c r="B626" s="14" t="s">
        <v>1760</v>
      </c>
      <c r="C626" s="3" t="s">
        <v>1220</v>
      </c>
      <c r="D626" s="4" t="s">
        <v>19</v>
      </c>
      <c r="E626" s="14">
        <v>112214</v>
      </c>
      <c r="F626" s="14">
        <v>15979381865</v>
      </c>
      <c r="G626" s="14">
        <v>517637963</v>
      </c>
      <c r="H626" s="28" t="s">
        <v>1761</v>
      </c>
      <c r="I626" s="28" t="s">
        <v>1761</v>
      </c>
      <c r="J626" s="3" t="s">
        <v>1762</v>
      </c>
      <c r="K626" s="15" t="s">
        <v>1760</v>
      </c>
      <c r="L626" s="25"/>
      <c r="N626" s="15" t="s">
        <v>1763</v>
      </c>
      <c r="P626" s="37" t="s">
        <v>25</v>
      </c>
    </row>
    <row r="627" spans="1:16">
      <c r="A627" s="14">
        <v>10893</v>
      </c>
      <c r="B627" s="14" t="s">
        <v>1764</v>
      </c>
      <c r="C627" s="3" t="s">
        <v>1220</v>
      </c>
      <c r="D627" s="4" t="s">
        <v>19</v>
      </c>
      <c r="E627" s="14">
        <v>109508</v>
      </c>
      <c r="F627" s="14">
        <v>14295557668</v>
      </c>
      <c r="G627" s="14">
        <v>495621162</v>
      </c>
      <c r="H627" s="28" t="s">
        <v>1765</v>
      </c>
      <c r="I627" s="28" t="s">
        <v>1765</v>
      </c>
      <c r="J627" s="3" t="s">
        <v>1766</v>
      </c>
      <c r="K627" s="15" t="s">
        <v>1764</v>
      </c>
      <c r="L627" s="25"/>
      <c r="N627" s="15" t="s">
        <v>1767</v>
      </c>
      <c r="P627" s="37" t="s">
        <v>25</v>
      </c>
    </row>
    <row r="628" spans="1:16">
      <c r="A628" s="14">
        <v>10894</v>
      </c>
      <c r="B628" s="14"/>
      <c r="C628" s="3" t="s">
        <v>1220</v>
      </c>
      <c r="E628" s="14"/>
      <c r="F628" s="14"/>
      <c r="G628" s="14"/>
      <c r="H628" s="28"/>
      <c r="I628" s="28"/>
      <c r="L628" s="25"/>
    </row>
    <row r="629" spans="1:16">
      <c r="A629" s="14">
        <v>10895</v>
      </c>
      <c r="B629" s="14"/>
      <c r="C629" s="3" t="s">
        <v>1220</v>
      </c>
      <c r="E629" s="14"/>
      <c r="F629" s="14"/>
      <c r="G629" s="14"/>
      <c r="H629" s="28"/>
      <c r="I629" s="28"/>
      <c r="L629" s="25"/>
    </row>
    <row r="630" spans="1:16">
      <c r="A630" s="14">
        <v>10896</v>
      </c>
      <c r="B630" s="14" t="s">
        <v>1768</v>
      </c>
      <c r="C630" s="3" t="s">
        <v>1220</v>
      </c>
      <c r="D630" s="4" t="s">
        <v>19</v>
      </c>
      <c r="E630" s="14">
        <v>110051</v>
      </c>
      <c r="F630" s="14">
        <v>14742695640</v>
      </c>
      <c r="G630" s="14">
        <v>501459329</v>
      </c>
      <c r="H630" s="28" t="s">
        <v>1769</v>
      </c>
      <c r="I630" s="28" t="s">
        <v>1769</v>
      </c>
      <c r="J630" s="3" t="s">
        <v>1770</v>
      </c>
      <c r="K630" s="15" t="s">
        <v>1768</v>
      </c>
      <c r="L630" s="25"/>
      <c r="N630" s="15" t="s">
        <v>1771</v>
      </c>
      <c r="P630" s="37" t="s">
        <v>25</v>
      </c>
    </row>
    <row r="631" spans="1:16">
      <c r="A631" s="14">
        <v>10897</v>
      </c>
      <c r="B631" s="14" t="s">
        <v>1772</v>
      </c>
      <c r="C631" s="3" t="s">
        <v>1220</v>
      </c>
      <c r="D631" s="4" t="s">
        <v>19</v>
      </c>
      <c r="E631" s="14">
        <v>109494</v>
      </c>
      <c r="F631" s="14">
        <v>14295550208</v>
      </c>
      <c r="G631" s="14">
        <v>495621117</v>
      </c>
      <c r="H631" s="28" t="s">
        <v>1773</v>
      </c>
      <c r="I631" s="28" t="s">
        <v>1773</v>
      </c>
      <c r="J631" s="3" t="s">
        <v>1774</v>
      </c>
      <c r="K631" s="15" t="s">
        <v>1772</v>
      </c>
      <c r="L631" s="25"/>
      <c r="N631" s="15" t="s">
        <v>1775</v>
      </c>
      <c r="P631" s="37" t="s">
        <v>25</v>
      </c>
    </row>
    <row r="632" spans="1:16">
      <c r="A632" s="14">
        <v>10898</v>
      </c>
      <c r="B632" s="14" t="s">
        <v>1776</v>
      </c>
      <c r="C632" s="3" t="s">
        <v>1220</v>
      </c>
      <c r="D632" s="4" t="s">
        <v>19</v>
      </c>
      <c r="E632" s="14">
        <v>109468</v>
      </c>
      <c r="F632" s="14">
        <v>14295519770</v>
      </c>
      <c r="G632" s="14">
        <v>495621170</v>
      </c>
      <c r="H632" s="28" t="s">
        <v>1777</v>
      </c>
      <c r="I632" s="28" t="s">
        <v>1777</v>
      </c>
      <c r="J632" s="3" t="s">
        <v>1778</v>
      </c>
      <c r="K632" s="15" t="s">
        <v>1776</v>
      </c>
      <c r="L632" s="25"/>
      <c r="N632" s="15" t="s">
        <v>1779</v>
      </c>
      <c r="P632" s="37" t="s">
        <v>25</v>
      </c>
    </row>
    <row r="633" spans="1:16">
      <c r="A633" s="14">
        <v>10899</v>
      </c>
      <c r="B633" s="14"/>
      <c r="C633" s="3" t="s">
        <v>1220</v>
      </c>
      <c r="E633" s="14"/>
      <c r="F633" s="14"/>
      <c r="G633" s="14"/>
      <c r="H633" s="28"/>
      <c r="I633" s="28"/>
      <c r="L633" s="25"/>
    </row>
    <row r="634" spans="1:16">
      <c r="A634" s="14">
        <v>10900</v>
      </c>
      <c r="B634" s="14"/>
      <c r="C634" s="3" t="s">
        <v>1220</v>
      </c>
      <c r="E634" s="14"/>
      <c r="F634" s="14"/>
      <c r="G634" s="14"/>
      <c r="H634" s="28"/>
      <c r="I634" s="28"/>
      <c r="L634" s="25"/>
    </row>
    <row r="635" spans="1:16">
      <c r="A635" s="14">
        <v>10901</v>
      </c>
      <c r="B635" s="14" t="s">
        <v>1780</v>
      </c>
      <c r="C635" s="3" t="s">
        <v>1220</v>
      </c>
      <c r="D635" s="4" t="s">
        <v>19</v>
      </c>
      <c r="E635" s="14">
        <v>112478</v>
      </c>
      <c r="F635" s="14">
        <v>16008995119</v>
      </c>
      <c r="G635" s="14">
        <v>517999888</v>
      </c>
      <c r="H635" s="28" t="s">
        <v>1781</v>
      </c>
      <c r="I635" s="28" t="s">
        <v>1781</v>
      </c>
      <c r="J635" s="3" t="s">
        <v>1782</v>
      </c>
      <c r="K635" s="15" t="s">
        <v>1780</v>
      </c>
      <c r="L635" s="25"/>
      <c r="N635" s="15" t="s">
        <v>1783</v>
      </c>
      <c r="P635" s="37" t="s">
        <v>25</v>
      </c>
    </row>
    <row r="636" spans="1:16">
      <c r="A636" s="14">
        <v>10902</v>
      </c>
      <c r="B636" s="14" t="s">
        <v>1784</v>
      </c>
      <c r="C636" s="3" t="s">
        <v>1220</v>
      </c>
      <c r="D636" s="4" t="s">
        <v>19</v>
      </c>
      <c r="E636" s="14">
        <v>112485</v>
      </c>
      <c r="F636" s="14">
        <v>16009006482</v>
      </c>
      <c r="G636" s="14">
        <v>517999868</v>
      </c>
      <c r="H636" s="28" t="s">
        <v>1785</v>
      </c>
      <c r="I636" s="28" t="s">
        <v>1785</v>
      </c>
      <c r="J636" s="3" t="s">
        <v>1786</v>
      </c>
      <c r="K636" s="15" t="s">
        <v>1784</v>
      </c>
      <c r="L636" s="25"/>
      <c r="N636" s="15" t="s">
        <v>1787</v>
      </c>
      <c r="P636" s="37" t="s">
        <v>25</v>
      </c>
    </row>
    <row r="637" spans="1:16">
      <c r="A637" s="14">
        <v>10903</v>
      </c>
      <c r="B637" s="14" t="s">
        <v>1788</v>
      </c>
      <c r="C637" s="3" t="s">
        <v>1220</v>
      </c>
      <c r="D637" s="4" t="s">
        <v>19</v>
      </c>
      <c r="E637" s="14">
        <v>112398</v>
      </c>
      <c r="F637" s="14">
        <v>16003757687</v>
      </c>
      <c r="G637" s="14">
        <v>517938475</v>
      </c>
      <c r="H637" s="28" t="s">
        <v>1789</v>
      </c>
      <c r="I637" s="28" t="s">
        <v>1789</v>
      </c>
      <c r="J637" s="3" t="s">
        <v>1790</v>
      </c>
      <c r="K637" s="15" t="s">
        <v>1788</v>
      </c>
      <c r="L637" s="25"/>
      <c r="N637" s="15" t="s">
        <v>1791</v>
      </c>
      <c r="P637" s="37" t="s">
        <v>25</v>
      </c>
    </row>
    <row r="638" spans="1:16">
      <c r="A638" s="14">
        <v>10904</v>
      </c>
      <c r="B638" s="14" t="s">
        <v>1792</v>
      </c>
      <c r="C638" s="3" t="s">
        <v>1220</v>
      </c>
      <c r="D638" s="4" t="s">
        <v>19</v>
      </c>
      <c r="E638" s="14">
        <v>112177</v>
      </c>
      <c r="F638" s="14">
        <v>15974353927</v>
      </c>
      <c r="G638" s="14">
        <v>517571279</v>
      </c>
      <c r="H638" s="28" t="s">
        <v>1793</v>
      </c>
      <c r="I638" s="28" t="s">
        <v>1793</v>
      </c>
      <c r="J638" s="3" t="s">
        <v>1794</v>
      </c>
      <c r="K638" s="15" t="s">
        <v>1792</v>
      </c>
      <c r="L638" s="25"/>
      <c r="N638" s="15" t="s">
        <v>1795</v>
      </c>
      <c r="P638" s="37" t="s">
        <v>25</v>
      </c>
    </row>
    <row r="639" spans="1:16">
      <c r="A639" s="14">
        <v>10905</v>
      </c>
      <c r="B639" s="14" t="s">
        <v>1796</v>
      </c>
      <c r="C639" s="3" t="s">
        <v>1220</v>
      </c>
      <c r="D639" s="4" t="s">
        <v>19</v>
      </c>
      <c r="E639" s="14">
        <v>112222</v>
      </c>
      <c r="F639" s="14">
        <v>15979494965</v>
      </c>
      <c r="G639" s="14">
        <v>517637360</v>
      </c>
      <c r="H639" s="28" t="s">
        <v>1797</v>
      </c>
      <c r="I639" s="28" t="s">
        <v>1797</v>
      </c>
      <c r="J639" s="3" t="s">
        <v>1798</v>
      </c>
      <c r="K639" s="15" t="s">
        <v>1796</v>
      </c>
      <c r="L639" s="25"/>
      <c r="N639" s="15" t="s">
        <v>1799</v>
      </c>
      <c r="P639" s="37" t="s">
        <v>25</v>
      </c>
    </row>
    <row r="640" spans="1:16">
      <c r="A640" s="14">
        <v>10906</v>
      </c>
      <c r="B640" s="14"/>
      <c r="C640" s="3" t="s">
        <v>1220</v>
      </c>
      <c r="E640" s="14"/>
      <c r="F640" s="14"/>
      <c r="G640" s="14"/>
      <c r="H640" s="28"/>
      <c r="I640" s="28"/>
      <c r="L640" s="25"/>
    </row>
    <row r="641" spans="1:16">
      <c r="A641" s="14">
        <v>10907</v>
      </c>
      <c r="B641" s="14"/>
      <c r="C641" s="3" t="s">
        <v>1220</v>
      </c>
      <c r="E641" s="14"/>
      <c r="F641" s="14"/>
      <c r="G641" s="14"/>
      <c r="H641" s="28"/>
      <c r="I641" s="28"/>
      <c r="L641" s="25"/>
    </row>
    <row r="642" spans="1:16">
      <c r="A642" s="14">
        <v>10908</v>
      </c>
      <c r="B642" s="14"/>
      <c r="C642" s="3" t="s">
        <v>1220</v>
      </c>
      <c r="E642" s="14"/>
      <c r="F642" s="14"/>
      <c r="G642" s="14"/>
      <c r="H642" s="28"/>
      <c r="I642" s="28"/>
      <c r="L642" s="25"/>
    </row>
    <row r="643" spans="1:16">
      <c r="A643" s="14">
        <v>10909</v>
      </c>
      <c r="B643" s="14" t="s">
        <v>1800</v>
      </c>
      <c r="C643" s="3" t="s">
        <v>1220</v>
      </c>
      <c r="D643" s="4" t="s">
        <v>19</v>
      </c>
      <c r="E643" s="14">
        <v>112188</v>
      </c>
      <c r="F643" s="14">
        <v>15979303417</v>
      </c>
      <c r="G643" s="14">
        <v>517637399</v>
      </c>
      <c r="H643" s="28" t="s">
        <v>1801</v>
      </c>
      <c r="I643" s="28" t="s">
        <v>1801</v>
      </c>
      <c r="J643" s="3" t="s">
        <v>1802</v>
      </c>
      <c r="K643" s="15" t="s">
        <v>1800</v>
      </c>
      <c r="L643" s="25"/>
      <c r="N643" s="15" t="s">
        <v>1803</v>
      </c>
      <c r="P643" s="37" t="s">
        <v>25</v>
      </c>
    </row>
    <row r="644" spans="1:16">
      <c r="A644" s="14">
        <v>10910</v>
      </c>
      <c r="B644" s="14" t="s">
        <v>1804</v>
      </c>
      <c r="C644" s="3" t="s">
        <v>1220</v>
      </c>
      <c r="D644" s="4" t="s">
        <v>19</v>
      </c>
      <c r="E644" s="14">
        <v>112307</v>
      </c>
      <c r="F644" s="14">
        <v>15984692651</v>
      </c>
      <c r="G644" s="14">
        <v>517699239</v>
      </c>
      <c r="H644" s="28" t="s">
        <v>1805</v>
      </c>
      <c r="I644" s="28" t="s">
        <v>1805</v>
      </c>
      <c r="J644" s="3" t="s">
        <v>1806</v>
      </c>
      <c r="K644" s="15" t="s">
        <v>1804</v>
      </c>
      <c r="L644" s="25"/>
      <c r="N644" s="15" t="s">
        <v>1807</v>
      </c>
      <c r="P644" s="37" t="s">
        <v>25</v>
      </c>
    </row>
    <row r="645" spans="1:16">
      <c r="A645" s="14">
        <v>10911</v>
      </c>
      <c r="B645" s="14" t="s">
        <v>1808</v>
      </c>
      <c r="C645" s="3" t="s">
        <v>1220</v>
      </c>
      <c r="D645" s="4" t="s">
        <v>19</v>
      </c>
      <c r="E645" s="14">
        <v>112197</v>
      </c>
      <c r="F645" s="14">
        <v>15979322840</v>
      </c>
      <c r="G645" s="14">
        <v>517637353</v>
      </c>
      <c r="H645" s="28" t="s">
        <v>1809</v>
      </c>
      <c r="I645" s="28" t="s">
        <v>1809</v>
      </c>
      <c r="J645" s="3" t="s">
        <v>1810</v>
      </c>
      <c r="K645" s="15" t="s">
        <v>1808</v>
      </c>
      <c r="L645" s="25"/>
      <c r="N645" s="15" t="s">
        <v>1811</v>
      </c>
      <c r="P645" s="37" t="s">
        <v>25</v>
      </c>
    </row>
    <row r="646" spans="1:16">
      <c r="A646" s="14">
        <v>10912</v>
      </c>
      <c r="B646" s="14"/>
      <c r="C646" s="3" t="s">
        <v>1220</v>
      </c>
      <c r="E646" s="14"/>
      <c r="F646" s="14"/>
      <c r="G646" s="14"/>
      <c r="H646" s="28"/>
      <c r="I646" s="28"/>
      <c r="L646" s="25"/>
    </row>
    <row r="647" spans="1:16">
      <c r="A647" s="14">
        <v>10913</v>
      </c>
      <c r="B647" s="14"/>
      <c r="C647" s="3" t="s">
        <v>1220</v>
      </c>
      <c r="E647" s="14"/>
      <c r="F647" s="14"/>
      <c r="G647" s="14"/>
      <c r="H647" s="28"/>
      <c r="I647" s="28"/>
      <c r="L647" s="25"/>
    </row>
    <row r="648" spans="1:16">
      <c r="A648" s="14">
        <v>10914</v>
      </c>
      <c r="B648" s="14" t="s">
        <v>1812</v>
      </c>
      <c r="C648" s="3" t="s">
        <v>1220</v>
      </c>
      <c r="D648" s="4" t="s">
        <v>19</v>
      </c>
      <c r="E648" s="14">
        <v>109456</v>
      </c>
      <c r="F648" s="14">
        <v>14295462824</v>
      </c>
      <c r="G648" s="14">
        <v>495621197</v>
      </c>
      <c r="H648" s="28" t="s">
        <v>1813</v>
      </c>
      <c r="I648" s="28" t="s">
        <v>1813</v>
      </c>
      <c r="J648" s="3" t="s">
        <v>1814</v>
      </c>
      <c r="K648" s="15" t="s">
        <v>1812</v>
      </c>
      <c r="L648" s="25"/>
      <c r="N648" s="15" t="s">
        <v>1815</v>
      </c>
      <c r="P648" s="37" t="s">
        <v>25</v>
      </c>
    </row>
    <row r="649" spans="1:16">
      <c r="A649" s="14">
        <v>10915</v>
      </c>
      <c r="B649" s="14" t="s">
        <v>1816</v>
      </c>
      <c r="C649" s="3" t="s">
        <v>1220</v>
      </c>
      <c r="D649" s="4" t="s">
        <v>19</v>
      </c>
      <c r="E649" s="14">
        <v>109674</v>
      </c>
      <c r="F649" s="14">
        <v>14507317765</v>
      </c>
      <c r="G649" s="14">
        <v>498373756</v>
      </c>
      <c r="H649" s="28" t="s">
        <v>1817</v>
      </c>
      <c r="I649" s="28" t="s">
        <v>1817</v>
      </c>
      <c r="J649" s="3" t="s">
        <v>1818</v>
      </c>
      <c r="K649" s="15" t="s">
        <v>1816</v>
      </c>
      <c r="L649" s="25"/>
      <c r="N649" s="15" t="s">
        <v>1819</v>
      </c>
      <c r="P649" s="37" t="s">
        <v>25</v>
      </c>
    </row>
    <row r="650" spans="1:16">
      <c r="A650" s="14">
        <v>10916</v>
      </c>
      <c r="B650" s="14" t="s">
        <v>1820</v>
      </c>
      <c r="C650" s="3" t="s">
        <v>1220</v>
      </c>
      <c r="D650" s="4" t="s">
        <v>19</v>
      </c>
      <c r="E650" s="14">
        <v>109483</v>
      </c>
      <c r="F650" s="14">
        <v>14295539246</v>
      </c>
      <c r="G650" s="14">
        <v>495621078</v>
      </c>
      <c r="H650" s="28" t="s">
        <v>1821</v>
      </c>
      <c r="I650" s="28" t="s">
        <v>1821</v>
      </c>
      <c r="J650" s="3" t="s">
        <v>1822</v>
      </c>
      <c r="K650" s="15" t="s">
        <v>1820</v>
      </c>
      <c r="L650" s="25"/>
      <c r="N650" s="15" t="s">
        <v>1823</v>
      </c>
      <c r="P650" s="37" t="s">
        <v>25</v>
      </c>
    </row>
    <row r="651" spans="1:16">
      <c r="A651" s="14">
        <v>10917</v>
      </c>
      <c r="B651" s="14" t="s">
        <v>1824</v>
      </c>
      <c r="C651" s="3" t="s">
        <v>1220</v>
      </c>
      <c r="D651" s="4" t="s">
        <v>19</v>
      </c>
      <c r="E651" s="14">
        <v>112311</v>
      </c>
      <c r="F651" s="14">
        <v>15984713835</v>
      </c>
      <c r="G651" s="14">
        <v>517699256</v>
      </c>
      <c r="H651" s="28" t="s">
        <v>1825</v>
      </c>
      <c r="I651" s="28" t="s">
        <v>1825</v>
      </c>
      <c r="J651" s="3" t="s">
        <v>1826</v>
      </c>
      <c r="K651" s="15" t="s">
        <v>1824</v>
      </c>
      <c r="L651" s="25"/>
      <c r="N651" s="15" t="s">
        <v>1827</v>
      </c>
      <c r="P651" s="37" t="s">
        <v>25</v>
      </c>
    </row>
    <row r="652" spans="1:16">
      <c r="A652" s="14">
        <v>10918</v>
      </c>
      <c r="B652" s="14"/>
      <c r="C652" s="3" t="s">
        <v>1220</v>
      </c>
      <c r="E652" s="14"/>
      <c r="F652" s="14"/>
      <c r="G652" s="14"/>
      <c r="H652" s="28"/>
      <c r="I652" s="28"/>
      <c r="K652" s="15"/>
      <c r="L652" s="25"/>
      <c r="N652" s="15"/>
    </row>
    <row r="653" spans="1:16">
      <c r="A653" s="14">
        <v>10919</v>
      </c>
      <c r="B653" s="14" t="s">
        <v>1828</v>
      </c>
      <c r="C653" s="3" t="s">
        <v>1220</v>
      </c>
      <c r="D653" s="4" t="s">
        <v>19</v>
      </c>
      <c r="E653" s="14">
        <v>112308</v>
      </c>
      <c r="F653" s="14">
        <v>15984696081</v>
      </c>
      <c r="G653" s="14">
        <v>517699262</v>
      </c>
      <c r="H653" s="28" t="s">
        <v>1829</v>
      </c>
      <c r="I653" s="28" t="s">
        <v>1829</v>
      </c>
      <c r="J653" s="3" t="s">
        <v>1830</v>
      </c>
      <c r="K653" s="15" t="s">
        <v>1828</v>
      </c>
      <c r="L653" s="25"/>
      <c r="N653" s="15" t="s">
        <v>1831</v>
      </c>
      <c r="P653" s="37" t="s">
        <v>25</v>
      </c>
    </row>
    <row r="654" spans="1:16">
      <c r="A654" s="14">
        <v>10920</v>
      </c>
      <c r="B654" s="14" t="s">
        <v>1832</v>
      </c>
      <c r="C654" s="3" t="s">
        <v>1220</v>
      </c>
      <c r="D654" s="4" t="s">
        <v>19</v>
      </c>
      <c r="E654" s="14">
        <v>112361</v>
      </c>
      <c r="F654" s="14">
        <v>15998688110</v>
      </c>
      <c r="G654" s="14">
        <v>517878593</v>
      </c>
      <c r="H654" s="28" t="s">
        <v>1833</v>
      </c>
      <c r="I654" s="28" t="s">
        <v>1833</v>
      </c>
      <c r="J654" s="3" t="s">
        <v>1834</v>
      </c>
      <c r="K654" s="15" t="s">
        <v>1832</v>
      </c>
      <c r="L654" s="25"/>
      <c r="N654" s="15" t="s">
        <v>1835</v>
      </c>
      <c r="P654" s="37" t="s">
        <v>25</v>
      </c>
    </row>
    <row r="655" spans="1:16">
      <c r="A655" s="14">
        <v>10921</v>
      </c>
      <c r="B655" s="14"/>
      <c r="C655" s="3" t="s">
        <v>1220</v>
      </c>
      <c r="E655" s="14"/>
      <c r="F655" s="14"/>
      <c r="G655" s="14"/>
      <c r="H655" s="28"/>
      <c r="I655" s="28"/>
      <c r="L655" s="25"/>
    </row>
    <row r="656" spans="1:16">
      <c r="A656" s="14">
        <v>10922</v>
      </c>
      <c r="B656" s="14"/>
      <c r="C656" s="3" t="s">
        <v>1220</v>
      </c>
      <c r="E656" s="14"/>
      <c r="F656" s="14"/>
      <c r="G656" s="14"/>
      <c r="H656" s="28"/>
      <c r="I656" s="28"/>
      <c r="L656" s="25"/>
    </row>
    <row r="657" spans="1:16">
      <c r="A657" s="14">
        <v>10923</v>
      </c>
      <c r="B657" s="14"/>
      <c r="C657" s="3" t="s">
        <v>1220</v>
      </c>
      <c r="E657" s="14"/>
      <c r="F657" s="14"/>
      <c r="G657" s="14"/>
      <c r="H657" s="28"/>
      <c r="I657" s="28"/>
      <c r="L657" s="25"/>
    </row>
    <row r="658" spans="1:16">
      <c r="A658" s="14">
        <v>10924</v>
      </c>
      <c r="B658" s="14" t="s">
        <v>1836</v>
      </c>
      <c r="C658" s="3" t="s">
        <v>1220</v>
      </c>
      <c r="D658" s="4" t="s">
        <v>19</v>
      </c>
      <c r="E658" s="14">
        <v>112193</v>
      </c>
      <c r="F658" s="14">
        <v>15979311462</v>
      </c>
      <c r="G658" s="14">
        <v>517637700</v>
      </c>
      <c r="H658" s="28" t="s">
        <v>1837</v>
      </c>
      <c r="I658" s="28" t="s">
        <v>1837</v>
      </c>
      <c r="J658" s="3" t="s">
        <v>1838</v>
      </c>
      <c r="K658" s="15" t="s">
        <v>1836</v>
      </c>
      <c r="L658" s="25"/>
      <c r="N658" s="15" t="s">
        <v>1839</v>
      </c>
      <c r="P658" s="37" t="s">
        <v>25</v>
      </c>
    </row>
    <row r="659" spans="1:16">
      <c r="A659" s="14">
        <v>10925</v>
      </c>
      <c r="B659" s="14" t="s">
        <v>1840</v>
      </c>
      <c r="C659" s="3" t="s">
        <v>1220</v>
      </c>
      <c r="D659" s="4" t="s">
        <v>19</v>
      </c>
      <c r="E659" s="14">
        <v>112309</v>
      </c>
      <c r="F659" s="14">
        <v>15984701217</v>
      </c>
      <c r="G659" s="14">
        <v>517699266</v>
      </c>
      <c r="H659" s="28" t="s">
        <v>1841</v>
      </c>
      <c r="I659" s="28" t="s">
        <v>1841</v>
      </c>
      <c r="J659" s="3" t="s">
        <v>1842</v>
      </c>
      <c r="K659" s="15" t="s">
        <v>1840</v>
      </c>
      <c r="L659" s="25"/>
      <c r="N659" s="15" t="s">
        <v>1843</v>
      </c>
      <c r="P659" s="37" t="s">
        <v>25</v>
      </c>
    </row>
    <row r="660" spans="1:16">
      <c r="A660" s="14">
        <v>10926</v>
      </c>
      <c r="B660" s="14" t="s">
        <v>1844</v>
      </c>
      <c r="C660" s="3" t="s">
        <v>1220</v>
      </c>
      <c r="D660" s="4" t="s">
        <v>19</v>
      </c>
      <c r="E660" s="14">
        <v>109451</v>
      </c>
      <c r="F660" s="14">
        <v>14295455121</v>
      </c>
      <c r="G660" s="14">
        <v>495621137</v>
      </c>
      <c r="H660" s="28" t="s">
        <v>1845</v>
      </c>
      <c r="I660" s="28" t="s">
        <v>1845</v>
      </c>
      <c r="J660" s="3" t="s">
        <v>1846</v>
      </c>
      <c r="K660" s="15" t="s">
        <v>1844</v>
      </c>
      <c r="L660" s="25"/>
      <c r="N660" s="15" t="s">
        <v>1847</v>
      </c>
      <c r="P660" s="37" t="s">
        <v>25</v>
      </c>
    </row>
    <row r="661" spans="1:16">
      <c r="A661" s="14">
        <v>10927</v>
      </c>
      <c r="B661" s="14"/>
      <c r="C661" s="3" t="s">
        <v>1220</v>
      </c>
      <c r="E661" s="14"/>
      <c r="F661" s="14"/>
      <c r="G661" s="14"/>
      <c r="H661" s="28"/>
      <c r="I661" s="28"/>
      <c r="L661" s="25"/>
    </row>
    <row r="662" spans="1:16">
      <c r="A662" s="14">
        <v>10928</v>
      </c>
      <c r="B662" s="14"/>
      <c r="C662" s="3" t="s">
        <v>1220</v>
      </c>
      <c r="E662" s="14"/>
      <c r="F662" s="14"/>
      <c r="G662" s="14"/>
      <c r="H662" s="28"/>
      <c r="I662" s="28"/>
      <c r="L662" s="25"/>
    </row>
    <row r="663" spans="1:16">
      <c r="A663" s="14">
        <v>10929</v>
      </c>
      <c r="B663" s="14" t="s">
        <v>1848</v>
      </c>
      <c r="C663" s="3" t="s">
        <v>1220</v>
      </c>
      <c r="D663" s="4" t="s">
        <v>19</v>
      </c>
      <c r="E663" s="14">
        <v>109492</v>
      </c>
      <c r="F663" s="14">
        <v>14295550206</v>
      </c>
      <c r="G663" s="14">
        <v>495621237</v>
      </c>
      <c r="H663" s="28" t="s">
        <v>1849</v>
      </c>
      <c r="I663" s="28" t="s">
        <v>1849</v>
      </c>
      <c r="J663" s="3" t="s">
        <v>1850</v>
      </c>
      <c r="K663" s="15" t="s">
        <v>1848</v>
      </c>
      <c r="L663" s="25"/>
      <c r="N663" s="15" t="s">
        <v>1851</v>
      </c>
      <c r="P663" s="37" t="s">
        <v>25</v>
      </c>
    </row>
    <row r="664" spans="1:16">
      <c r="A664" s="14">
        <v>10930</v>
      </c>
      <c r="B664" s="14" t="s">
        <v>957</v>
      </c>
      <c r="C664" s="3" t="s">
        <v>1220</v>
      </c>
      <c r="D664" s="4" t="s">
        <v>19</v>
      </c>
      <c r="E664" s="14">
        <v>109501</v>
      </c>
      <c r="F664" s="14">
        <v>14295553714</v>
      </c>
      <c r="G664" s="14">
        <v>495621076</v>
      </c>
      <c r="H664" s="28" t="s">
        <v>1852</v>
      </c>
      <c r="I664" s="28" t="s">
        <v>1852</v>
      </c>
      <c r="J664" s="3" t="s">
        <v>1853</v>
      </c>
      <c r="K664" s="15" t="s">
        <v>957</v>
      </c>
      <c r="L664" s="25"/>
      <c r="N664" s="15" t="s">
        <v>1854</v>
      </c>
      <c r="P664" s="37" t="s">
        <v>25</v>
      </c>
    </row>
    <row r="665" spans="1:16">
      <c r="A665" s="14">
        <v>10931</v>
      </c>
      <c r="B665" s="14" t="s">
        <v>1855</v>
      </c>
      <c r="C665" s="3" t="s">
        <v>1220</v>
      </c>
      <c r="D665" s="4" t="s">
        <v>19</v>
      </c>
      <c r="E665" s="14">
        <v>109481</v>
      </c>
      <c r="F665" s="14">
        <v>14295538710</v>
      </c>
      <c r="G665" s="14">
        <v>495621179</v>
      </c>
      <c r="H665" s="28" t="s">
        <v>1856</v>
      </c>
      <c r="I665" s="28" t="s">
        <v>1856</v>
      </c>
      <c r="J665" s="3" t="s">
        <v>1857</v>
      </c>
      <c r="K665" s="15" t="s">
        <v>1855</v>
      </c>
      <c r="L665" s="25"/>
      <c r="N665" s="15" t="s">
        <v>1858</v>
      </c>
      <c r="P665" s="37" t="s">
        <v>25</v>
      </c>
    </row>
    <row r="666" spans="1:16">
      <c r="A666" s="14">
        <v>10932</v>
      </c>
      <c r="B666" s="14"/>
      <c r="C666" s="3" t="s">
        <v>1220</v>
      </c>
      <c r="E666" s="14"/>
      <c r="F666" s="14"/>
      <c r="G666" s="14"/>
      <c r="H666" s="28"/>
      <c r="I666" s="28"/>
      <c r="L666" s="25"/>
    </row>
    <row r="667" spans="1:16">
      <c r="A667" s="14">
        <v>10933</v>
      </c>
      <c r="B667" s="14"/>
      <c r="C667" s="3" t="s">
        <v>1220</v>
      </c>
      <c r="E667" s="14"/>
      <c r="F667" s="14"/>
      <c r="G667" s="14"/>
      <c r="H667" s="28"/>
      <c r="I667" s="28"/>
      <c r="L667" s="25"/>
    </row>
    <row r="668" spans="1:16">
      <c r="A668" s="14">
        <v>10934</v>
      </c>
      <c r="B668" s="14" t="s">
        <v>1859</v>
      </c>
      <c r="C668" s="3" t="s">
        <v>1220</v>
      </c>
      <c r="D668" s="4" t="s">
        <v>19</v>
      </c>
      <c r="E668" s="14">
        <v>109474</v>
      </c>
      <c r="F668" s="14">
        <v>14295526678</v>
      </c>
      <c r="G668" s="14">
        <v>495621227</v>
      </c>
      <c r="H668" s="28" t="s">
        <v>1860</v>
      </c>
      <c r="I668" s="28" t="s">
        <v>1860</v>
      </c>
      <c r="J668" s="3" t="s">
        <v>1861</v>
      </c>
      <c r="K668" s="15" t="s">
        <v>1859</v>
      </c>
      <c r="L668" s="25"/>
      <c r="N668" s="15" t="s">
        <v>1862</v>
      </c>
      <c r="P668" s="37" t="s">
        <v>25</v>
      </c>
    </row>
    <row r="669" spans="1:16">
      <c r="A669" s="14">
        <v>10935</v>
      </c>
      <c r="B669" s="14" t="s">
        <v>1863</v>
      </c>
      <c r="C669" s="3" t="s">
        <v>1220</v>
      </c>
      <c r="D669" s="4" t="s">
        <v>19</v>
      </c>
      <c r="E669" s="14">
        <v>112310</v>
      </c>
      <c r="F669" s="14">
        <v>15984701218</v>
      </c>
      <c r="G669" s="14">
        <v>517699268</v>
      </c>
      <c r="H669" s="28" t="s">
        <v>1864</v>
      </c>
      <c r="I669" s="28" t="s">
        <v>1864</v>
      </c>
      <c r="J669" s="3" t="s">
        <v>1865</v>
      </c>
      <c r="K669" s="15" t="s">
        <v>1863</v>
      </c>
      <c r="L669" s="25"/>
      <c r="N669" s="15" t="s">
        <v>1866</v>
      </c>
      <c r="P669" s="37" t="s">
        <v>25</v>
      </c>
    </row>
    <row r="670" spans="1:16">
      <c r="A670" s="14">
        <v>10936</v>
      </c>
      <c r="B670" s="14" t="s">
        <v>1867</v>
      </c>
      <c r="C670" s="3" t="s">
        <v>1220</v>
      </c>
      <c r="D670" s="4" t="s">
        <v>19</v>
      </c>
      <c r="E670" s="14">
        <v>112414</v>
      </c>
      <c r="F670" s="14">
        <v>16004001000</v>
      </c>
      <c r="G670" s="14">
        <v>517938469</v>
      </c>
      <c r="H670" s="28" t="s">
        <v>1868</v>
      </c>
      <c r="I670" s="28" t="s">
        <v>1868</v>
      </c>
      <c r="J670" s="3" t="s">
        <v>1869</v>
      </c>
      <c r="K670" s="15" t="s">
        <v>1867</v>
      </c>
      <c r="L670" s="25"/>
      <c r="N670" s="15" t="s">
        <v>1870</v>
      </c>
      <c r="P670" s="37" t="s">
        <v>25</v>
      </c>
    </row>
    <row r="671" spans="1:16">
      <c r="A671" s="14">
        <v>10937</v>
      </c>
      <c r="B671" s="14" t="s">
        <v>1871</v>
      </c>
      <c r="C671" s="3" t="s">
        <v>1220</v>
      </c>
      <c r="D671" s="4" t="s">
        <v>19</v>
      </c>
      <c r="E671" s="14">
        <v>112438</v>
      </c>
      <c r="F671" s="14">
        <v>16008702097</v>
      </c>
      <c r="G671" s="14">
        <v>517999847</v>
      </c>
      <c r="H671" s="28" t="s">
        <v>1872</v>
      </c>
      <c r="I671" s="28" t="s">
        <v>1872</v>
      </c>
      <c r="J671" s="3" t="s">
        <v>1873</v>
      </c>
      <c r="K671" s="15" t="s">
        <v>1871</v>
      </c>
      <c r="L671" s="25"/>
      <c r="N671" s="15" t="s">
        <v>1874</v>
      </c>
      <c r="P671" s="37" t="s">
        <v>25</v>
      </c>
    </row>
    <row r="672" spans="1:16">
      <c r="A672" s="14">
        <v>10938</v>
      </c>
      <c r="B672" s="14" t="s">
        <v>1875</v>
      </c>
      <c r="C672" s="3" t="s">
        <v>1220</v>
      </c>
      <c r="D672" s="4" t="s">
        <v>19</v>
      </c>
      <c r="E672" s="14">
        <v>112344</v>
      </c>
      <c r="F672" s="14">
        <v>15988513889</v>
      </c>
      <c r="G672" s="14">
        <v>517699277</v>
      </c>
      <c r="H672" s="28" t="s">
        <v>1876</v>
      </c>
      <c r="I672" s="28" t="s">
        <v>1876</v>
      </c>
      <c r="J672" s="3" t="s">
        <v>1877</v>
      </c>
      <c r="K672" s="15" t="s">
        <v>1875</v>
      </c>
      <c r="L672" s="25"/>
      <c r="N672" s="15" t="s">
        <v>1878</v>
      </c>
      <c r="P672" s="37" t="s">
        <v>25</v>
      </c>
    </row>
    <row r="673" spans="1:16">
      <c r="A673" s="14">
        <v>10939</v>
      </c>
      <c r="B673" s="14" t="s">
        <v>1879</v>
      </c>
      <c r="C673" s="3" t="s">
        <v>1220</v>
      </c>
      <c r="D673" s="4" t="s">
        <v>19</v>
      </c>
      <c r="E673" s="14">
        <v>109559</v>
      </c>
      <c r="F673" s="14">
        <v>14295776530</v>
      </c>
      <c r="G673" s="14">
        <v>495621169</v>
      </c>
      <c r="H673" s="28" t="s">
        <v>1880</v>
      </c>
      <c r="I673" s="28" t="s">
        <v>1880</v>
      </c>
      <c r="J673" s="3" t="s">
        <v>1881</v>
      </c>
      <c r="K673" s="15" t="s">
        <v>1879</v>
      </c>
      <c r="L673" s="25"/>
      <c r="N673" s="15" t="s">
        <v>1882</v>
      </c>
      <c r="P673" s="37" t="s">
        <v>25</v>
      </c>
    </row>
    <row r="674" spans="1:16">
      <c r="A674" s="14">
        <v>10940</v>
      </c>
      <c r="B674" s="14"/>
      <c r="C674" s="3" t="s">
        <v>1220</v>
      </c>
      <c r="E674" s="14"/>
      <c r="F674" s="14"/>
      <c r="G674" s="14"/>
      <c r="H674" s="28"/>
      <c r="I674" s="28"/>
      <c r="L674" s="25"/>
    </row>
    <row r="675" spans="1:16">
      <c r="A675" s="14">
        <v>10941</v>
      </c>
      <c r="B675" s="14"/>
      <c r="C675" s="3" t="s">
        <v>1220</v>
      </c>
      <c r="E675" s="14"/>
      <c r="F675" s="14"/>
      <c r="G675" s="14"/>
      <c r="H675" s="28"/>
      <c r="I675" s="28"/>
      <c r="L675" s="25"/>
    </row>
    <row r="676" spans="1:16">
      <c r="A676" s="14">
        <v>10942</v>
      </c>
      <c r="B676" s="14" t="s">
        <v>1883</v>
      </c>
      <c r="C676" s="3" t="s">
        <v>1220</v>
      </c>
      <c r="D676" s="4" t="s">
        <v>19</v>
      </c>
      <c r="E676" s="14">
        <v>109545</v>
      </c>
      <c r="F676" s="14">
        <v>14295675036</v>
      </c>
      <c r="G676" s="14">
        <v>495621118</v>
      </c>
      <c r="H676" s="28" t="s">
        <v>1884</v>
      </c>
      <c r="I676" s="28" t="s">
        <v>1884</v>
      </c>
      <c r="J676" s="3" t="s">
        <v>1885</v>
      </c>
      <c r="K676" s="15" t="s">
        <v>1883</v>
      </c>
      <c r="L676" s="25"/>
      <c r="N676" s="15" t="s">
        <v>1886</v>
      </c>
      <c r="P676" s="37" t="s">
        <v>25</v>
      </c>
    </row>
    <row r="677" spans="1:16">
      <c r="A677" s="14">
        <v>10943</v>
      </c>
      <c r="B677" s="14" t="s">
        <v>1887</v>
      </c>
      <c r="C677" s="3" t="s">
        <v>1220</v>
      </c>
      <c r="D677" s="4" t="s">
        <v>19</v>
      </c>
      <c r="E677" s="14">
        <v>109578</v>
      </c>
      <c r="F677" s="14">
        <v>14299386168</v>
      </c>
      <c r="G677" s="14">
        <v>495621067</v>
      </c>
      <c r="H677" s="28" t="s">
        <v>1888</v>
      </c>
      <c r="I677" s="28" t="s">
        <v>1888</v>
      </c>
      <c r="J677" s="3" t="s">
        <v>1889</v>
      </c>
      <c r="K677" s="15" t="s">
        <v>1887</v>
      </c>
      <c r="L677" s="25"/>
      <c r="N677" s="15" t="s">
        <v>1890</v>
      </c>
      <c r="P677" s="37" t="s">
        <v>25</v>
      </c>
    </row>
    <row r="678" spans="1:16">
      <c r="A678" s="14">
        <v>10944</v>
      </c>
      <c r="B678" s="14" t="s">
        <v>1891</v>
      </c>
      <c r="C678" s="3" t="s">
        <v>1220</v>
      </c>
      <c r="D678" s="4" t="s">
        <v>19</v>
      </c>
      <c r="E678" s="14">
        <v>112353</v>
      </c>
      <c r="F678" s="14">
        <v>15998583591</v>
      </c>
      <c r="G678" s="14">
        <v>517878557</v>
      </c>
      <c r="H678" s="28" t="s">
        <v>1892</v>
      </c>
      <c r="I678" s="28" t="s">
        <v>1892</v>
      </c>
      <c r="J678" s="3" t="s">
        <v>1893</v>
      </c>
      <c r="K678" s="15" t="s">
        <v>1891</v>
      </c>
      <c r="L678" s="25"/>
      <c r="N678" s="15" t="s">
        <v>1894</v>
      </c>
      <c r="P678" s="37" t="s">
        <v>25</v>
      </c>
    </row>
    <row r="679" spans="1:16">
      <c r="A679" s="14">
        <v>10945</v>
      </c>
      <c r="B679" s="14"/>
      <c r="C679" s="3" t="s">
        <v>1220</v>
      </c>
      <c r="E679" s="14"/>
      <c r="F679" s="14"/>
      <c r="G679" s="14"/>
      <c r="H679" s="28"/>
      <c r="I679" s="28"/>
      <c r="L679" s="25"/>
    </row>
    <row r="680" spans="1:16">
      <c r="A680" s="14">
        <v>10946</v>
      </c>
      <c r="B680" s="14"/>
      <c r="C680" s="3" t="s">
        <v>1220</v>
      </c>
      <c r="E680" s="14"/>
      <c r="F680" s="14"/>
      <c r="G680" s="14"/>
      <c r="H680" s="28"/>
      <c r="I680" s="28"/>
      <c r="L680" s="25"/>
    </row>
    <row r="681" spans="1:16">
      <c r="A681" s="14">
        <v>10947</v>
      </c>
      <c r="B681" s="14" t="s">
        <v>1895</v>
      </c>
      <c r="C681" s="3" t="s">
        <v>1220</v>
      </c>
      <c r="D681" s="4" t="s">
        <v>19</v>
      </c>
      <c r="E681" s="14">
        <v>112153</v>
      </c>
      <c r="F681" s="14">
        <v>15973223799</v>
      </c>
      <c r="G681" s="14">
        <v>517571286</v>
      </c>
      <c r="H681" s="28" t="s">
        <v>1896</v>
      </c>
      <c r="I681" s="28" t="s">
        <v>1896</v>
      </c>
      <c r="J681" s="3" t="s">
        <v>1897</v>
      </c>
      <c r="K681" s="15" t="s">
        <v>1895</v>
      </c>
      <c r="L681" s="25"/>
      <c r="N681" s="15" t="s">
        <v>1898</v>
      </c>
      <c r="P681" s="37" t="s">
        <v>25</v>
      </c>
    </row>
    <row r="682" spans="1:16">
      <c r="A682" s="14">
        <v>10948</v>
      </c>
      <c r="B682" s="14" t="s">
        <v>1899</v>
      </c>
      <c r="C682" s="3" t="s">
        <v>1220</v>
      </c>
      <c r="D682" s="4" t="s">
        <v>19</v>
      </c>
      <c r="E682" s="14">
        <v>112152</v>
      </c>
      <c r="F682" s="14">
        <v>15973180292</v>
      </c>
      <c r="G682" s="14">
        <v>517571301</v>
      </c>
      <c r="H682" s="28" t="s">
        <v>1900</v>
      </c>
      <c r="I682" s="28" t="s">
        <v>1900</v>
      </c>
      <c r="J682" s="3" t="s">
        <v>1901</v>
      </c>
      <c r="K682" s="15" t="s">
        <v>1899</v>
      </c>
      <c r="L682" s="25"/>
      <c r="N682" s="15" t="s">
        <v>1902</v>
      </c>
      <c r="P682" s="37" t="s">
        <v>25</v>
      </c>
    </row>
    <row r="683" spans="1:16">
      <c r="A683" s="14">
        <v>10949</v>
      </c>
      <c r="B683" s="14"/>
      <c r="C683" s="3" t="s">
        <v>1220</v>
      </c>
      <c r="E683" s="14"/>
      <c r="F683" s="14"/>
      <c r="G683" s="14"/>
      <c r="H683" s="28"/>
      <c r="I683" s="28"/>
      <c r="L683" s="25"/>
    </row>
    <row r="684" spans="1:16">
      <c r="A684" s="14">
        <v>10950</v>
      </c>
      <c r="B684" s="14"/>
      <c r="C684" s="3" t="s">
        <v>1220</v>
      </c>
      <c r="E684" s="14"/>
      <c r="F684" s="14"/>
      <c r="G684" s="14"/>
      <c r="H684" s="28"/>
      <c r="I684" s="28"/>
      <c r="L684" s="25"/>
    </row>
    <row r="685" spans="1:16">
      <c r="A685" s="14">
        <v>10951</v>
      </c>
      <c r="B685" s="14" t="s">
        <v>1903</v>
      </c>
      <c r="C685" s="3" t="s">
        <v>1220</v>
      </c>
      <c r="D685" s="4" t="s">
        <v>19</v>
      </c>
      <c r="E685" s="14">
        <v>109594</v>
      </c>
      <c r="F685" s="14">
        <v>14305342946</v>
      </c>
      <c r="G685" s="14">
        <v>495621196</v>
      </c>
      <c r="H685" s="28" t="s">
        <v>1904</v>
      </c>
      <c r="I685" s="28" t="s">
        <v>1904</v>
      </c>
      <c r="J685" s="3" t="s">
        <v>1905</v>
      </c>
      <c r="K685" s="15" t="s">
        <v>1903</v>
      </c>
      <c r="L685" s="25"/>
      <c r="N685" s="15" t="s">
        <v>1906</v>
      </c>
      <c r="P685" s="37" t="s">
        <v>25</v>
      </c>
    </row>
    <row r="686" spans="1:16">
      <c r="A686" s="14">
        <v>10952</v>
      </c>
      <c r="B686" s="14" t="s">
        <v>1907</v>
      </c>
      <c r="C686" s="3" t="s">
        <v>1220</v>
      </c>
      <c r="D686" s="4" t="s">
        <v>19</v>
      </c>
      <c r="E686" s="14">
        <v>109465</v>
      </c>
      <c r="F686" s="14">
        <v>14295518264</v>
      </c>
      <c r="G686" s="14">
        <v>495621126</v>
      </c>
      <c r="H686" s="28" t="s">
        <v>1908</v>
      </c>
      <c r="I686" s="28" t="s">
        <v>1908</v>
      </c>
      <c r="J686" s="3" t="s">
        <v>1909</v>
      </c>
      <c r="K686" s="15" t="s">
        <v>1907</v>
      </c>
      <c r="L686" s="25"/>
      <c r="N686" s="15" t="s">
        <v>1910</v>
      </c>
      <c r="P686" s="37" t="s">
        <v>25</v>
      </c>
    </row>
    <row r="687" spans="1:16">
      <c r="A687" s="14">
        <v>10953</v>
      </c>
      <c r="B687" s="14" t="s">
        <v>1911</v>
      </c>
      <c r="C687" s="3" t="s">
        <v>1220</v>
      </c>
      <c r="D687" s="4" t="s">
        <v>19</v>
      </c>
      <c r="E687" s="14">
        <v>109584</v>
      </c>
      <c r="F687" s="14">
        <v>14299667363</v>
      </c>
      <c r="G687" s="14">
        <v>495621138</v>
      </c>
      <c r="H687" s="28" t="s">
        <v>1912</v>
      </c>
      <c r="I687" s="28" t="s">
        <v>1912</v>
      </c>
      <c r="J687" s="3" t="s">
        <v>1913</v>
      </c>
      <c r="K687" s="15" t="s">
        <v>1911</v>
      </c>
      <c r="L687" s="25"/>
      <c r="N687" s="15" t="s">
        <v>1914</v>
      </c>
      <c r="P687" s="37" t="s">
        <v>25</v>
      </c>
    </row>
    <row r="688" spans="1:16">
      <c r="A688" s="14">
        <v>10954</v>
      </c>
      <c r="B688" s="14" t="s">
        <v>1915</v>
      </c>
      <c r="C688" s="3" t="s">
        <v>1220</v>
      </c>
      <c r="D688" s="4" t="s">
        <v>19</v>
      </c>
      <c r="E688" s="14">
        <v>112327</v>
      </c>
      <c r="F688" s="14">
        <v>15986922199</v>
      </c>
      <c r="G688" s="14">
        <v>517699211</v>
      </c>
      <c r="H688" s="28" t="s">
        <v>1916</v>
      </c>
      <c r="I688" s="28" t="s">
        <v>1916</v>
      </c>
      <c r="J688" s="3" t="s">
        <v>1917</v>
      </c>
      <c r="K688" s="15" t="s">
        <v>1915</v>
      </c>
      <c r="L688" s="25"/>
      <c r="N688" s="15" t="s">
        <v>1918</v>
      </c>
      <c r="P688" s="37" t="s">
        <v>25</v>
      </c>
    </row>
    <row r="689" spans="1:16">
      <c r="A689" s="14">
        <v>10955</v>
      </c>
      <c r="B689" s="14" t="s">
        <v>1919</v>
      </c>
      <c r="C689" s="3" t="s">
        <v>1220</v>
      </c>
      <c r="D689" s="4" t="s">
        <v>19</v>
      </c>
      <c r="E689" s="14">
        <v>112345</v>
      </c>
      <c r="F689" s="14">
        <v>15988557215</v>
      </c>
      <c r="G689" s="14">
        <v>517699169</v>
      </c>
      <c r="H689" s="28" t="s">
        <v>1920</v>
      </c>
      <c r="I689" s="28" t="s">
        <v>1920</v>
      </c>
      <c r="J689" s="3" t="s">
        <v>1921</v>
      </c>
      <c r="K689" s="15" t="s">
        <v>1919</v>
      </c>
      <c r="L689" s="25"/>
      <c r="N689" s="15" t="s">
        <v>1922</v>
      </c>
      <c r="P689" s="37" t="s">
        <v>25</v>
      </c>
    </row>
    <row r="690" spans="1:16">
      <c r="A690" s="14">
        <v>10956</v>
      </c>
      <c r="B690" s="14" t="s">
        <v>1923</v>
      </c>
      <c r="C690" s="3" t="s">
        <v>1220</v>
      </c>
      <c r="D690" s="4" t="s">
        <v>19</v>
      </c>
      <c r="E690" s="14">
        <v>112220</v>
      </c>
      <c r="F690" s="14">
        <v>15979422859</v>
      </c>
      <c r="G690" s="14">
        <v>517637460</v>
      </c>
      <c r="H690" s="28" t="s">
        <v>1924</v>
      </c>
      <c r="I690" s="28" t="s">
        <v>1924</v>
      </c>
      <c r="J690" s="3" t="s">
        <v>1925</v>
      </c>
      <c r="K690" s="15" t="s">
        <v>1923</v>
      </c>
      <c r="L690" s="25"/>
      <c r="N690" s="15" t="s">
        <v>1926</v>
      </c>
      <c r="P690" s="37" t="s">
        <v>25</v>
      </c>
    </row>
    <row r="691" spans="1:16">
      <c r="A691" s="14">
        <v>10957</v>
      </c>
      <c r="B691" s="14"/>
      <c r="C691" s="3" t="s">
        <v>1220</v>
      </c>
      <c r="E691" s="14"/>
      <c r="F691" s="14"/>
      <c r="G691" s="14"/>
      <c r="H691" s="28"/>
      <c r="I691" s="28"/>
      <c r="L691" s="25"/>
    </row>
    <row r="692" spans="1:16">
      <c r="A692" s="14">
        <v>10958</v>
      </c>
      <c r="B692" s="14"/>
      <c r="C692" s="3" t="s">
        <v>1220</v>
      </c>
      <c r="E692" s="14"/>
      <c r="F692" s="14"/>
      <c r="G692" s="14"/>
      <c r="H692" s="28"/>
      <c r="I692" s="28"/>
      <c r="L692" s="25"/>
    </row>
    <row r="693" spans="1:16">
      <c r="A693" s="14">
        <v>10959</v>
      </c>
      <c r="B693" s="14" t="s">
        <v>1927</v>
      </c>
      <c r="C693" s="3" t="s">
        <v>1220</v>
      </c>
      <c r="D693" s="4" t="s">
        <v>19</v>
      </c>
      <c r="E693" s="14">
        <v>112202</v>
      </c>
      <c r="F693" s="14">
        <v>15979327553</v>
      </c>
      <c r="G693" s="14">
        <v>517637394</v>
      </c>
      <c r="H693" s="28" t="s">
        <v>1928</v>
      </c>
      <c r="I693" s="28" t="s">
        <v>1928</v>
      </c>
      <c r="J693" s="3" t="s">
        <v>1929</v>
      </c>
      <c r="K693" s="15" t="s">
        <v>1927</v>
      </c>
      <c r="L693" s="25"/>
      <c r="N693" s="15" t="s">
        <v>1930</v>
      </c>
      <c r="P693" s="37" t="s">
        <v>25</v>
      </c>
    </row>
    <row r="694" spans="1:16">
      <c r="A694" s="14">
        <v>10960</v>
      </c>
      <c r="B694" s="14" t="s">
        <v>1931</v>
      </c>
      <c r="C694" s="3" t="s">
        <v>1220</v>
      </c>
      <c r="D694" s="4" t="s">
        <v>19</v>
      </c>
      <c r="E694" s="14">
        <v>109452</v>
      </c>
      <c r="F694" s="14">
        <v>14295455739</v>
      </c>
      <c r="G694" s="14">
        <v>495621062</v>
      </c>
      <c r="H694" s="28" t="s">
        <v>1932</v>
      </c>
      <c r="I694" s="28" t="s">
        <v>1932</v>
      </c>
      <c r="J694" s="3" t="s">
        <v>1933</v>
      </c>
      <c r="K694" s="15" t="s">
        <v>1931</v>
      </c>
      <c r="L694" s="25"/>
      <c r="N694" s="15" t="s">
        <v>1934</v>
      </c>
      <c r="P694" s="37" t="s">
        <v>25</v>
      </c>
    </row>
    <row r="695" spans="1:16">
      <c r="A695" s="14">
        <v>10961</v>
      </c>
      <c r="B695" s="14" t="s">
        <v>1935</v>
      </c>
      <c r="C695" s="3" t="s">
        <v>1220</v>
      </c>
      <c r="D695" s="4" t="s">
        <v>19</v>
      </c>
      <c r="E695" s="14">
        <v>109510</v>
      </c>
      <c r="F695" s="14">
        <v>14295560335</v>
      </c>
      <c r="G695" s="14">
        <v>495621246</v>
      </c>
      <c r="H695" s="28" t="s">
        <v>1936</v>
      </c>
      <c r="I695" s="28" t="s">
        <v>1936</v>
      </c>
      <c r="J695" s="3" t="s">
        <v>1937</v>
      </c>
      <c r="K695" s="15" t="s">
        <v>1935</v>
      </c>
      <c r="L695" s="25"/>
      <c r="N695" s="15" t="s">
        <v>1938</v>
      </c>
      <c r="P695" s="37" t="s">
        <v>25</v>
      </c>
    </row>
    <row r="696" spans="1:16">
      <c r="A696" s="14">
        <v>10962</v>
      </c>
      <c r="B696" s="14" t="s">
        <v>1939</v>
      </c>
      <c r="C696" s="3" t="s">
        <v>1220</v>
      </c>
      <c r="D696" s="4" t="s">
        <v>19</v>
      </c>
      <c r="E696" s="14">
        <v>109511</v>
      </c>
      <c r="F696" s="14">
        <v>14295564806</v>
      </c>
      <c r="G696" s="14">
        <v>495621204</v>
      </c>
      <c r="H696" s="28" t="s">
        <v>1940</v>
      </c>
      <c r="I696" s="28" t="s">
        <v>1940</v>
      </c>
      <c r="J696" s="3" t="s">
        <v>1941</v>
      </c>
      <c r="K696" s="15" t="s">
        <v>1939</v>
      </c>
      <c r="L696" s="25"/>
      <c r="N696" s="15" t="s">
        <v>1942</v>
      </c>
      <c r="P696" s="37" t="s">
        <v>25</v>
      </c>
    </row>
    <row r="697" spans="1:16">
      <c r="A697" s="14">
        <v>10963</v>
      </c>
      <c r="B697" s="14" t="s">
        <v>1943</v>
      </c>
      <c r="C697" s="3" t="s">
        <v>1220</v>
      </c>
      <c r="D697" s="4" t="s">
        <v>19</v>
      </c>
      <c r="E697" s="14">
        <v>109436</v>
      </c>
      <c r="F697" s="14">
        <v>14294931470</v>
      </c>
      <c r="G697" s="14">
        <v>495621127</v>
      </c>
      <c r="H697" s="28" t="s">
        <v>1944</v>
      </c>
      <c r="I697" s="28" t="s">
        <v>1944</v>
      </c>
      <c r="J697" s="3" t="s">
        <v>1945</v>
      </c>
      <c r="K697" s="15" t="s">
        <v>1943</v>
      </c>
      <c r="L697" s="25"/>
      <c r="N697" s="15" t="s">
        <v>1946</v>
      </c>
      <c r="P697" s="37" t="s">
        <v>25</v>
      </c>
    </row>
    <row r="698" spans="1:16">
      <c r="A698" s="14">
        <v>10964</v>
      </c>
      <c r="B698" s="14" t="s">
        <v>1947</v>
      </c>
      <c r="C698" s="3" t="s">
        <v>1220</v>
      </c>
      <c r="D698" s="4" t="s">
        <v>19</v>
      </c>
      <c r="E698" s="14">
        <v>109560</v>
      </c>
      <c r="F698" s="14">
        <v>14295776531</v>
      </c>
      <c r="G698" s="14">
        <v>495621093</v>
      </c>
      <c r="H698" s="28" t="s">
        <v>1948</v>
      </c>
      <c r="I698" s="28" t="s">
        <v>1948</v>
      </c>
      <c r="J698" s="3" t="s">
        <v>1949</v>
      </c>
      <c r="K698" s="15" t="s">
        <v>1947</v>
      </c>
      <c r="L698" s="25"/>
      <c r="N698" s="15" t="s">
        <v>1950</v>
      </c>
      <c r="P698" s="37" t="s">
        <v>25</v>
      </c>
    </row>
    <row r="699" spans="1:16">
      <c r="A699" s="14">
        <v>10965</v>
      </c>
      <c r="B699" s="14" t="s">
        <v>1951</v>
      </c>
      <c r="C699" s="3" t="s">
        <v>1220</v>
      </c>
      <c r="D699" s="4" t="s">
        <v>19</v>
      </c>
      <c r="E699" s="14">
        <v>109666</v>
      </c>
      <c r="F699" s="14">
        <v>14507298048</v>
      </c>
      <c r="G699" s="14">
        <v>498373747</v>
      </c>
      <c r="H699" s="28" t="s">
        <v>1952</v>
      </c>
      <c r="I699" s="28" t="s">
        <v>1952</v>
      </c>
      <c r="J699" s="3" t="s">
        <v>1953</v>
      </c>
      <c r="K699" s="15" t="s">
        <v>1951</v>
      </c>
      <c r="L699" s="25"/>
      <c r="N699" s="15" t="s">
        <v>1954</v>
      </c>
      <c r="P699" s="37" t="s">
        <v>25</v>
      </c>
    </row>
    <row r="700" spans="1:16">
      <c r="A700" s="14">
        <v>10966</v>
      </c>
      <c r="B700" s="14"/>
      <c r="C700" s="3" t="s">
        <v>1220</v>
      </c>
      <c r="E700" s="14"/>
      <c r="F700" s="14"/>
      <c r="G700" s="14"/>
      <c r="H700" s="28"/>
      <c r="I700" s="28"/>
      <c r="L700" s="25"/>
    </row>
    <row r="701" spans="1:16">
      <c r="A701" s="14">
        <v>10967</v>
      </c>
      <c r="B701" s="14"/>
      <c r="C701" s="3" t="s">
        <v>1220</v>
      </c>
      <c r="E701" s="14"/>
      <c r="F701" s="14"/>
      <c r="G701" s="14"/>
      <c r="H701" s="28"/>
      <c r="I701" s="28"/>
      <c r="L701" s="25"/>
    </row>
    <row r="702" spans="1:16">
      <c r="A702" s="14">
        <v>10968</v>
      </c>
      <c r="B702" s="14" t="s">
        <v>1955</v>
      </c>
      <c r="C702" s="3" t="s">
        <v>1220</v>
      </c>
      <c r="D702" s="4" t="s">
        <v>19</v>
      </c>
      <c r="E702" s="14">
        <v>112178</v>
      </c>
      <c r="F702" s="14">
        <v>15974354085</v>
      </c>
      <c r="G702" s="14">
        <v>517571285</v>
      </c>
      <c r="H702" s="28" t="s">
        <v>1956</v>
      </c>
      <c r="I702" s="28" t="s">
        <v>1956</v>
      </c>
      <c r="J702" s="3" t="s">
        <v>1957</v>
      </c>
      <c r="K702" s="15" t="s">
        <v>1955</v>
      </c>
      <c r="L702" s="25"/>
      <c r="N702" s="15" t="s">
        <v>1958</v>
      </c>
      <c r="P702" s="37" t="s">
        <v>25</v>
      </c>
    </row>
    <row r="703" spans="1:16">
      <c r="A703" s="14">
        <v>10969</v>
      </c>
      <c r="B703" s="14" t="s">
        <v>1959</v>
      </c>
      <c r="C703" s="3" t="s">
        <v>1220</v>
      </c>
      <c r="D703" s="4" t="s">
        <v>19</v>
      </c>
      <c r="E703" s="14">
        <v>104603</v>
      </c>
      <c r="F703" s="14">
        <v>11052366091</v>
      </c>
      <c r="G703" s="14">
        <v>453875853</v>
      </c>
      <c r="H703" s="28" t="s">
        <v>1960</v>
      </c>
      <c r="I703" s="28" t="s">
        <v>1960</v>
      </c>
      <c r="J703" s="3" t="s">
        <v>1961</v>
      </c>
      <c r="K703" s="15" t="s">
        <v>1959</v>
      </c>
      <c r="L703" s="25"/>
      <c r="N703" s="15" t="s">
        <v>1962</v>
      </c>
      <c r="P703" s="37" t="s">
        <v>25</v>
      </c>
    </row>
    <row r="704" spans="1:16">
      <c r="A704" s="14">
        <v>10970</v>
      </c>
      <c r="B704" s="14"/>
      <c r="C704" s="3" t="s">
        <v>1220</v>
      </c>
      <c r="E704" s="14"/>
      <c r="F704" s="14"/>
      <c r="G704" s="14"/>
      <c r="H704" s="28"/>
      <c r="I704" s="28"/>
      <c r="L704" s="25"/>
    </row>
    <row r="705" spans="1:16">
      <c r="A705" s="14">
        <v>10971</v>
      </c>
      <c r="B705" s="14" t="s">
        <v>1963</v>
      </c>
      <c r="C705" s="3" t="s">
        <v>1220</v>
      </c>
      <c r="D705" s="4" t="s">
        <v>19</v>
      </c>
      <c r="E705" s="14">
        <v>109579</v>
      </c>
      <c r="F705" s="14">
        <v>14299420867</v>
      </c>
      <c r="G705" s="14">
        <v>495621153</v>
      </c>
      <c r="H705" s="28" t="s">
        <v>1964</v>
      </c>
      <c r="I705" s="28" t="s">
        <v>1964</v>
      </c>
      <c r="J705" s="3" t="s">
        <v>1965</v>
      </c>
      <c r="K705" s="15" t="s">
        <v>1963</v>
      </c>
      <c r="L705" s="25"/>
      <c r="N705" s="15" t="s">
        <v>1966</v>
      </c>
      <c r="P705" s="37" t="s">
        <v>25</v>
      </c>
    </row>
    <row r="706" spans="1:16">
      <c r="A706" s="14">
        <v>10972</v>
      </c>
      <c r="B706" s="14" t="s">
        <v>1967</v>
      </c>
      <c r="C706" s="3" t="s">
        <v>1220</v>
      </c>
      <c r="D706" s="4" t="s">
        <v>19</v>
      </c>
      <c r="E706" s="14">
        <v>112400</v>
      </c>
      <c r="F706" s="14">
        <v>16003765590</v>
      </c>
      <c r="G706" s="14">
        <v>517938462</v>
      </c>
      <c r="H706" s="28" t="s">
        <v>1968</v>
      </c>
      <c r="I706" s="28" t="s">
        <v>1968</v>
      </c>
      <c r="J706" s="3" t="s">
        <v>1969</v>
      </c>
      <c r="K706" s="15" t="s">
        <v>1967</v>
      </c>
      <c r="L706" s="25"/>
      <c r="N706" s="15" t="s">
        <v>1970</v>
      </c>
      <c r="P706" s="37" t="s">
        <v>25</v>
      </c>
    </row>
    <row r="707" spans="1:16">
      <c r="A707" s="14">
        <v>10973</v>
      </c>
      <c r="B707" s="14" t="s">
        <v>1971</v>
      </c>
      <c r="C707" s="3" t="s">
        <v>1220</v>
      </c>
      <c r="D707" s="4" t="s">
        <v>19</v>
      </c>
      <c r="E707" s="14">
        <v>112182</v>
      </c>
      <c r="F707" s="14">
        <v>15974362251</v>
      </c>
      <c r="G707" s="14">
        <v>517571292</v>
      </c>
      <c r="H707" s="28" t="s">
        <v>1972</v>
      </c>
      <c r="I707" s="28" t="s">
        <v>1972</v>
      </c>
      <c r="J707" s="3" t="s">
        <v>1973</v>
      </c>
      <c r="K707" s="15" t="s">
        <v>1971</v>
      </c>
      <c r="L707" s="25"/>
      <c r="N707" s="15" t="s">
        <v>1974</v>
      </c>
      <c r="P707" s="37" t="s">
        <v>25</v>
      </c>
    </row>
    <row r="708" spans="1:16">
      <c r="A708" s="14">
        <v>10974</v>
      </c>
      <c r="B708" s="14" t="s">
        <v>1975</v>
      </c>
      <c r="C708" s="3" t="s">
        <v>1220</v>
      </c>
      <c r="D708" s="4" t="s">
        <v>19</v>
      </c>
      <c r="E708" s="14">
        <v>112223</v>
      </c>
      <c r="F708" s="14">
        <v>15979665846</v>
      </c>
      <c r="G708" s="14">
        <v>517637355</v>
      </c>
      <c r="H708" s="28" t="s">
        <v>1976</v>
      </c>
      <c r="I708" s="28" t="s">
        <v>1976</v>
      </c>
      <c r="J708" s="3" t="s">
        <v>1977</v>
      </c>
      <c r="K708" s="15" t="s">
        <v>1975</v>
      </c>
      <c r="L708" s="25"/>
      <c r="N708" s="15" t="s">
        <v>1978</v>
      </c>
      <c r="P708" s="37" t="s">
        <v>25</v>
      </c>
    </row>
    <row r="709" spans="1:16">
      <c r="A709" s="14">
        <v>10975</v>
      </c>
      <c r="B709" s="14"/>
      <c r="C709" s="3" t="s">
        <v>1220</v>
      </c>
      <c r="E709" s="14"/>
      <c r="F709" s="14"/>
      <c r="G709" s="14"/>
      <c r="H709" s="28"/>
      <c r="I709" s="28"/>
      <c r="L709" s="25"/>
    </row>
    <row r="710" spans="1:16">
      <c r="A710" s="14">
        <v>10976</v>
      </c>
      <c r="B710" s="14"/>
      <c r="C710" s="3" t="s">
        <v>1220</v>
      </c>
      <c r="E710" s="14"/>
      <c r="F710" s="14"/>
      <c r="G710" s="14"/>
      <c r="H710" s="28"/>
      <c r="I710" s="28"/>
      <c r="L710" s="25"/>
    </row>
    <row r="711" spans="1:16">
      <c r="A711" s="14">
        <v>10977</v>
      </c>
      <c r="B711" s="14" t="s">
        <v>1979</v>
      </c>
      <c r="C711" s="3" t="s">
        <v>1220</v>
      </c>
      <c r="D711" s="4" t="s">
        <v>19</v>
      </c>
      <c r="E711" s="14">
        <v>109472</v>
      </c>
      <c r="F711" s="14">
        <v>14295524490</v>
      </c>
      <c r="G711" s="14">
        <v>495621063</v>
      </c>
      <c r="H711" s="28" t="s">
        <v>1980</v>
      </c>
      <c r="I711" s="28" t="s">
        <v>1980</v>
      </c>
      <c r="J711" s="3" t="s">
        <v>1981</v>
      </c>
      <c r="K711" s="15" t="s">
        <v>1979</v>
      </c>
      <c r="L711" s="25"/>
      <c r="N711" s="15" t="s">
        <v>1982</v>
      </c>
      <c r="P711" s="37" t="s">
        <v>25</v>
      </c>
    </row>
    <row r="712" spans="1:16">
      <c r="A712" s="14">
        <v>10978</v>
      </c>
      <c r="B712" s="14" t="s">
        <v>1983</v>
      </c>
      <c r="C712" s="3" t="s">
        <v>1220</v>
      </c>
      <c r="D712" s="4" t="s">
        <v>19</v>
      </c>
      <c r="E712" s="14">
        <v>112322</v>
      </c>
      <c r="F712" s="14">
        <v>15986834866</v>
      </c>
      <c r="G712" s="14">
        <v>517699260</v>
      </c>
      <c r="H712" s="28" t="s">
        <v>1984</v>
      </c>
      <c r="I712" s="28" t="s">
        <v>1984</v>
      </c>
      <c r="J712" s="3" t="s">
        <v>1985</v>
      </c>
      <c r="K712" s="15" t="s">
        <v>1983</v>
      </c>
      <c r="L712" s="25"/>
      <c r="N712" s="15" t="s">
        <v>1986</v>
      </c>
      <c r="P712" s="37" t="s">
        <v>25</v>
      </c>
    </row>
    <row r="713" spans="1:16">
      <c r="A713" s="14">
        <v>10979</v>
      </c>
      <c r="B713" s="14" t="s">
        <v>1987</v>
      </c>
      <c r="C713" s="3" t="s">
        <v>1220</v>
      </c>
      <c r="D713" s="4" t="s">
        <v>19</v>
      </c>
      <c r="E713" s="14">
        <v>109576</v>
      </c>
      <c r="F713" s="14">
        <v>14299386166</v>
      </c>
      <c r="G713" s="14">
        <v>495621168</v>
      </c>
      <c r="H713" s="28" t="s">
        <v>1988</v>
      </c>
      <c r="I713" s="28" t="s">
        <v>1988</v>
      </c>
      <c r="J713" s="3" t="s">
        <v>1989</v>
      </c>
      <c r="K713" s="15" t="s">
        <v>1987</v>
      </c>
      <c r="L713" s="25"/>
      <c r="N713" s="15" t="s">
        <v>1990</v>
      </c>
      <c r="P713" s="37" t="s">
        <v>25</v>
      </c>
    </row>
    <row r="714" spans="1:16">
      <c r="A714" s="14">
        <v>10980</v>
      </c>
      <c r="B714" s="14" t="s">
        <v>1991</v>
      </c>
      <c r="C714" s="3" t="s">
        <v>1220</v>
      </c>
      <c r="D714" s="4" t="s">
        <v>19</v>
      </c>
      <c r="E714" s="14">
        <v>112301</v>
      </c>
      <c r="F714" s="14">
        <v>15984668038</v>
      </c>
      <c r="G714" s="14">
        <v>517699226</v>
      </c>
      <c r="H714" s="28" t="s">
        <v>1992</v>
      </c>
      <c r="I714" s="28" t="s">
        <v>1992</v>
      </c>
      <c r="J714" s="3" t="s">
        <v>1993</v>
      </c>
      <c r="K714" s="15" t="s">
        <v>1991</v>
      </c>
      <c r="L714" s="25"/>
      <c r="N714" s="15" t="s">
        <v>1994</v>
      </c>
      <c r="P714" s="37" t="s">
        <v>25</v>
      </c>
    </row>
    <row r="715" spans="1:16">
      <c r="A715" s="14">
        <v>10981</v>
      </c>
      <c r="B715" s="14" t="s">
        <v>1995</v>
      </c>
      <c r="C715" s="3" t="s">
        <v>1220</v>
      </c>
      <c r="D715" s="4" t="s">
        <v>19</v>
      </c>
      <c r="E715" s="14">
        <v>112183</v>
      </c>
      <c r="F715" s="14">
        <v>15974362499</v>
      </c>
      <c r="G715" s="14">
        <v>517571273</v>
      </c>
      <c r="H715" s="28" t="s">
        <v>1996</v>
      </c>
      <c r="I715" s="28" t="s">
        <v>1996</v>
      </c>
      <c r="J715" s="3" t="s">
        <v>1997</v>
      </c>
      <c r="K715" s="15" t="s">
        <v>1995</v>
      </c>
      <c r="L715" s="25"/>
      <c r="N715" s="15" t="s">
        <v>1998</v>
      </c>
      <c r="P715" s="37" t="s">
        <v>25</v>
      </c>
    </row>
    <row r="716" spans="1:16">
      <c r="A716" s="14">
        <v>10982</v>
      </c>
      <c r="B716" s="14" t="s">
        <v>1999</v>
      </c>
      <c r="C716" s="3" t="s">
        <v>1220</v>
      </c>
      <c r="D716" s="4" t="s">
        <v>19</v>
      </c>
      <c r="E716" s="14">
        <v>109525</v>
      </c>
      <c r="F716" s="14">
        <v>14295605065</v>
      </c>
      <c r="G716" s="14">
        <v>495621230</v>
      </c>
      <c r="H716" s="28" t="s">
        <v>2000</v>
      </c>
      <c r="I716" s="28" t="s">
        <v>2000</v>
      </c>
      <c r="J716" s="3" t="s">
        <v>2001</v>
      </c>
      <c r="K716" s="15" t="s">
        <v>1999</v>
      </c>
      <c r="L716" s="25"/>
      <c r="N716" s="15" t="s">
        <v>2002</v>
      </c>
      <c r="P716" s="37" t="s">
        <v>25</v>
      </c>
    </row>
    <row r="717" spans="1:16">
      <c r="A717" s="14">
        <v>10983</v>
      </c>
      <c r="B717" s="14"/>
      <c r="C717" s="3" t="s">
        <v>1220</v>
      </c>
      <c r="E717" s="14"/>
      <c r="F717" s="14"/>
      <c r="G717" s="14"/>
      <c r="H717" s="28"/>
      <c r="I717" s="28"/>
      <c r="L717" s="25"/>
    </row>
    <row r="718" spans="1:16">
      <c r="A718" s="14">
        <v>10984</v>
      </c>
      <c r="B718" s="14"/>
      <c r="C718" s="3" t="s">
        <v>1220</v>
      </c>
      <c r="E718" s="14"/>
      <c r="F718" s="14"/>
      <c r="G718" s="14"/>
      <c r="H718" s="28"/>
      <c r="I718" s="28"/>
      <c r="L718" s="25"/>
    </row>
    <row r="719" spans="1:16">
      <c r="A719" s="14">
        <v>10985</v>
      </c>
      <c r="B719" s="14" t="s">
        <v>2003</v>
      </c>
      <c r="C719" s="3" t="s">
        <v>1220</v>
      </c>
      <c r="D719" s="4" t="s">
        <v>19</v>
      </c>
      <c r="E719" s="14">
        <v>109551</v>
      </c>
      <c r="F719" s="14">
        <v>14295734483</v>
      </c>
      <c r="G719" s="14">
        <v>495621151</v>
      </c>
      <c r="H719" s="28" t="s">
        <v>2004</v>
      </c>
      <c r="I719" s="28" t="s">
        <v>2004</v>
      </c>
      <c r="J719" s="3" t="s">
        <v>2005</v>
      </c>
      <c r="K719" s="15" t="s">
        <v>2003</v>
      </c>
      <c r="L719" s="25"/>
      <c r="N719" s="16" t="s">
        <v>2006</v>
      </c>
      <c r="P719" s="37" t="s">
        <v>25</v>
      </c>
    </row>
    <row r="720" spans="1:16">
      <c r="A720" s="14">
        <v>10986</v>
      </c>
      <c r="B720" s="14" t="s">
        <v>2007</v>
      </c>
      <c r="C720" s="3" t="s">
        <v>1220</v>
      </c>
      <c r="D720" s="4" t="s">
        <v>19</v>
      </c>
      <c r="E720" s="14">
        <v>109549</v>
      </c>
      <c r="F720" s="14">
        <v>14295718098</v>
      </c>
      <c r="G720" s="14">
        <v>495621202</v>
      </c>
      <c r="H720" s="28" t="s">
        <v>2008</v>
      </c>
      <c r="I720" s="28" t="s">
        <v>2008</v>
      </c>
      <c r="J720" s="3" t="s">
        <v>2009</v>
      </c>
      <c r="K720" s="15" t="s">
        <v>2007</v>
      </c>
      <c r="L720" s="25"/>
      <c r="N720" s="16" t="s">
        <v>2010</v>
      </c>
      <c r="P720" s="37" t="s">
        <v>25</v>
      </c>
    </row>
    <row r="721" spans="1:16">
      <c r="A721" s="14">
        <v>10987</v>
      </c>
      <c r="B721" s="14" t="s">
        <v>2011</v>
      </c>
      <c r="C721" s="3" t="s">
        <v>1220</v>
      </c>
      <c r="D721" s="4" t="s">
        <v>19</v>
      </c>
      <c r="E721" s="14">
        <v>109505</v>
      </c>
      <c r="F721" s="14">
        <v>14295555616</v>
      </c>
      <c r="G721" s="14">
        <v>495621086</v>
      </c>
      <c r="H721" s="28" t="s">
        <v>2012</v>
      </c>
      <c r="I721" s="28" t="s">
        <v>2012</v>
      </c>
      <c r="J721" s="3" t="s">
        <v>2013</v>
      </c>
      <c r="K721" s="15" t="s">
        <v>2011</v>
      </c>
      <c r="L721" s="25"/>
      <c r="N721" s="16" t="s">
        <v>2014</v>
      </c>
      <c r="P721" s="37" t="s">
        <v>25</v>
      </c>
    </row>
    <row r="722" spans="1:16">
      <c r="A722" s="14">
        <v>10988</v>
      </c>
      <c r="B722" s="14" t="s">
        <v>2015</v>
      </c>
      <c r="C722" s="3" t="s">
        <v>1220</v>
      </c>
      <c r="D722" s="4" t="s">
        <v>19</v>
      </c>
      <c r="E722" s="14">
        <v>109458</v>
      </c>
      <c r="F722" s="14">
        <v>14295464068</v>
      </c>
      <c r="G722" s="14">
        <v>495621158</v>
      </c>
      <c r="H722" s="28" t="s">
        <v>2016</v>
      </c>
      <c r="I722" s="28" t="s">
        <v>2016</v>
      </c>
      <c r="J722" s="3" t="s">
        <v>2017</v>
      </c>
      <c r="K722" s="15" t="s">
        <v>2015</v>
      </c>
      <c r="L722" s="25"/>
      <c r="N722" s="16" t="s">
        <v>2018</v>
      </c>
      <c r="P722" s="37" t="s">
        <v>25</v>
      </c>
    </row>
    <row r="723" spans="1:16">
      <c r="A723" s="14">
        <v>10989</v>
      </c>
      <c r="B723" s="14"/>
      <c r="C723" s="3" t="s">
        <v>1220</v>
      </c>
      <c r="E723" s="14"/>
      <c r="F723" s="14"/>
      <c r="G723" s="14"/>
      <c r="H723" s="28"/>
      <c r="I723" s="28"/>
      <c r="L723" s="25"/>
    </row>
    <row r="724" spans="1:16">
      <c r="A724" s="14">
        <v>10990</v>
      </c>
      <c r="B724" s="14"/>
      <c r="C724" s="3" t="s">
        <v>1220</v>
      </c>
      <c r="E724" s="14"/>
      <c r="F724" s="14"/>
      <c r="G724" s="14"/>
      <c r="H724" s="28"/>
      <c r="I724" s="28"/>
      <c r="L724" s="25"/>
    </row>
    <row r="725" spans="1:16">
      <c r="A725" s="14">
        <v>10991</v>
      </c>
      <c r="B725" s="14" t="s">
        <v>2019</v>
      </c>
      <c r="C725" s="3" t="s">
        <v>1220</v>
      </c>
      <c r="D725" s="4" t="s">
        <v>19</v>
      </c>
      <c r="E725" s="14">
        <v>109530</v>
      </c>
      <c r="F725" s="14">
        <v>14295608426</v>
      </c>
      <c r="G725" s="14">
        <v>495621140</v>
      </c>
      <c r="H725" s="28" t="s">
        <v>2020</v>
      </c>
      <c r="I725" s="28" t="s">
        <v>2020</v>
      </c>
      <c r="J725" s="3" t="s">
        <v>2021</v>
      </c>
      <c r="K725" s="15" t="s">
        <v>2019</v>
      </c>
      <c r="L725" s="25"/>
      <c r="N725" s="15" t="s">
        <v>2022</v>
      </c>
      <c r="P725" s="37" t="s">
        <v>25</v>
      </c>
    </row>
    <row r="726" spans="1:16">
      <c r="A726" s="14">
        <v>10992</v>
      </c>
      <c r="B726" s="14" t="s">
        <v>2023</v>
      </c>
      <c r="C726" s="3" t="s">
        <v>1220</v>
      </c>
      <c r="D726" s="4" t="s">
        <v>19</v>
      </c>
      <c r="E726" s="14">
        <v>112181</v>
      </c>
      <c r="F726" s="14">
        <v>15974362250</v>
      </c>
      <c r="G726" s="14">
        <v>517571276</v>
      </c>
      <c r="H726" s="28" t="s">
        <v>2024</v>
      </c>
      <c r="I726" s="28" t="s">
        <v>2024</v>
      </c>
      <c r="J726" s="3" t="s">
        <v>2023</v>
      </c>
      <c r="K726" s="15" t="s">
        <v>2023</v>
      </c>
      <c r="L726" s="25"/>
      <c r="N726" s="15" t="s">
        <v>2022</v>
      </c>
      <c r="P726" s="37" t="s">
        <v>25</v>
      </c>
    </row>
    <row r="727" spans="1:16">
      <c r="A727" s="14">
        <v>10993</v>
      </c>
      <c r="B727" s="14"/>
      <c r="C727" s="3" t="s">
        <v>1220</v>
      </c>
      <c r="E727" s="14"/>
      <c r="F727" s="14"/>
      <c r="G727" s="14"/>
      <c r="H727" s="28"/>
      <c r="I727" s="28"/>
      <c r="L727" s="25"/>
      <c r="N727" s="15" t="s">
        <v>2025</v>
      </c>
    </row>
    <row r="728" spans="1:16">
      <c r="A728" s="14">
        <v>10994</v>
      </c>
      <c r="B728" s="14"/>
      <c r="C728" s="3" t="s">
        <v>1220</v>
      </c>
      <c r="E728" s="14"/>
      <c r="F728" s="14"/>
      <c r="G728" s="14"/>
      <c r="H728" s="28"/>
      <c r="I728" s="28"/>
      <c r="L728" s="25"/>
    </row>
    <row r="729" spans="1:16">
      <c r="A729" s="14">
        <v>10995</v>
      </c>
      <c r="B729" s="14" t="s">
        <v>2026</v>
      </c>
      <c r="C729" s="3" t="s">
        <v>1220</v>
      </c>
      <c r="D729" s="4" t="s">
        <v>19</v>
      </c>
      <c r="E729" s="14">
        <v>112405</v>
      </c>
      <c r="F729" s="14">
        <v>16003771543</v>
      </c>
      <c r="G729" s="14">
        <v>517939142</v>
      </c>
      <c r="H729" s="28" t="s">
        <v>2027</v>
      </c>
      <c r="I729" s="28" t="s">
        <v>2027</v>
      </c>
      <c r="J729" s="3" t="s">
        <v>2028</v>
      </c>
      <c r="K729" s="16" t="s">
        <v>2026</v>
      </c>
      <c r="L729" s="25"/>
      <c r="N729" s="15" t="s">
        <v>2029</v>
      </c>
      <c r="P729" s="37" t="s">
        <v>25</v>
      </c>
    </row>
    <row r="730" spans="1:16">
      <c r="A730" s="14">
        <v>10996</v>
      </c>
      <c r="B730" s="14" t="s">
        <v>2030</v>
      </c>
      <c r="C730" s="3" t="s">
        <v>1220</v>
      </c>
      <c r="D730" s="4" t="s">
        <v>19</v>
      </c>
      <c r="E730" s="14">
        <v>109547</v>
      </c>
      <c r="F730" s="14">
        <v>14295682280</v>
      </c>
      <c r="G730" s="14">
        <v>495621139</v>
      </c>
      <c r="H730" s="28" t="s">
        <v>2031</v>
      </c>
      <c r="I730" s="28" t="s">
        <v>2031</v>
      </c>
      <c r="J730" s="3" t="s">
        <v>2032</v>
      </c>
      <c r="K730" s="16" t="s">
        <v>2030</v>
      </c>
      <c r="L730" s="25"/>
      <c r="N730" s="15" t="s">
        <v>2033</v>
      </c>
      <c r="P730" s="37" t="s">
        <v>25</v>
      </c>
    </row>
    <row r="731" spans="1:16">
      <c r="A731" s="14">
        <v>10997</v>
      </c>
      <c r="B731" s="14" t="s">
        <v>2034</v>
      </c>
      <c r="C731" s="3" t="s">
        <v>1220</v>
      </c>
      <c r="D731" s="4" t="s">
        <v>19</v>
      </c>
      <c r="E731" s="14">
        <v>112323</v>
      </c>
      <c r="F731" s="14">
        <v>15986834867</v>
      </c>
      <c r="G731" s="14">
        <v>517699173</v>
      </c>
      <c r="H731" s="28" t="s">
        <v>2035</v>
      </c>
      <c r="I731" s="28" t="s">
        <v>2035</v>
      </c>
      <c r="J731" s="3" t="s">
        <v>2036</v>
      </c>
      <c r="K731" s="16" t="s">
        <v>2034</v>
      </c>
      <c r="L731" s="25"/>
      <c r="N731" s="15" t="s">
        <v>2037</v>
      </c>
      <c r="P731" s="37" t="s">
        <v>25</v>
      </c>
    </row>
    <row r="732" spans="1:16">
      <c r="A732" s="14">
        <v>10998</v>
      </c>
      <c r="B732" s="14" t="s">
        <v>2038</v>
      </c>
      <c r="C732" s="3" t="s">
        <v>1220</v>
      </c>
      <c r="D732" s="4" t="s">
        <v>19</v>
      </c>
      <c r="E732" s="14">
        <v>109591</v>
      </c>
      <c r="F732" s="14">
        <v>14299667370</v>
      </c>
      <c r="G732" s="14">
        <v>495621073</v>
      </c>
      <c r="H732" s="28" t="s">
        <v>2039</v>
      </c>
      <c r="I732" s="28" t="s">
        <v>2039</v>
      </c>
      <c r="J732" s="3" t="s">
        <v>2040</v>
      </c>
      <c r="K732" s="16" t="s">
        <v>2038</v>
      </c>
      <c r="L732" s="25"/>
      <c r="N732" s="15" t="s">
        <v>2041</v>
      </c>
      <c r="P732" s="37" t="s">
        <v>25</v>
      </c>
    </row>
    <row r="733" spans="1:16">
      <c r="A733" s="14">
        <v>10999</v>
      </c>
      <c r="B733" s="14" t="s">
        <v>2042</v>
      </c>
      <c r="C733" s="3" t="s">
        <v>1220</v>
      </c>
      <c r="D733" s="4" t="s">
        <v>19</v>
      </c>
      <c r="E733" s="14">
        <v>112059</v>
      </c>
      <c r="F733" s="14">
        <v>15876623297</v>
      </c>
      <c r="G733" s="14">
        <v>516172490</v>
      </c>
      <c r="H733" s="28" t="s">
        <v>2043</v>
      </c>
      <c r="I733" s="28" t="s">
        <v>2043</v>
      </c>
      <c r="J733" s="3" t="s">
        <v>2044</v>
      </c>
      <c r="K733" s="16" t="s">
        <v>2042</v>
      </c>
      <c r="L733" s="25"/>
      <c r="N733" s="15" t="s">
        <v>2045</v>
      </c>
      <c r="P733" s="37" t="s">
        <v>25</v>
      </c>
    </row>
    <row r="734" spans="1:16">
      <c r="A734" s="14">
        <v>11000</v>
      </c>
      <c r="B734" s="14" t="s">
        <v>2046</v>
      </c>
      <c r="C734" s="3" t="s">
        <v>1220</v>
      </c>
      <c r="D734" s="4" t="s">
        <v>19</v>
      </c>
      <c r="E734" s="14">
        <v>112333</v>
      </c>
      <c r="F734" s="14">
        <v>15987995173</v>
      </c>
      <c r="G734" s="14">
        <v>517699155</v>
      </c>
      <c r="H734" s="28" t="s">
        <v>2047</v>
      </c>
      <c r="I734" s="28" t="s">
        <v>2047</v>
      </c>
      <c r="J734" s="3" t="s">
        <v>2048</v>
      </c>
      <c r="K734" s="16" t="s">
        <v>2046</v>
      </c>
      <c r="L734" s="25"/>
      <c r="N734" s="15" t="s">
        <v>2049</v>
      </c>
      <c r="P734" s="37" t="s">
        <v>25</v>
      </c>
    </row>
    <row r="735" spans="1:16">
      <c r="A735" s="14">
        <v>11001</v>
      </c>
      <c r="B735" s="14" t="s">
        <v>2050</v>
      </c>
      <c r="C735" s="3" t="s">
        <v>1220</v>
      </c>
      <c r="D735" s="4" t="s">
        <v>19</v>
      </c>
      <c r="E735" s="14">
        <v>112324</v>
      </c>
      <c r="F735" s="14">
        <v>15986835898</v>
      </c>
      <c r="G735" s="14">
        <v>517699154</v>
      </c>
      <c r="H735" s="28" t="s">
        <v>2051</v>
      </c>
      <c r="I735" s="28" t="s">
        <v>2051</v>
      </c>
      <c r="J735" s="3" t="s">
        <v>2052</v>
      </c>
      <c r="K735" s="16" t="s">
        <v>2050</v>
      </c>
      <c r="L735" s="25"/>
      <c r="N735" s="15" t="s">
        <v>2053</v>
      </c>
      <c r="P735" s="37" t="s">
        <v>25</v>
      </c>
    </row>
    <row r="736" spans="1:16">
      <c r="A736" s="14">
        <v>11002</v>
      </c>
      <c r="B736" s="14" t="s">
        <v>2054</v>
      </c>
      <c r="C736" s="3" t="s">
        <v>1220</v>
      </c>
      <c r="D736" s="4" t="s">
        <v>19</v>
      </c>
      <c r="E736" s="14">
        <v>112194</v>
      </c>
      <c r="F736" s="14">
        <v>15979313363</v>
      </c>
      <c r="G736" s="14">
        <v>517637350</v>
      </c>
      <c r="H736" s="28" t="s">
        <v>2055</v>
      </c>
      <c r="I736" s="28" t="s">
        <v>2055</v>
      </c>
      <c r="J736" s="3" t="s">
        <v>2056</v>
      </c>
      <c r="K736" s="16" t="s">
        <v>2054</v>
      </c>
      <c r="L736" s="25"/>
      <c r="N736" s="15" t="s">
        <v>2057</v>
      </c>
      <c r="P736" s="37" t="s">
        <v>25</v>
      </c>
    </row>
    <row r="737" spans="1:16">
      <c r="A737" s="14">
        <v>11003</v>
      </c>
      <c r="B737" s="14" t="s">
        <v>2058</v>
      </c>
      <c r="C737" s="3" t="s">
        <v>1220</v>
      </c>
      <c r="D737" s="4" t="s">
        <v>19</v>
      </c>
      <c r="E737" s="14">
        <v>112224</v>
      </c>
      <c r="F737" s="14">
        <v>15979665847</v>
      </c>
      <c r="G737" s="14">
        <v>517637715</v>
      </c>
      <c r="H737" s="28" t="s">
        <v>2059</v>
      </c>
      <c r="I737" s="28" t="s">
        <v>2059</v>
      </c>
      <c r="J737" s="3" t="s">
        <v>2060</v>
      </c>
      <c r="K737" s="16" t="s">
        <v>2058</v>
      </c>
      <c r="L737" s="25"/>
      <c r="N737" s="15" t="s">
        <v>2061</v>
      </c>
      <c r="P737" s="37" t="s">
        <v>25</v>
      </c>
    </row>
    <row r="738" spans="1:16">
      <c r="A738" s="14">
        <v>11004</v>
      </c>
      <c r="B738" s="14"/>
      <c r="C738" s="3" t="s">
        <v>1220</v>
      </c>
      <c r="E738" s="14"/>
      <c r="F738" s="14"/>
      <c r="G738" s="14"/>
      <c r="H738" s="28"/>
      <c r="I738" s="28"/>
      <c r="K738" s="16"/>
      <c r="L738" s="25"/>
      <c r="N738" s="15"/>
    </row>
    <row r="739" spans="1:16">
      <c r="A739" s="14">
        <v>11005</v>
      </c>
      <c r="B739" s="14" t="s">
        <v>2062</v>
      </c>
      <c r="C739" s="3" t="s">
        <v>1220</v>
      </c>
      <c r="D739" s="4" t="s">
        <v>19</v>
      </c>
      <c r="E739" s="14">
        <v>112221</v>
      </c>
      <c r="F739" s="14">
        <v>15979422860</v>
      </c>
      <c r="G739" s="14">
        <v>517637347</v>
      </c>
      <c r="H739" s="28" t="s">
        <v>2063</v>
      </c>
      <c r="I739" s="28" t="s">
        <v>2063</v>
      </c>
      <c r="J739" s="3" t="s">
        <v>2064</v>
      </c>
      <c r="K739" s="16" t="s">
        <v>2062</v>
      </c>
      <c r="L739" s="25"/>
      <c r="N739" s="15" t="s">
        <v>2065</v>
      </c>
      <c r="P739" s="37" t="s">
        <v>25</v>
      </c>
    </row>
    <row r="740" spans="1:16">
      <c r="A740" s="14">
        <v>11006</v>
      </c>
      <c r="B740" s="14" t="s">
        <v>2066</v>
      </c>
      <c r="C740" s="3" t="s">
        <v>1220</v>
      </c>
      <c r="D740" s="4" t="s">
        <v>19</v>
      </c>
      <c r="E740" s="14">
        <v>112314</v>
      </c>
      <c r="F740" s="14">
        <v>15986560442</v>
      </c>
      <c r="G740" s="14">
        <v>517699224</v>
      </c>
      <c r="H740" s="28" t="s">
        <v>2067</v>
      </c>
      <c r="I740" s="28" t="s">
        <v>2067</v>
      </c>
      <c r="J740" s="3" t="s">
        <v>2068</v>
      </c>
      <c r="K740" s="16" t="s">
        <v>2066</v>
      </c>
      <c r="L740" s="25"/>
      <c r="N740" s="15" t="s">
        <v>2069</v>
      </c>
      <c r="P740" s="37" t="s">
        <v>25</v>
      </c>
    </row>
    <row r="741" spans="1:16">
      <c r="A741" s="14">
        <v>11007</v>
      </c>
      <c r="B741" s="14"/>
      <c r="C741" s="3" t="s">
        <v>1220</v>
      </c>
      <c r="E741" s="14"/>
      <c r="F741" s="14"/>
      <c r="G741" s="14"/>
      <c r="H741" s="28"/>
      <c r="I741" s="28"/>
      <c r="L741" s="25"/>
    </row>
    <row r="742" spans="1:16">
      <c r="A742" s="14">
        <v>11008</v>
      </c>
      <c r="B742" s="14"/>
      <c r="C742" s="3" t="s">
        <v>1220</v>
      </c>
      <c r="E742" s="14"/>
      <c r="F742" s="14"/>
      <c r="G742" s="14"/>
      <c r="H742" s="28"/>
      <c r="I742" s="28"/>
      <c r="L742" s="25"/>
    </row>
    <row r="743" spans="1:16">
      <c r="A743" s="14">
        <v>11009</v>
      </c>
      <c r="B743" s="14" t="s">
        <v>2070</v>
      </c>
      <c r="C743" s="3" t="s">
        <v>1220</v>
      </c>
      <c r="D743" s="4" t="s">
        <v>19</v>
      </c>
      <c r="E743" s="14">
        <v>112351</v>
      </c>
      <c r="F743" s="14">
        <v>15998580363</v>
      </c>
      <c r="G743" s="14">
        <v>517878561</v>
      </c>
      <c r="H743" s="28" t="s">
        <v>2071</v>
      </c>
      <c r="I743" s="28" t="s">
        <v>2071</v>
      </c>
      <c r="J743" s="3" t="s">
        <v>2072</v>
      </c>
      <c r="K743" s="15" t="s">
        <v>2070</v>
      </c>
      <c r="L743" s="25"/>
      <c r="N743" s="15" t="s">
        <v>2073</v>
      </c>
      <c r="P743" s="37" t="s">
        <v>25</v>
      </c>
    </row>
    <row r="744" spans="1:16">
      <c r="A744" s="14">
        <v>11010</v>
      </c>
      <c r="B744" s="14"/>
      <c r="C744" s="3" t="s">
        <v>1220</v>
      </c>
      <c r="E744" s="14"/>
      <c r="F744" s="14"/>
      <c r="G744" s="14"/>
      <c r="H744" s="28"/>
      <c r="I744" s="28"/>
      <c r="L744" s="25"/>
    </row>
    <row r="745" spans="1:16">
      <c r="A745" s="14">
        <v>11011</v>
      </c>
      <c r="B745" s="14"/>
      <c r="C745" s="3" t="s">
        <v>1220</v>
      </c>
      <c r="E745" s="14"/>
      <c r="F745" s="14"/>
      <c r="G745" s="14"/>
      <c r="H745" s="28"/>
      <c r="I745" s="28"/>
      <c r="L745" s="25"/>
    </row>
    <row r="746" spans="1:16">
      <c r="A746" s="14">
        <v>11012</v>
      </c>
      <c r="B746" s="14" t="s">
        <v>2074</v>
      </c>
      <c r="C746" s="3" t="s">
        <v>1220</v>
      </c>
      <c r="D746" s="4" t="s">
        <v>19</v>
      </c>
      <c r="E746" s="14">
        <v>109558</v>
      </c>
      <c r="F746" s="14">
        <v>14295774168</v>
      </c>
      <c r="G746" s="14">
        <v>495621061</v>
      </c>
      <c r="H746" s="28" t="s">
        <v>2075</v>
      </c>
      <c r="I746" s="28" t="s">
        <v>2075</v>
      </c>
      <c r="J746" s="3" t="s">
        <v>2076</v>
      </c>
      <c r="K746" s="15" t="s">
        <v>2074</v>
      </c>
      <c r="L746" s="25"/>
      <c r="N746" s="15" t="s">
        <v>2077</v>
      </c>
      <c r="P746" s="37" t="s">
        <v>25</v>
      </c>
    </row>
    <row r="747" spans="1:16">
      <c r="A747" s="14">
        <v>11013</v>
      </c>
      <c r="B747" s="14"/>
      <c r="C747" s="3" t="s">
        <v>1220</v>
      </c>
      <c r="E747" s="14"/>
      <c r="F747" s="14"/>
      <c r="G747" s="14"/>
      <c r="H747" s="28"/>
      <c r="I747" s="28"/>
      <c r="L747" s="25"/>
    </row>
    <row r="748" spans="1:16">
      <c r="A748" s="14">
        <v>11014</v>
      </c>
      <c r="B748" s="14"/>
      <c r="C748" s="3" t="s">
        <v>1220</v>
      </c>
      <c r="E748" s="14"/>
      <c r="F748" s="14"/>
      <c r="G748" s="14"/>
      <c r="H748" s="28"/>
      <c r="I748" s="28"/>
      <c r="L748" s="25"/>
    </row>
    <row r="749" spans="1:16">
      <c r="A749" s="14">
        <v>11015</v>
      </c>
      <c r="B749" s="14" t="s">
        <v>2078</v>
      </c>
      <c r="C749" s="3" t="s">
        <v>1220</v>
      </c>
      <c r="D749" s="4" t="s">
        <v>19</v>
      </c>
      <c r="E749" s="14">
        <v>112459</v>
      </c>
      <c r="F749" s="14">
        <v>16008748852</v>
      </c>
      <c r="G749" s="14">
        <v>517999860</v>
      </c>
      <c r="H749" s="28" t="s">
        <v>2079</v>
      </c>
      <c r="I749" s="28" t="s">
        <v>2079</v>
      </c>
      <c r="J749" s="3" t="s">
        <v>2080</v>
      </c>
      <c r="K749" s="15" t="s">
        <v>2078</v>
      </c>
      <c r="L749" s="25"/>
      <c r="N749" s="16" t="s">
        <v>2081</v>
      </c>
      <c r="P749" s="37" t="s">
        <v>25</v>
      </c>
    </row>
    <row r="750" spans="1:16">
      <c r="A750" s="14">
        <v>11016</v>
      </c>
      <c r="B750" s="14" t="s">
        <v>2082</v>
      </c>
      <c r="C750" s="3" t="s">
        <v>1220</v>
      </c>
      <c r="D750" s="4" t="s">
        <v>19</v>
      </c>
      <c r="E750" s="14">
        <v>112460</v>
      </c>
      <c r="F750" s="14">
        <v>16008756506</v>
      </c>
      <c r="G750" s="14">
        <v>517999887</v>
      </c>
      <c r="H750" s="28" t="s">
        <v>2083</v>
      </c>
      <c r="I750" s="28" t="s">
        <v>2083</v>
      </c>
      <c r="J750" s="3" t="s">
        <v>2084</v>
      </c>
      <c r="K750" s="15" t="s">
        <v>2082</v>
      </c>
      <c r="L750" s="25"/>
      <c r="N750" s="16" t="s">
        <v>2085</v>
      </c>
      <c r="P750" s="37" t="s">
        <v>25</v>
      </c>
    </row>
    <row r="751" spans="1:16">
      <c r="A751" s="14">
        <v>11017</v>
      </c>
      <c r="B751" s="14" t="s">
        <v>2086</v>
      </c>
      <c r="C751" s="3" t="s">
        <v>1220</v>
      </c>
      <c r="D751" s="4" t="s">
        <v>19</v>
      </c>
      <c r="E751" s="14">
        <v>112457</v>
      </c>
      <c r="F751" s="14">
        <v>16008743008</v>
      </c>
      <c r="G751" s="14">
        <v>517999870</v>
      </c>
      <c r="H751" s="28" t="s">
        <v>2087</v>
      </c>
      <c r="I751" s="28" t="s">
        <v>2087</v>
      </c>
      <c r="J751" s="3" t="s">
        <v>2088</v>
      </c>
      <c r="K751" s="15" t="s">
        <v>2086</v>
      </c>
      <c r="L751" s="25"/>
      <c r="N751" s="16" t="s">
        <v>2089</v>
      </c>
      <c r="P751" s="37" t="s">
        <v>25</v>
      </c>
    </row>
    <row r="752" spans="1:16">
      <c r="A752" s="14">
        <v>11018</v>
      </c>
      <c r="B752" s="14"/>
      <c r="C752" s="3" t="s">
        <v>1220</v>
      </c>
      <c r="E752" s="14"/>
      <c r="F752" s="14"/>
      <c r="G752" s="14"/>
      <c r="H752" s="28"/>
      <c r="I752" s="28"/>
      <c r="L752" s="25"/>
    </row>
    <row r="753" spans="1:16">
      <c r="A753" s="14">
        <v>11019</v>
      </c>
      <c r="B753" s="14"/>
      <c r="C753" s="3" t="s">
        <v>1220</v>
      </c>
      <c r="E753" s="14"/>
      <c r="F753" s="14"/>
      <c r="G753" s="14"/>
      <c r="H753" s="28"/>
      <c r="I753" s="28"/>
      <c r="L753" s="25"/>
    </row>
    <row r="754" spans="1:16">
      <c r="A754" s="14">
        <v>11020</v>
      </c>
      <c r="B754" s="14" t="s">
        <v>2090</v>
      </c>
      <c r="C754" s="3" t="s">
        <v>1220</v>
      </c>
      <c r="D754" s="4" t="s">
        <v>19</v>
      </c>
      <c r="E754" s="14">
        <v>112458</v>
      </c>
      <c r="F754" s="14">
        <v>16008743009</v>
      </c>
      <c r="G754" s="14">
        <v>517999852</v>
      </c>
      <c r="H754" s="28" t="s">
        <v>2091</v>
      </c>
      <c r="I754" s="28" t="s">
        <v>2091</v>
      </c>
      <c r="J754" s="3" t="s">
        <v>2092</v>
      </c>
      <c r="K754" s="15" t="s">
        <v>2090</v>
      </c>
      <c r="L754" s="25"/>
      <c r="N754" s="15" t="s">
        <v>2093</v>
      </c>
      <c r="P754" s="37" t="s">
        <v>25</v>
      </c>
    </row>
    <row r="755" spans="1:16">
      <c r="A755" s="14">
        <v>11021</v>
      </c>
      <c r="B755" s="14" t="s">
        <v>2094</v>
      </c>
      <c r="C755" s="3" t="s">
        <v>1220</v>
      </c>
      <c r="D755" s="4" t="s">
        <v>19</v>
      </c>
      <c r="E755" s="14">
        <v>112461</v>
      </c>
      <c r="F755" s="14">
        <v>16008756507</v>
      </c>
      <c r="G755" s="14">
        <v>517999864</v>
      </c>
      <c r="H755" s="28" t="s">
        <v>2095</v>
      </c>
      <c r="I755" s="28" t="s">
        <v>2095</v>
      </c>
      <c r="J755" s="3" t="s">
        <v>2096</v>
      </c>
      <c r="K755" s="15" t="s">
        <v>2094</v>
      </c>
      <c r="L755" s="25"/>
      <c r="N755" s="15" t="s">
        <v>2097</v>
      </c>
      <c r="P755" s="37" t="s">
        <v>25</v>
      </c>
    </row>
    <row r="756" spans="1:16">
      <c r="A756" s="14">
        <v>11022</v>
      </c>
      <c r="B756" s="14" t="s">
        <v>2098</v>
      </c>
      <c r="C756" s="3" t="s">
        <v>1220</v>
      </c>
      <c r="D756" s="4" t="s">
        <v>19</v>
      </c>
      <c r="E756" s="14">
        <v>112463</v>
      </c>
      <c r="F756" s="14">
        <v>16008756509</v>
      </c>
      <c r="G756" s="14">
        <v>517999843</v>
      </c>
      <c r="H756" s="28" t="s">
        <v>2099</v>
      </c>
      <c r="I756" s="28" t="s">
        <v>2099</v>
      </c>
      <c r="J756" s="3" t="s">
        <v>2100</v>
      </c>
      <c r="K756" s="15" t="s">
        <v>2098</v>
      </c>
      <c r="L756" s="25"/>
      <c r="N756" s="15" t="s">
        <v>2101</v>
      </c>
      <c r="P756" s="37" t="s">
        <v>25</v>
      </c>
    </row>
    <row r="757" spans="1:16">
      <c r="A757" s="14">
        <v>11023</v>
      </c>
      <c r="B757" s="14" t="s">
        <v>2102</v>
      </c>
      <c r="C757" s="3" t="s">
        <v>1220</v>
      </c>
      <c r="D757" s="4" t="s">
        <v>19</v>
      </c>
      <c r="E757" s="14">
        <v>109526</v>
      </c>
      <c r="F757" s="14">
        <v>14295604746</v>
      </c>
      <c r="G757" s="14">
        <v>495621074</v>
      </c>
      <c r="H757" s="28" t="s">
        <v>2103</v>
      </c>
      <c r="I757" s="28" t="s">
        <v>2103</v>
      </c>
      <c r="J757" s="3" t="s">
        <v>2104</v>
      </c>
      <c r="K757" s="15" t="s">
        <v>2102</v>
      </c>
      <c r="L757" s="25"/>
      <c r="N757" s="15" t="s">
        <v>2105</v>
      </c>
      <c r="P757" s="37" t="s">
        <v>25</v>
      </c>
    </row>
    <row r="758" spans="1:16">
      <c r="A758" s="14">
        <v>11024</v>
      </c>
      <c r="B758" s="14" t="s">
        <v>2106</v>
      </c>
      <c r="C758" s="3" t="s">
        <v>1220</v>
      </c>
      <c r="D758" s="4" t="s">
        <v>19</v>
      </c>
      <c r="E758" s="14">
        <v>108973</v>
      </c>
      <c r="F758" s="14">
        <v>13818403734</v>
      </c>
      <c r="G758" s="14">
        <v>489011250</v>
      </c>
      <c r="H758" s="28" t="s">
        <v>2107</v>
      </c>
      <c r="I758" s="28" t="s">
        <v>2107</v>
      </c>
      <c r="J758" s="3" t="s">
        <v>2108</v>
      </c>
      <c r="K758" s="15" t="s">
        <v>2106</v>
      </c>
      <c r="L758" s="25"/>
      <c r="N758" s="15" t="s">
        <v>2109</v>
      </c>
      <c r="P758" s="37" t="s">
        <v>25</v>
      </c>
    </row>
    <row r="759" spans="1:16">
      <c r="A759" s="14">
        <v>11025</v>
      </c>
      <c r="B759" s="14" t="s">
        <v>2110</v>
      </c>
      <c r="C759" s="3" t="s">
        <v>1220</v>
      </c>
      <c r="D759" s="4" t="s">
        <v>19</v>
      </c>
      <c r="E759" s="14">
        <v>108971</v>
      </c>
      <c r="F759" s="14">
        <v>13818369240</v>
      </c>
      <c r="G759" s="14">
        <v>489011247</v>
      </c>
      <c r="H759" s="28" t="s">
        <v>2111</v>
      </c>
      <c r="I759" s="28" t="s">
        <v>2111</v>
      </c>
      <c r="J759" s="3" t="s">
        <v>2112</v>
      </c>
      <c r="K759" s="15" t="s">
        <v>2110</v>
      </c>
      <c r="L759" s="25"/>
      <c r="N759" s="15" t="s">
        <v>2113</v>
      </c>
      <c r="P759" s="37" t="s">
        <v>25</v>
      </c>
    </row>
    <row r="760" spans="1:16">
      <c r="A760" s="14">
        <v>11026</v>
      </c>
      <c r="B760" s="14" t="s">
        <v>2114</v>
      </c>
      <c r="C760" s="3" t="s">
        <v>1220</v>
      </c>
      <c r="D760" s="4" t="s">
        <v>19</v>
      </c>
      <c r="E760" s="14">
        <v>112464</v>
      </c>
      <c r="F760" s="14">
        <v>16008756510</v>
      </c>
      <c r="G760" s="14">
        <v>517999889</v>
      </c>
      <c r="H760" s="28" t="s">
        <v>2115</v>
      </c>
      <c r="I760" s="28" t="s">
        <v>2115</v>
      </c>
      <c r="J760" s="3" t="s">
        <v>2116</v>
      </c>
      <c r="K760" s="15" t="s">
        <v>2114</v>
      </c>
      <c r="L760" s="25"/>
      <c r="N760" s="15" t="s">
        <v>2117</v>
      </c>
      <c r="P760" s="37" t="s">
        <v>25</v>
      </c>
    </row>
    <row r="761" spans="1:16">
      <c r="A761" s="14">
        <v>11027</v>
      </c>
      <c r="B761" s="14" t="s">
        <v>2118</v>
      </c>
      <c r="C761" s="3" t="s">
        <v>1220</v>
      </c>
      <c r="D761" s="4" t="s">
        <v>19</v>
      </c>
      <c r="E761" s="14">
        <v>112376</v>
      </c>
      <c r="F761" s="14">
        <v>15999076174</v>
      </c>
      <c r="G761" s="14">
        <v>517878584</v>
      </c>
      <c r="H761" s="28" t="s">
        <v>2119</v>
      </c>
      <c r="I761" s="28" t="s">
        <v>2119</v>
      </c>
      <c r="J761" s="3" t="s">
        <v>2120</v>
      </c>
      <c r="K761" s="15" t="s">
        <v>2118</v>
      </c>
      <c r="L761" s="25"/>
      <c r="N761" s="15" t="s">
        <v>2121</v>
      </c>
      <c r="P761" s="37" t="s">
        <v>25</v>
      </c>
    </row>
    <row r="762" spans="1:16">
      <c r="A762" s="14">
        <v>11028</v>
      </c>
      <c r="B762" s="14" t="s">
        <v>2122</v>
      </c>
      <c r="C762" s="3" t="s">
        <v>1220</v>
      </c>
      <c r="D762" s="4" t="s">
        <v>19</v>
      </c>
      <c r="E762" s="14">
        <v>112350</v>
      </c>
      <c r="F762" s="14">
        <v>15998580276</v>
      </c>
      <c r="G762" s="14">
        <v>517878579</v>
      </c>
      <c r="H762" s="28" t="s">
        <v>2123</v>
      </c>
      <c r="I762" s="28" t="s">
        <v>2123</v>
      </c>
      <c r="J762" s="3" t="s">
        <v>2124</v>
      </c>
      <c r="K762" s="15" t="s">
        <v>2122</v>
      </c>
      <c r="L762" s="25"/>
      <c r="N762" s="15" t="s">
        <v>2125</v>
      </c>
      <c r="P762" s="37" t="s">
        <v>25</v>
      </c>
    </row>
    <row r="763" spans="1:16">
      <c r="A763" s="14">
        <v>11029</v>
      </c>
      <c r="B763" s="14" t="s">
        <v>2126</v>
      </c>
      <c r="C763" s="3" t="s">
        <v>1220</v>
      </c>
      <c r="D763" s="4" t="s">
        <v>19</v>
      </c>
      <c r="E763" s="14">
        <v>108976</v>
      </c>
      <c r="F763" s="14">
        <v>13818427018</v>
      </c>
      <c r="G763" s="14">
        <v>489011259</v>
      </c>
      <c r="H763" s="28" t="s">
        <v>2127</v>
      </c>
      <c r="I763" s="28" t="s">
        <v>2127</v>
      </c>
      <c r="J763" s="3" t="s">
        <v>2128</v>
      </c>
      <c r="K763" s="15" t="s">
        <v>2126</v>
      </c>
      <c r="L763" s="25"/>
      <c r="N763" s="15" t="s">
        <v>2129</v>
      </c>
      <c r="P763" s="37" t="s">
        <v>25</v>
      </c>
    </row>
    <row r="764" spans="1:16">
      <c r="A764" s="14">
        <v>11030</v>
      </c>
      <c r="B764" s="14" t="s">
        <v>2130</v>
      </c>
      <c r="C764" s="3" t="s">
        <v>1220</v>
      </c>
      <c r="D764" s="4" t="s">
        <v>19</v>
      </c>
      <c r="E764" s="14">
        <v>94475</v>
      </c>
      <c r="F764" s="14">
        <v>7502547544</v>
      </c>
      <c r="G764" s="14">
        <v>409614152</v>
      </c>
      <c r="H764" s="28" t="s">
        <v>2131</v>
      </c>
      <c r="I764" s="28" t="s">
        <v>2131</v>
      </c>
      <c r="J764" s="3" t="s">
        <v>2132</v>
      </c>
      <c r="K764" s="15" t="s">
        <v>2130</v>
      </c>
      <c r="L764" s="25"/>
      <c r="N764" s="15" t="s">
        <v>2133</v>
      </c>
      <c r="P764" s="37" t="s">
        <v>25</v>
      </c>
    </row>
    <row r="765" spans="1:16">
      <c r="A765" s="14">
        <v>11031</v>
      </c>
      <c r="B765" s="14" t="s">
        <v>2134</v>
      </c>
      <c r="C765" s="3" t="s">
        <v>1220</v>
      </c>
      <c r="D765" s="4" t="s">
        <v>19</v>
      </c>
      <c r="E765" s="14">
        <v>108974</v>
      </c>
      <c r="F765" s="14">
        <v>13818413479</v>
      </c>
      <c r="G765" s="14">
        <v>489011253</v>
      </c>
      <c r="H765" s="28" t="s">
        <v>2135</v>
      </c>
      <c r="I765" s="28" t="s">
        <v>2135</v>
      </c>
      <c r="J765" s="3" t="s">
        <v>2136</v>
      </c>
      <c r="K765" s="15" t="s">
        <v>2134</v>
      </c>
      <c r="L765" s="25"/>
      <c r="N765" s="15" t="s">
        <v>2137</v>
      </c>
      <c r="P765" s="37" t="s">
        <v>25</v>
      </c>
    </row>
    <row r="766" spans="1:16">
      <c r="A766" s="14">
        <v>11032</v>
      </c>
      <c r="B766" s="14" t="s">
        <v>2138</v>
      </c>
      <c r="C766" s="3" t="s">
        <v>1220</v>
      </c>
      <c r="D766" s="4" t="s">
        <v>19</v>
      </c>
      <c r="E766" s="14">
        <v>108972</v>
      </c>
      <c r="F766" s="14">
        <v>13818385759</v>
      </c>
      <c r="G766" s="14">
        <v>489011251</v>
      </c>
      <c r="H766" s="28" t="s">
        <v>2139</v>
      </c>
      <c r="I766" s="28" t="s">
        <v>2139</v>
      </c>
      <c r="J766" s="3" t="s">
        <v>2140</v>
      </c>
      <c r="K766" s="15" t="s">
        <v>2138</v>
      </c>
      <c r="L766" s="25"/>
      <c r="N766" s="15" t="s">
        <v>2141</v>
      </c>
      <c r="P766" s="37" t="s">
        <v>25</v>
      </c>
    </row>
    <row r="767" spans="1:16">
      <c r="A767" s="14">
        <v>11033</v>
      </c>
      <c r="B767" s="14" t="s">
        <v>2142</v>
      </c>
      <c r="C767" s="3" t="s">
        <v>1220</v>
      </c>
      <c r="D767" s="4" t="s">
        <v>19</v>
      </c>
      <c r="E767" s="14">
        <v>108977</v>
      </c>
      <c r="F767" s="14">
        <v>13818431583</v>
      </c>
      <c r="G767" s="14">
        <v>489011246</v>
      </c>
      <c r="H767" s="28" t="s">
        <v>2143</v>
      </c>
      <c r="I767" s="28" t="s">
        <v>2143</v>
      </c>
      <c r="J767" s="3" t="s">
        <v>2144</v>
      </c>
      <c r="K767" s="15" t="s">
        <v>2142</v>
      </c>
      <c r="L767" s="25"/>
      <c r="N767" s="15" t="s">
        <v>2145</v>
      </c>
      <c r="P767" s="37" t="s">
        <v>25</v>
      </c>
    </row>
    <row r="768" spans="1:16">
      <c r="A768" s="14">
        <v>11034</v>
      </c>
      <c r="B768" s="14"/>
      <c r="C768" s="3" t="s">
        <v>1220</v>
      </c>
      <c r="E768" s="14"/>
      <c r="F768" s="14"/>
      <c r="G768" s="14"/>
      <c r="H768" s="28"/>
      <c r="I768" s="28"/>
      <c r="L768" s="25"/>
    </row>
    <row r="769" spans="1:16">
      <c r="A769" s="14">
        <v>11035</v>
      </c>
      <c r="B769" s="14" t="s">
        <v>2146</v>
      </c>
      <c r="C769" s="3" t="s">
        <v>1220</v>
      </c>
      <c r="D769" s="4" t="s">
        <v>19</v>
      </c>
      <c r="E769" s="14">
        <v>112328</v>
      </c>
      <c r="F769" s="14">
        <v>15986924376</v>
      </c>
      <c r="G769" s="14">
        <v>517699168</v>
      </c>
      <c r="H769" s="28" t="s">
        <v>2147</v>
      </c>
      <c r="I769" s="28" t="s">
        <v>2147</v>
      </c>
      <c r="J769" s="3" t="s">
        <v>2148</v>
      </c>
      <c r="K769" s="15" t="s">
        <v>2146</v>
      </c>
      <c r="L769" s="25"/>
      <c r="N769" s="15" t="s">
        <v>2149</v>
      </c>
      <c r="P769" s="37" t="s">
        <v>25</v>
      </c>
    </row>
    <row r="770" spans="1:16">
      <c r="A770" s="14">
        <v>11036</v>
      </c>
      <c r="B770" s="14" t="s">
        <v>2150</v>
      </c>
      <c r="C770" s="3" t="s">
        <v>1220</v>
      </c>
      <c r="D770" s="4" t="s">
        <v>19</v>
      </c>
      <c r="E770" s="14">
        <v>112326</v>
      </c>
      <c r="F770" s="14">
        <v>15986892616</v>
      </c>
      <c r="G770" s="14">
        <v>517699214</v>
      </c>
      <c r="H770" s="28" t="s">
        <v>2151</v>
      </c>
      <c r="I770" s="28" t="s">
        <v>2151</v>
      </c>
      <c r="J770" s="3" t="s">
        <v>2152</v>
      </c>
      <c r="K770" s="15" t="s">
        <v>2150</v>
      </c>
      <c r="L770" s="25"/>
      <c r="N770" s="15" t="s">
        <v>2153</v>
      </c>
      <c r="P770" s="37" t="s">
        <v>25</v>
      </c>
    </row>
    <row r="771" spans="1:16">
      <c r="A771" s="14">
        <v>11037</v>
      </c>
      <c r="B771" s="14" t="s">
        <v>2154</v>
      </c>
      <c r="C771" s="3" t="s">
        <v>1220</v>
      </c>
      <c r="D771" s="4" t="s">
        <v>19</v>
      </c>
      <c r="E771" s="14">
        <v>112159</v>
      </c>
      <c r="F771" s="14">
        <v>15974317651</v>
      </c>
      <c r="G771" s="14">
        <v>517571303</v>
      </c>
      <c r="H771" s="28" t="s">
        <v>2155</v>
      </c>
      <c r="I771" s="28" t="s">
        <v>2155</v>
      </c>
      <c r="J771" s="3" t="s">
        <v>2156</v>
      </c>
      <c r="K771" s="15" t="s">
        <v>2154</v>
      </c>
      <c r="L771" s="25"/>
      <c r="N771" s="15" t="s">
        <v>2157</v>
      </c>
      <c r="P771" s="37" t="s">
        <v>25</v>
      </c>
    </row>
    <row r="772" spans="1:16">
      <c r="A772" s="14">
        <v>11038</v>
      </c>
      <c r="B772" s="14" t="s">
        <v>2158</v>
      </c>
      <c r="C772" s="3" t="s">
        <v>1220</v>
      </c>
      <c r="D772" s="4" t="s">
        <v>19</v>
      </c>
      <c r="E772" s="14">
        <v>112335</v>
      </c>
      <c r="F772" s="14">
        <v>15987995175</v>
      </c>
      <c r="G772" s="14">
        <v>517699184</v>
      </c>
      <c r="H772" s="28" t="s">
        <v>2159</v>
      </c>
      <c r="I772" s="28" t="s">
        <v>2159</v>
      </c>
      <c r="J772" s="3" t="s">
        <v>2160</v>
      </c>
      <c r="K772" s="15" t="s">
        <v>2158</v>
      </c>
      <c r="L772" s="25"/>
      <c r="N772" s="15" t="s">
        <v>2161</v>
      </c>
      <c r="P772" s="37" t="s">
        <v>25</v>
      </c>
    </row>
    <row r="773" spans="1:16">
      <c r="A773" s="14">
        <v>11039</v>
      </c>
      <c r="B773" s="14" t="s">
        <v>2162</v>
      </c>
      <c r="C773" s="3" t="s">
        <v>1220</v>
      </c>
      <c r="D773" s="4" t="s">
        <v>19</v>
      </c>
      <c r="E773" s="14">
        <v>108978</v>
      </c>
      <c r="F773" s="14">
        <v>13818433356</v>
      </c>
      <c r="G773" s="14">
        <v>489011248</v>
      </c>
      <c r="H773" s="28" t="s">
        <v>2163</v>
      </c>
      <c r="I773" s="28" t="s">
        <v>2163</v>
      </c>
      <c r="J773" s="3" t="s">
        <v>2164</v>
      </c>
      <c r="K773" s="15" t="s">
        <v>2162</v>
      </c>
      <c r="L773" s="25"/>
      <c r="N773" s="15" t="s">
        <v>2165</v>
      </c>
      <c r="P773" s="37" t="s">
        <v>25</v>
      </c>
    </row>
    <row r="774" spans="1:16">
      <c r="A774" s="14">
        <v>11040</v>
      </c>
      <c r="B774" s="14"/>
      <c r="C774" s="3" t="s">
        <v>1220</v>
      </c>
      <c r="D774" s="4"/>
      <c r="E774" s="14"/>
      <c r="F774" s="14"/>
      <c r="G774" s="14"/>
      <c r="H774" s="28"/>
      <c r="I774" s="28"/>
      <c r="K774" s="15"/>
      <c r="L774" s="25"/>
      <c r="N774" s="15"/>
      <c r="P774" s="37"/>
    </row>
    <row r="775" spans="1:16">
      <c r="A775" s="14">
        <v>11041</v>
      </c>
      <c r="B775" s="14"/>
      <c r="C775" s="3" t="s">
        <v>1220</v>
      </c>
      <c r="E775" s="14"/>
      <c r="F775" s="14"/>
      <c r="G775" s="14"/>
      <c r="H775" s="28"/>
      <c r="I775" s="28"/>
      <c r="L775" s="25"/>
    </row>
    <row r="776" spans="1:16">
      <c r="A776" s="14">
        <v>11042</v>
      </c>
      <c r="B776" s="14"/>
      <c r="C776" s="3" t="s">
        <v>1220</v>
      </c>
      <c r="E776" s="14"/>
      <c r="F776" s="14"/>
      <c r="G776" s="14"/>
      <c r="H776" s="28"/>
      <c r="I776" s="28"/>
      <c r="L776" s="25"/>
    </row>
    <row r="777" spans="1:16">
      <c r="A777" s="14">
        <v>11043</v>
      </c>
      <c r="B777" s="14" t="s">
        <v>2166</v>
      </c>
      <c r="C777" s="3" t="s">
        <v>1220</v>
      </c>
      <c r="D777" s="4" t="s">
        <v>19</v>
      </c>
      <c r="E777" s="14">
        <v>112246</v>
      </c>
      <c r="F777" s="14">
        <v>15984418609</v>
      </c>
      <c r="G777" s="14">
        <v>517699174</v>
      </c>
      <c r="H777" s="28" t="s">
        <v>2167</v>
      </c>
      <c r="I777" s="28" t="s">
        <v>2167</v>
      </c>
      <c r="J777" s="3" t="s">
        <v>2168</v>
      </c>
      <c r="K777" s="15" t="s">
        <v>2166</v>
      </c>
      <c r="L777" s="25"/>
      <c r="N777" s="15" t="s">
        <v>2169</v>
      </c>
      <c r="P777" s="37" t="s">
        <v>25</v>
      </c>
    </row>
    <row r="778" spans="1:16">
      <c r="A778" s="14">
        <v>11044</v>
      </c>
      <c r="B778" s="14" t="s">
        <v>2170</v>
      </c>
      <c r="C778" s="3" t="s">
        <v>1220</v>
      </c>
      <c r="D778" s="4" t="s">
        <v>19</v>
      </c>
      <c r="E778" s="14">
        <v>112403</v>
      </c>
      <c r="F778" s="14">
        <v>16003769917</v>
      </c>
      <c r="G778" s="14">
        <v>517938458</v>
      </c>
      <c r="H778" s="28" t="s">
        <v>2171</v>
      </c>
      <c r="I778" s="28" t="s">
        <v>2171</v>
      </c>
      <c r="J778" s="3" t="s">
        <v>2172</v>
      </c>
      <c r="K778" s="15" t="s">
        <v>2170</v>
      </c>
      <c r="L778" s="25"/>
      <c r="N778" s="15" t="s">
        <v>2173</v>
      </c>
      <c r="P778" s="37" t="s">
        <v>25</v>
      </c>
    </row>
    <row r="779" spans="1:16">
      <c r="A779" s="14">
        <v>11045</v>
      </c>
      <c r="B779" s="14" t="s">
        <v>2174</v>
      </c>
      <c r="C779" s="3" t="s">
        <v>1220</v>
      </c>
      <c r="D779" s="4" t="s">
        <v>19</v>
      </c>
      <c r="E779" s="14">
        <v>112248</v>
      </c>
      <c r="F779" s="14">
        <v>15984438855</v>
      </c>
      <c r="G779" s="14">
        <v>517699243</v>
      </c>
      <c r="H779" s="28" t="s">
        <v>2175</v>
      </c>
      <c r="I779" s="28" t="s">
        <v>2175</v>
      </c>
      <c r="J779" s="3" t="s">
        <v>2176</v>
      </c>
      <c r="K779" s="15" t="s">
        <v>2174</v>
      </c>
      <c r="L779" s="25"/>
      <c r="N779" s="15" t="s">
        <v>2177</v>
      </c>
      <c r="P779" s="37" t="s">
        <v>25</v>
      </c>
    </row>
    <row r="780" spans="1:16">
      <c r="A780" s="14">
        <v>11046</v>
      </c>
      <c r="B780" s="14" t="s">
        <v>2178</v>
      </c>
      <c r="C780" s="3" t="s">
        <v>1220</v>
      </c>
      <c r="D780" s="4" t="s">
        <v>19</v>
      </c>
      <c r="E780" s="14">
        <v>112226</v>
      </c>
      <c r="F780" s="14">
        <v>15980242333</v>
      </c>
      <c r="G780" s="14">
        <v>517638236</v>
      </c>
      <c r="H780" s="28" t="s">
        <v>2179</v>
      </c>
      <c r="I780" s="28" t="s">
        <v>2179</v>
      </c>
      <c r="J780" s="3" t="s">
        <v>2180</v>
      </c>
      <c r="K780" s="15" t="s">
        <v>2178</v>
      </c>
      <c r="L780" s="25"/>
      <c r="N780" s="15" t="s">
        <v>2181</v>
      </c>
      <c r="P780" s="37" t="s">
        <v>25</v>
      </c>
    </row>
    <row r="781" spans="1:16">
      <c r="A781" s="14">
        <v>11047</v>
      </c>
      <c r="B781" s="14" t="s">
        <v>2182</v>
      </c>
      <c r="C781" s="3" t="s">
        <v>1220</v>
      </c>
      <c r="D781" s="4" t="s">
        <v>19</v>
      </c>
      <c r="E781" s="14">
        <v>112452</v>
      </c>
      <c r="F781" s="14">
        <v>16008741848</v>
      </c>
      <c r="G781" s="14">
        <v>517999877</v>
      </c>
      <c r="H781" s="28" t="s">
        <v>2183</v>
      </c>
      <c r="I781" s="28" t="s">
        <v>2183</v>
      </c>
      <c r="J781" s="3" t="s">
        <v>2182</v>
      </c>
      <c r="K781" s="15" t="s">
        <v>2182</v>
      </c>
      <c r="L781" s="25"/>
      <c r="N781" s="15" t="s">
        <v>2184</v>
      </c>
      <c r="P781" s="37" t="s">
        <v>25</v>
      </c>
    </row>
    <row r="782" spans="1:16">
      <c r="A782" s="14">
        <v>11048</v>
      </c>
      <c r="B782" s="14"/>
      <c r="C782" s="3" t="s">
        <v>1220</v>
      </c>
      <c r="E782" s="14"/>
      <c r="F782" s="14"/>
      <c r="G782" s="14"/>
      <c r="H782" s="28"/>
      <c r="I782" s="28"/>
      <c r="L782" s="25"/>
    </row>
    <row r="783" spans="1:16">
      <c r="A783" s="14">
        <v>11049</v>
      </c>
      <c r="B783" s="14"/>
      <c r="C783" s="3" t="s">
        <v>1220</v>
      </c>
      <c r="E783" s="14"/>
      <c r="F783" s="14"/>
      <c r="G783" s="14"/>
      <c r="H783" s="28"/>
      <c r="I783" s="28"/>
      <c r="L783" s="25"/>
    </row>
    <row r="784" spans="1:16">
      <c r="A784" s="14">
        <v>11050</v>
      </c>
      <c r="B784" s="14"/>
      <c r="C784" s="3" t="s">
        <v>1220</v>
      </c>
      <c r="E784" s="14"/>
      <c r="F784" s="14"/>
      <c r="G784" s="14"/>
      <c r="H784" s="28"/>
      <c r="I784" s="28"/>
      <c r="L784" s="25"/>
    </row>
    <row r="785" spans="1:16">
      <c r="A785" s="14">
        <v>11051</v>
      </c>
      <c r="B785" s="14" t="s">
        <v>2185</v>
      </c>
      <c r="C785" s="3" t="s">
        <v>1220</v>
      </c>
      <c r="D785" s="4" t="s">
        <v>19</v>
      </c>
      <c r="E785" s="14">
        <v>112401</v>
      </c>
      <c r="F785" s="14">
        <v>16003769086</v>
      </c>
      <c r="G785" s="14">
        <v>517938474</v>
      </c>
      <c r="H785" s="28" t="s">
        <v>2186</v>
      </c>
      <c r="I785" s="28" t="s">
        <v>2186</v>
      </c>
      <c r="J785" s="3" t="s">
        <v>2187</v>
      </c>
      <c r="K785" s="15" t="s">
        <v>2185</v>
      </c>
      <c r="L785" s="25"/>
      <c r="N785" s="15" t="s">
        <v>2188</v>
      </c>
      <c r="P785" s="37" t="s">
        <v>25</v>
      </c>
    </row>
    <row r="786" spans="1:16">
      <c r="A786" s="14">
        <v>11052</v>
      </c>
      <c r="B786" s="14" t="s">
        <v>2189</v>
      </c>
      <c r="C786" s="3" t="s">
        <v>1220</v>
      </c>
      <c r="D786" s="4" t="s">
        <v>19</v>
      </c>
      <c r="E786" s="14">
        <v>112346</v>
      </c>
      <c r="F786" s="14">
        <v>15988775476</v>
      </c>
      <c r="G786" s="14">
        <v>517699258</v>
      </c>
      <c r="H786" s="28" t="s">
        <v>2190</v>
      </c>
      <c r="I786" s="28" t="s">
        <v>2190</v>
      </c>
      <c r="J786" s="3" t="s">
        <v>2191</v>
      </c>
      <c r="K786" s="15" t="s">
        <v>2189</v>
      </c>
      <c r="L786" s="25"/>
      <c r="N786" s="15" t="s">
        <v>2192</v>
      </c>
      <c r="P786" s="37" t="s">
        <v>25</v>
      </c>
    </row>
    <row r="787" spans="1:16">
      <c r="A787" s="14">
        <v>11053</v>
      </c>
      <c r="B787" s="14" t="s">
        <v>2193</v>
      </c>
      <c r="C787" s="3" t="s">
        <v>1220</v>
      </c>
      <c r="D787" s="4" t="s">
        <v>19</v>
      </c>
      <c r="E787" s="14">
        <v>112453</v>
      </c>
      <c r="F787" s="14">
        <v>16008743004</v>
      </c>
      <c r="G787" s="14">
        <v>517999883</v>
      </c>
      <c r="H787" s="28" t="s">
        <v>2194</v>
      </c>
      <c r="I787" s="28" t="s">
        <v>2194</v>
      </c>
      <c r="J787" s="3" t="s">
        <v>2195</v>
      </c>
      <c r="K787" s="15" t="s">
        <v>2193</v>
      </c>
      <c r="L787" s="25"/>
      <c r="N787" s="15" t="s">
        <v>2196</v>
      </c>
      <c r="P787" s="37" t="s">
        <v>25</v>
      </c>
    </row>
    <row r="788" spans="1:16">
      <c r="A788" s="14">
        <v>11054</v>
      </c>
      <c r="B788" s="14" t="s">
        <v>2197</v>
      </c>
      <c r="C788" s="3" t="s">
        <v>1220</v>
      </c>
      <c r="D788" s="4" t="s">
        <v>19</v>
      </c>
      <c r="E788" s="14">
        <v>112487</v>
      </c>
      <c r="F788" s="14">
        <v>16009006484</v>
      </c>
      <c r="G788" s="14">
        <v>517999902</v>
      </c>
      <c r="H788" s="28" t="s">
        <v>2198</v>
      </c>
      <c r="I788" s="28" t="s">
        <v>2198</v>
      </c>
      <c r="J788" s="3" t="s">
        <v>2199</v>
      </c>
      <c r="K788" s="15" t="s">
        <v>2197</v>
      </c>
      <c r="L788" s="25"/>
      <c r="N788" s="15" t="s">
        <v>2200</v>
      </c>
      <c r="P788" s="37" t="s">
        <v>25</v>
      </c>
    </row>
    <row r="789" spans="1:16">
      <c r="A789" s="14">
        <v>11055</v>
      </c>
      <c r="B789" s="14" t="s">
        <v>2201</v>
      </c>
      <c r="C789" s="3" t="s">
        <v>1220</v>
      </c>
      <c r="D789" s="4" t="s">
        <v>19</v>
      </c>
      <c r="E789" s="14">
        <v>109467</v>
      </c>
      <c r="F789" s="14">
        <v>14295519077</v>
      </c>
      <c r="G789" s="14">
        <v>495621241</v>
      </c>
      <c r="H789" s="28" t="s">
        <v>2202</v>
      </c>
      <c r="I789" s="28" t="s">
        <v>2202</v>
      </c>
      <c r="J789" s="3" t="s">
        <v>2203</v>
      </c>
      <c r="K789" s="15" t="s">
        <v>2201</v>
      </c>
      <c r="L789" s="25"/>
      <c r="N789" s="15" t="s">
        <v>2204</v>
      </c>
      <c r="P789" s="37" t="s">
        <v>25</v>
      </c>
    </row>
    <row r="790" spans="1:16">
      <c r="A790" s="14">
        <v>11056</v>
      </c>
      <c r="B790" s="14" t="s">
        <v>2205</v>
      </c>
      <c r="C790" s="3" t="s">
        <v>1220</v>
      </c>
      <c r="D790" s="4" t="s">
        <v>19</v>
      </c>
      <c r="E790" s="14">
        <v>112481</v>
      </c>
      <c r="F790" s="14">
        <v>16009005125</v>
      </c>
      <c r="G790" s="14">
        <v>517999881</v>
      </c>
      <c r="H790" s="28" t="s">
        <v>2206</v>
      </c>
      <c r="I790" s="28" t="s">
        <v>2206</v>
      </c>
      <c r="J790" s="3" t="s">
        <v>2207</v>
      </c>
      <c r="K790" s="15" t="s">
        <v>2205</v>
      </c>
      <c r="L790" s="25"/>
      <c r="N790" s="15" t="s">
        <v>2208</v>
      </c>
      <c r="P790" s="37" t="s">
        <v>25</v>
      </c>
    </row>
    <row r="791" spans="1:16">
      <c r="A791" s="14">
        <v>11057</v>
      </c>
      <c r="B791" s="14" t="s">
        <v>2209</v>
      </c>
      <c r="C791" s="3" t="s">
        <v>1220</v>
      </c>
      <c r="D791" s="4" t="s">
        <v>19</v>
      </c>
      <c r="E791" s="14">
        <v>112439</v>
      </c>
      <c r="F791" s="14">
        <v>16008702098</v>
      </c>
      <c r="G791" s="14">
        <v>517999856</v>
      </c>
      <c r="H791" s="28" t="s">
        <v>2210</v>
      </c>
      <c r="I791" s="28" t="s">
        <v>2210</v>
      </c>
      <c r="J791" s="3" t="s">
        <v>2211</v>
      </c>
      <c r="K791" s="15" t="s">
        <v>2209</v>
      </c>
      <c r="L791" s="25"/>
      <c r="N791" s="15" t="s">
        <v>2212</v>
      </c>
      <c r="P791" s="37" t="s">
        <v>25</v>
      </c>
    </row>
    <row r="792" spans="1:16">
      <c r="A792" s="14">
        <v>11058</v>
      </c>
      <c r="B792" s="14" t="s">
        <v>2213</v>
      </c>
      <c r="C792" s="3" t="s">
        <v>1220</v>
      </c>
      <c r="D792" s="4" t="s">
        <v>19</v>
      </c>
      <c r="E792" s="14">
        <v>112488</v>
      </c>
      <c r="F792" s="14">
        <v>16009042778</v>
      </c>
      <c r="G792" s="14">
        <v>517999857</v>
      </c>
      <c r="H792" s="28" t="s">
        <v>2214</v>
      </c>
      <c r="I792" s="28" t="s">
        <v>2214</v>
      </c>
      <c r="J792" s="3" t="s">
        <v>2215</v>
      </c>
      <c r="K792" s="15" t="s">
        <v>2213</v>
      </c>
      <c r="L792" s="25"/>
      <c r="N792" s="15" t="s">
        <v>2216</v>
      </c>
      <c r="P792" s="37" t="s">
        <v>25</v>
      </c>
    </row>
    <row r="793" spans="1:16">
      <c r="A793" s="14">
        <v>11059</v>
      </c>
      <c r="B793" s="14" t="s">
        <v>2217</v>
      </c>
      <c r="C793" s="3" t="s">
        <v>1220</v>
      </c>
      <c r="D793" s="4" t="s">
        <v>19</v>
      </c>
      <c r="E793" s="14">
        <v>109552</v>
      </c>
      <c r="F793" s="14">
        <v>14295734484</v>
      </c>
      <c r="G793" s="14">
        <v>495621184</v>
      </c>
      <c r="H793" s="28" t="s">
        <v>2218</v>
      </c>
      <c r="I793" s="28" t="s">
        <v>2218</v>
      </c>
      <c r="J793" s="3" t="s">
        <v>2219</v>
      </c>
      <c r="K793" s="15" t="s">
        <v>2217</v>
      </c>
      <c r="L793" s="25"/>
      <c r="N793" s="15" t="s">
        <v>2220</v>
      </c>
      <c r="P793" s="37" t="s">
        <v>25</v>
      </c>
    </row>
    <row r="794" spans="1:16">
      <c r="A794" s="14">
        <v>11060</v>
      </c>
      <c r="B794" s="14"/>
      <c r="C794" s="3" t="s">
        <v>1220</v>
      </c>
      <c r="E794" s="14"/>
      <c r="F794" s="14"/>
      <c r="G794" s="14"/>
      <c r="H794" s="28"/>
      <c r="I794" s="28"/>
      <c r="L794" s="25"/>
    </row>
    <row r="795" spans="1:16">
      <c r="A795" s="14">
        <v>11061</v>
      </c>
      <c r="B795" s="14"/>
      <c r="C795" s="3" t="s">
        <v>1220</v>
      </c>
      <c r="E795" s="14"/>
      <c r="F795" s="14"/>
      <c r="G795" s="14"/>
      <c r="H795" s="28"/>
      <c r="I795" s="28"/>
      <c r="L795" s="25"/>
    </row>
    <row r="796" spans="1:16">
      <c r="A796" s="14">
        <v>11062</v>
      </c>
      <c r="B796" s="14"/>
      <c r="C796" s="3" t="s">
        <v>1220</v>
      </c>
      <c r="E796" s="14"/>
      <c r="F796" s="14"/>
      <c r="G796" s="14"/>
      <c r="H796" s="28"/>
      <c r="I796" s="28"/>
      <c r="L796" s="25"/>
    </row>
    <row r="797" spans="1:16">
      <c r="A797" s="14">
        <v>11063</v>
      </c>
      <c r="B797" s="14" t="s">
        <v>2221</v>
      </c>
      <c r="C797" s="3" t="s">
        <v>1220</v>
      </c>
      <c r="D797" s="4" t="s">
        <v>19</v>
      </c>
      <c r="E797" s="14">
        <v>112410</v>
      </c>
      <c r="F797" s="14">
        <v>16003807672</v>
      </c>
      <c r="G797" s="14">
        <v>517938868</v>
      </c>
      <c r="H797" s="28" t="s">
        <v>2222</v>
      </c>
      <c r="I797" s="28" t="s">
        <v>2222</v>
      </c>
      <c r="J797" s="3" t="s">
        <v>2223</v>
      </c>
      <c r="K797" s="15" t="s">
        <v>2221</v>
      </c>
      <c r="L797" s="25"/>
      <c r="N797" s="15" t="s">
        <v>2224</v>
      </c>
      <c r="P797" s="37" t="s">
        <v>25</v>
      </c>
    </row>
    <row r="798" spans="1:16">
      <c r="A798" s="14">
        <v>11064</v>
      </c>
      <c r="B798" s="14" t="s">
        <v>2225</v>
      </c>
      <c r="C798" s="3" t="s">
        <v>1220</v>
      </c>
      <c r="D798" s="4" t="s">
        <v>19</v>
      </c>
      <c r="E798" s="14">
        <v>112444</v>
      </c>
      <c r="F798" s="14">
        <v>16008725350</v>
      </c>
      <c r="G798" s="14">
        <v>517999861</v>
      </c>
      <c r="H798" s="28" t="s">
        <v>2226</v>
      </c>
      <c r="I798" s="28" t="s">
        <v>2226</v>
      </c>
      <c r="J798" s="3" t="s">
        <v>2227</v>
      </c>
      <c r="K798" s="15" t="s">
        <v>2225</v>
      </c>
      <c r="L798" s="25"/>
      <c r="N798" s="15" t="s">
        <v>2228</v>
      </c>
      <c r="P798" s="37" t="s">
        <v>25</v>
      </c>
    </row>
    <row r="799" spans="1:16">
      <c r="A799" s="14">
        <v>11065</v>
      </c>
      <c r="B799" s="14" t="s">
        <v>2229</v>
      </c>
      <c r="C799" s="3" t="s">
        <v>1220</v>
      </c>
      <c r="D799" s="4" t="s">
        <v>19</v>
      </c>
      <c r="E799" s="14">
        <v>112282</v>
      </c>
      <c r="F799" s="14">
        <v>15984634755</v>
      </c>
      <c r="G799" s="14">
        <v>517699181</v>
      </c>
      <c r="H799" s="28" t="s">
        <v>2230</v>
      </c>
      <c r="I799" s="28" t="s">
        <v>2230</v>
      </c>
      <c r="J799" s="3" t="s">
        <v>2231</v>
      </c>
      <c r="K799" s="15" t="s">
        <v>2229</v>
      </c>
      <c r="L799" s="25"/>
      <c r="N799" s="15" t="s">
        <v>2232</v>
      </c>
      <c r="P799" s="37" t="s">
        <v>25</v>
      </c>
    </row>
    <row r="800" spans="1:16">
      <c r="A800" s="14">
        <v>11066</v>
      </c>
      <c r="B800" s="14" t="s">
        <v>2233</v>
      </c>
      <c r="C800" s="3" t="s">
        <v>1220</v>
      </c>
      <c r="D800" s="4" t="s">
        <v>19</v>
      </c>
      <c r="E800" s="14">
        <v>112250</v>
      </c>
      <c r="F800" s="14">
        <v>15984463511</v>
      </c>
      <c r="G800" s="14">
        <v>517699254</v>
      </c>
      <c r="H800" s="28" t="s">
        <v>2234</v>
      </c>
      <c r="I800" s="28" t="s">
        <v>2234</v>
      </c>
      <c r="J800" s="3" t="s">
        <v>2235</v>
      </c>
      <c r="K800" s="15" t="s">
        <v>2233</v>
      </c>
      <c r="L800" s="25"/>
      <c r="N800" s="15" t="s">
        <v>2236</v>
      </c>
      <c r="P800" s="37" t="s">
        <v>25</v>
      </c>
    </row>
    <row r="801" spans="1:16">
      <c r="A801" s="14">
        <v>11067</v>
      </c>
      <c r="B801" s="14"/>
      <c r="C801" s="3" t="s">
        <v>1220</v>
      </c>
      <c r="E801" s="14"/>
      <c r="F801" s="14"/>
      <c r="G801" s="14"/>
      <c r="H801" s="28"/>
      <c r="I801" s="28"/>
      <c r="L801" s="25"/>
    </row>
    <row r="802" spans="1:16">
      <c r="A802" s="14">
        <v>11068</v>
      </c>
      <c r="B802" s="14" t="s">
        <v>2237</v>
      </c>
      <c r="C802" s="3" t="s">
        <v>1220</v>
      </c>
      <c r="D802" s="4" t="s">
        <v>19</v>
      </c>
      <c r="E802" s="14">
        <v>112249</v>
      </c>
      <c r="F802" s="14">
        <v>15984463510</v>
      </c>
      <c r="G802" s="14">
        <v>517699190</v>
      </c>
      <c r="H802" s="28" t="s">
        <v>2238</v>
      </c>
      <c r="I802" s="28" t="s">
        <v>2238</v>
      </c>
      <c r="J802" s="3" t="s">
        <v>2239</v>
      </c>
      <c r="K802" s="15" t="s">
        <v>2237</v>
      </c>
      <c r="L802" s="25"/>
      <c r="N802" s="15" t="s">
        <v>2240</v>
      </c>
      <c r="P802" s="37" t="s">
        <v>25</v>
      </c>
    </row>
    <row r="803" spans="1:16">
      <c r="A803" s="14">
        <v>11069</v>
      </c>
      <c r="B803" s="14" t="s">
        <v>2241</v>
      </c>
      <c r="C803" s="3" t="s">
        <v>1220</v>
      </c>
      <c r="D803" s="4" t="s">
        <v>19</v>
      </c>
      <c r="E803" s="14">
        <v>112318</v>
      </c>
      <c r="F803" s="14">
        <v>15986767767</v>
      </c>
      <c r="G803" s="14">
        <v>517699242</v>
      </c>
      <c r="H803" s="28" t="s">
        <v>2242</v>
      </c>
      <c r="I803" s="28" t="s">
        <v>2242</v>
      </c>
      <c r="J803" s="3" t="s">
        <v>2243</v>
      </c>
      <c r="K803" s="15" t="s">
        <v>2241</v>
      </c>
      <c r="L803" s="25"/>
      <c r="N803" s="15" t="s">
        <v>2244</v>
      </c>
      <c r="P803" s="37" t="s">
        <v>25</v>
      </c>
    </row>
    <row r="804" spans="1:16">
      <c r="A804" s="14">
        <v>11070</v>
      </c>
      <c r="B804" s="14" t="s">
        <v>2245</v>
      </c>
      <c r="C804" s="3" t="s">
        <v>1220</v>
      </c>
      <c r="D804" s="4" t="s">
        <v>19</v>
      </c>
      <c r="E804" s="14">
        <v>112258</v>
      </c>
      <c r="F804" s="14">
        <v>15984549263</v>
      </c>
      <c r="G804" s="14">
        <v>517699249</v>
      </c>
      <c r="H804" s="28" t="s">
        <v>2246</v>
      </c>
      <c r="I804" s="28" t="s">
        <v>2246</v>
      </c>
      <c r="J804" s="3" t="s">
        <v>2247</v>
      </c>
      <c r="K804" s="15" t="s">
        <v>2245</v>
      </c>
      <c r="L804" s="25"/>
      <c r="N804" s="15" t="s">
        <v>2248</v>
      </c>
      <c r="P804" s="37" t="s">
        <v>25</v>
      </c>
    </row>
    <row r="805" spans="1:16">
      <c r="A805" s="14">
        <v>11071</v>
      </c>
      <c r="B805" s="14" t="s">
        <v>2249</v>
      </c>
      <c r="C805" s="3" t="s">
        <v>1220</v>
      </c>
      <c r="D805" s="4" t="s">
        <v>19</v>
      </c>
      <c r="E805" s="14">
        <v>109682</v>
      </c>
      <c r="F805" s="14">
        <v>14507339012</v>
      </c>
      <c r="G805" s="14">
        <v>498373754</v>
      </c>
      <c r="H805" s="28" t="s">
        <v>2250</v>
      </c>
      <c r="I805" s="28" t="s">
        <v>2250</v>
      </c>
      <c r="J805" s="3" t="s">
        <v>2251</v>
      </c>
      <c r="K805" s="15" t="s">
        <v>2249</v>
      </c>
      <c r="L805" s="25"/>
      <c r="N805" s="15" t="s">
        <v>2252</v>
      </c>
      <c r="P805" s="37" t="s">
        <v>25</v>
      </c>
    </row>
    <row r="806" spans="1:16">
      <c r="A806" s="14">
        <v>11072</v>
      </c>
      <c r="B806" s="14"/>
      <c r="C806" s="3" t="s">
        <v>1220</v>
      </c>
      <c r="E806" s="14"/>
      <c r="F806" s="14"/>
      <c r="G806" s="14"/>
      <c r="H806" s="28"/>
      <c r="I806" s="28"/>
      <c r="L806" s="25"/>
    </row>
    <row r="807" spans="1:16">
      <c r="A807" s="14">
        <v>11073</v>
      </c>
      <c r="B807" s="14"/>
      <c r="C807" s="3" t="s">
        <v>1220</v>
      </c>
      <c r="E807" s="14"/>
      <c r="F807" s="14"/>
      <c r="G807" s="14"/>
      <c r="H807" s="28"/>
      <c r="I807" s="28"/>
      <c r="L807" s="25"/>
    </row>
    <row r="808" spans="1:16">
      <c r="A808" s="14">
        <v>11074</v>
      </c>
      <c r="B808" s="14" t="s">
        <v>2253</v>
      </c>
      <c r="C808" s="3" t="s">
        <v>1220</v>
      </c>
      <c r="D808" s="4" t="s">
        <v>19</v>
      </c>
      <c r="E808" s="14">
        <v>109464</v>
      </c>
      <c r="F808" s="14">
        <v>14295513927</v>
      </c>
      <c r="G808" s="14">
        <v>495621148</v>
      </c>
      <c r="H808" s="28" t="s">
        <v>2254</v>
      </c>
      <c r="I808" s="28" t="s">
        <v>2254</v>
      </c>
      <c r="J808" s="3" t="s">
        <v>2255</v>
      </c>
      <c r="K808" s="15" t="s">
        <v>2253</v>
      </c>
      <c r="L808" s="25"/>
      <c r="N808" s="15" t="s">
        <v>2256</v>
      </c>
      <c r="P808" s="37" t="s">
        <v>25</v>
      </c>
    </row>
    <row r="809" spans="1:16">
      <c r="A809" s="14">
        <v>11075</v>
      </c>
      <c r="B809" s="14" t="s">
        <v>2257</v>
      </c>
      <c r="C809" s="3" t="s">
        <v>1220</v>
      </c>
      <c r="D809" s="4" t="s">
        <v>19</v>
      </c>
      <c r="E809" s="14">
        <v>112471</v>
      </c>
      <c r="F809" s="14">
        <v>16008826410</v>
      </c>
      <c r="G809" s="14">
        <v>517999872</v>
      </c>
      <c r="H809" s="28" t="s">
        <v>2258</v>
      </c>
      <c r="I809" s="28" t="s">
        <v>2258</v>
      </c>
      <c r="J809" s="3" t="s">
        <v>2259</v>
      </c>
      <c r="K809" s="15" t="s">
        <v>2257</v>
      </c>
      <c r="L809" s="25"/>
      <c r="N809" s="15" t="s">
        <v>2260</v>
      </c>
      <c r="P809" s="37" t="s">
        <v>25</v>
      </c>
    </row>
    <row r="810" spans="1:16">
      <c r="A810" s="14">
        <v>11076</v>
      </c>
      <c r="B810" s="14" t="s">
        <v>2261</v>
      </c>
      <c r="C810" s="3" t="s">
        <v>1220</v>
      </c>
      <c r="D810" s="4" t="s">
        <v>19</v>
      </c>
      <c r="E810" s="14">
        <v>112252</v>
      </c>
      <c r="F810" s="14">
        <v>15984463513</v>
      </c>
      <c r="G810" s="14">
        <v>517699240</v>
      </c>
      <c r="H810" s="28" t="s">
        <v>2262</v>
      </c>
      <c r="I810" s="28" t="s">
        <v>2262</v>
      </c>
      <c r="J810" s="3" t="s">
        <v>2263</v>
      </c>
      <c r="K810" s="15" t="s">
        <v>2261</v>
      </c>
      <c r="L810" s="25"/>
      <c r="N810" s="15" t="s">
        <v>2264</v>
      </c>
      <c r="P810" s="37" t="s">
        <v>25</v>
      </c>
    </row>
    <row r="811" spans="1:16">
      <c r="A811" s="14">
        <v>11077</v>
      </c>
      <c r="B811" s="14" t="s">
        <v>2265</v>
      </c>
      <c r="C811" s="3" t="s">
        <v>1220</v>
      </c>
      <c r="D811" s="4" t="s">
        <v>19</v>
      </c>
      <c r="E811" s="14">
        <v>112404</v>
      </c>
      <c r="F811" s="14">
        <v>16003771333</v>
      </c>
      <c r="G811" s="14">
        <v>517938455</v>
      </c>
      <c r="H811" s="28" t="s">
        <v>2266</v>
      </c>
      <c r="I811" s="28" t="s">
        <v>2266</v>
      </c>
      <c r="J811" s="3" t="s">
        <v>2267</v>
      </c>
      <c r="K811" s="15" t="s">
        <v>2265</v>
      </c>
      <c r="L811" s="25"/>
      <c r="N811" s="15" t="s">
        <v>2268</v>
      </c>
      <c r="P811" s="37" t="s">
        <v>25</v>
      </c>
    </row>
    <row r="812" spans="1:16">
      <c r="A812" s="14">
        <v>11078</v>
      </c>
      <c r="B812" s="14" t="s">
        <v>2269</v>
      </c>
      <c r="C812" s="3" t="s">
        <v>1220</v>
      </c>
      <c r="D812" s="4" t="s">
        <v>19</v>
      </c>
      <c r="E812" s="14">
        <v>112431</v>
      </c>
      <c r="F812" s="14">
        <v>16004287723</v>
      </c>
      <c r="G812" s="14">
        <v>517938921</v>
      </c>
      <c r="H812" s="28" t="s">
        <v>2270</v>
      </c>
      <c r="I812" s="28" t="s">
        <v>2270</v>
      </c>
      <c r="J812" s="3" t="s">
        <v>2271</v>
      </c>
      <c r="K812" s="15" t="s">
        <v>2269</v>
      </c>
      <c r="L812" s="25"/>
      <c r="N812" s="15" t="s">
        <v>2272</v>
      </c>
      <c r="P812" s="37" t="s">
        <v>25</v>
      </c>
    </row>
    <row r="813" spans="1:16">
      <c r="A813" s="14">
        <v>11079</v>
      </c>
      <c r="B813" s="14" t="s">
        <v>2273</v>
      </c>
      <c r="C813" s="3" t="s">
        <v>1220</v>
      </c>
      <c r="D813" s="4" t="s">
        <v>19</v>
      </c>
      <c r="E813" s="14">
        <v>112320</v>
      </c>
      <c r="F813" s="14">
        <v>15986777698</v>
      </c>
      <c r="G813" s="14">
        <v>517699198</v>
      </c>
      <c r="H813" s="28" t="s">
        <v>2274</v>
      </c>
      <c r="I813" s="28" t="s">
        <v>2274</v>
      </c>
      <c r="J813" s="3" t="s">
        <v>2275</v>
      </c>
      <c r="K813" s="15" t="s">
        <v>2273</v>
      </c>
      <c r="L813" s="25"/>
      <c r="N813" s="15" t="s">
        <v>2276</v>
      </c>
      <c r="P813" s="37" t="s">
        <v>25</v>
      </c>
    </row>
    <row r="814" spans="1:16">
      <c r="A814" s="14">
        <v>11080</v>
      </c>
      <c r="B814" s="14" t="s">
        <v>2277</v>
      </c>
      <c r="C814" s="3" t="s">
        <v>1220</v>
      </c>
      <c r="D814" s="4" t="s">
        <v>19</v>
      </c>
      <c r="E814" s="14">
        <v>112261</v>
      </c>
      <c r="F814" s="14">
        <v>15984554527</v>
      </c>
      <c r="G814" s="14">
        <v>517699247</v>
      </c>
      <c r="H814" s="28" t="s">
        <v>2278</v>
      </c>
      <c r="I814" s="28" t="s">
        <v>2278</v>
      </c>
      <c r="J814" s="3" t="s">
        <v>2279</v>
      </c>
      <c r="K814" s="15" t="s">
        <v>2277</v>
      </c>
      <c r="L814" s="25"/>
      <c r="N814" s="15" t="s">
        <v>2280</v>
      </c>
      <c r="P814" s="37" t="s">
        <v>25</v>
      </c>
    </row>
    <row r="815" spans="1:16">
      <c r="A815" s="14">
        <v>11081</v>
      </c>
      <c r="B815" s="14" t="s">
        <v>2281</v>
      </c>
      <c r="C815" s="3" t="s">
        <v>1220</v>
      </c>
      <c r="D815" s="4" t="s">
        <v>19</v>
      </c>
      <c r="E815" s="14">
        <v>112256</v>
      </c>
      <c r="F815" s="14">
        <v>15984540256</v>
      </c>
      <c r="G815" s="14">
        <v>517699191</v>
      </c>
      <c r="H815" s="28" t="s">
        <v>2282</v>
      </c>
      <c r="I815" s="28" t="s">
        <v>2282</v>
      </c>
      <c r="J815" s="3" t="s">
        <v>2283</v>
      </c>
      <c r="K815" s="15" t="s">
        <v>2281</v>
      </c>
      <c r="L815" s="25"/>
      <c r="N815" s="15" t="s">
        <v>2284</v>
      </c>
      <c r="P815" s="37" t="s">
        <v>25</v>
      </c>
    </row>
    <row r="816" spans="1:16">
      <c r="A816" s="14">
        <v>11082</v>
      </c>
      <c r="B816" s="14" t="s">
        <v>2285</v>
      </c>
      <c r="C816" s="3" t="s">
        <v>1220</v>
      </c>
      <c r="D816" s="4" t="s">
        <v>19</v>
      </c>
      <c r="E816" s="14">
        <v>112482</v>
      </c>
      <c r="F816" s="14">
        <v>16009006479</v>
      </c>
      <c r="G816" s="14">
        <v>517999853</v>
      </c>
      <c r="H816" s="28" t="s">
        <v>2286</v>
      </c>
      <c r="I816" s="28" t="s">
        <v>2286</v>
      </c>
      <c r="J816" s="3" t="s">
        <v>2287</v>
      </c>
      <c r="K816" s="15" t="s">
        <v>2285</v>
      </c>
      <c r="L816" s="25"/>
      <c r="N816" s="15" t="s">
        <v>2288</v>
      </c>
      <c r="P816" s="37" t="s">
        <v>25</v>
      </c>
    </row>
    <row r="817" spans="1:16">
      <c r="A817" s="14">
        <v>11083</v>
      </c>
      <c r="B817" s="14" t="s">
        <v>2289</v>
      </c>
      <c r="C817" s="3" t="s">
        <v>1220</v>
      </c>
      <c r="D817" s="4" t="s">
        <v>19</v>
      </c>
      <c r="E817" s="14">
        <v>112430</v>
      </c>
      <c r="F817" s="14">
        <v>16004212785</v>
      </c>
      <c r="G817" s="14">
        <v>517938467</v>
      </c>
      <c r="H817" s="28" t="s">
        <v>2290</v>
      </c>
      <c r="I817" s="28" t="s">
        <v>2290</v>
      </c>
      <c r="J817" s="3" t="s">
        <v>2291</v>
      </c>
      <c r="K817" s="15" t="s">
        <v>2289</v>
      </c>
      <c r="L817" s="25"/>
      <c r="N817" s="15" t="s">
        <v>2292</v>
      </c>
      <c r="P817" s="37" t="s">
        <v>25</v>
      </c>
    </row>
    <row r="818" spans="1:16">
      <c r="A818" s="14">
        <v>11084</v>
      </c>
      <c r="B818" s="14"/>
      <c r="C818" s="3" t="s">
        <v>1220</v>
      </c>
      <c r="E818" s="14"/>
      <c r="F818" s="14"/>
      <c r="G818" s="14"/>
      <c r="H818" s="28"/>
      <c r="I818" s="28"/>
      <c r="L818" s="25"/>
    </row>
    <row r="819" spans="1:16">
      <c r="A819" s="14">
        <v>11085</v>
      </c>
      <c r="B819" s="14"/>
      <c r="C819" s="3" t="s">
        <v>1220</v>
      </c>
      <c r="E819" s="14"/>
      <c r="F819" s="14"/>
      <c r="G819" s="14"/>
      <c r="H819" s="28"/>
      <c r="I819" s="28"/>
      <c r="L819" s="25"/>
    </row>
    <row r="820" spans="1:16">
      <c r="A820" s="14">
        <v>11086</v>
      </c>
      <c r="B820" s="14" t="s">
        <v>2293</v>
      </c>
      <c r="C820" s="3" t="s">
        <v>1220</v>
      </c>
      <c r="D820" s="4" t="s">
        <v>19</v>
      </c>
      <c r="E820" s="14">
        <v>112253</v>
      </c>
      <c r="F820" s="14">
        <v>15984463514</v>
      </c>
      <c r="G820" s="14">
        <v>517699223</v>
      </c>
      <c r="H820" s="28" t="s">
        <v>2294</v>
      </c>
      <c r="I820" s="28" t="s">
        <v>2294</v>
      </c>
      <c r="J820" s="3" t="s">
        <v>2295</v>
      </c>
      <c r="K820" s="15" t="s">
        <v>2293</v>
      </c>
      <c r="L820" s="25"/>
      <c r="N820" s="16" t="s">
        <v>2296</v>
      </c>
      <c r="P820" s="37" t="s">
        <v>25</v>
      </c>
    </row>
    <row r="821" spans="1:16">
      <c r="A821" s="14">
        <v>11087</v>
      </c>
      <c r="B821" s="14" t="s">
        <v>2297</v>
      </c>
      <c r="C821" s="3" t="s">
        <v>1220</v>
      </c>
      <c r="D821" s="4" t="s">
        <v>19</v>
      </c>
      <c r="E821" s="14">
        <v>109540</v>
      </c>
      <c r="F821" s="14">
        <v>14295648080</v>
      </c>
      <c r="G821" s="14">
        <v>495621099</v>
      </c>
      <c r="H821" s="28" t="s">
        <v>2298</v>
      </c>
      <c r="I821" s="28" t="s">
        <v>2298</v>
      </c>
      <c r="J821" s="3" t="s">
        <v>2299</v>
      </c>
      <c r="K821" s="15" t="s">
        <v>2297</v>
      </c>
      <c r="L821" s="25"/>
      <c r="N821" s="16" t="s">
        <v>2300</v>
      </c>
      <c r="P821" s="37" t="s">
        <v>25</v>
      </c>
    </row>
    <row r="822" spans="1:16">
      <c r="A822" s="14">
        <v>11088</v>
      </c>
      <c r="B822" s="14" t="s">
        <v>2301</v>
      </c>
      <c r="C822" s="3" t="s">
        <v>1220</v>
      </c>
      <c r="D822" s="4" t="s">
        <v>19</v>
      </c>
      <c r="E822" s="14">
        <v>112369</v>
      </c>
      <c r="F822" s="14">
        <v>15998889821</v>
      </c>
      <c r="G822" s="14">
        <v>517878597</v>
      </c>
      <c r="H822" s="28" t="s">
        <v>2302</v>
      </c>
      <c r="I822" s="28" t="s">
        <v>2302</v>
      </c>
      <c r="J822" s="3" t="s">
        <v>2303</v>
      </c>
      <c r="K822" s="15" t="s">
        <v>2301</v>
      </c>
      <c r="L822" s="25"/>
      <c r="N822" s="16" t="s">
        <v>2304</v>
      </c>
      <c r="P822" s="37" t="s">
        <v>25</v>
      </c>
    </row>
    <row r="823" spans="1:16">
      <c r="A823" s="14">
        <v>11089</v>
      </c>
      <c r="B823" s="14" t="s">
        <v>2305</v>
      </c>
      <c r="C823" s="3" t="s">
        <v>1220</v>
      </c>
      <c r="D823" s="4" t="s">
        <v>19</v>
      </c>
      <c r="E823" s="14">
        <v>112415</v>
      </c>
      <c r="F823" s="14">
        <v>16004003564</v>
      </c>
      <c r="G823" s="14">
        <v>517938453</v>
      </c>
      <c r="H823" s="28" t="s">
        <v>2306</v>
      </c>
      <c r="I823" s="28" t="s">
        <v>2306</v>
      </c>
      <c r="J823" s="3" t="s">
        <v>2307</v>
      </c>
      <c r="K823" s="15" t="s">
        <v>2305</v>
      </c>
      <c r="L823" s="25"/>
      <c r="N823" s="16" t="s">
        <v>2308</v>
      </c>
      <c r="P823" s="37" t="s">
        <v>25</v>
      </c>
    </row>
    <row r="824" spans="1:16">
      <c r="A824" s="14">
        <v>11090</v>
      </c>
      <c r="B824" s="14" t="s">
        <v>2309</v>
      </c>
      <c r="C824" s="3" t="s">
        <v>1220</v>
      </c>
      <c r="D824" s="4" t="s">
        <v>19</v>
      </c>
      <c r="E824" s="14">
        <v>112317</v>
      </c>
      <c r="F824" s="14">
        <v>15986767104</v>
      </c>
      <c r="G824" s="14">
        <v>517699253</v>
      </c>
      <c r="H824" s="28" t="s">
        <v>2310</v>
      </c>
      <c r="I824" s="28" t="s">
        <v>2310</v>
      </c>
      <c r="J824" s="3" t="s">
        <v>2311</v>
      </c>
      <c r="K824" s="15" t="s">
        <v>2309</v>
      </c>
      <c r="L824" s="25"/>
      <c r="N824" s="16" t="s">
        <v>2312</v>
      </c>
      <c r="P824" s="37" t="s">
        <v>25</v>
      </c>
    </row>
    <row r="825" spans="1:16">
      <c r="A825" s="14">
        <v>11091</v>
      </c>
      <c r="B825" s="14" t="s">
        <v>2313</v>
      </c>
      <c r="C825" s="3" t="s">
        <v>1220</v>
      </c>
      <c r="D825" s="4" t="s">
        <v>19</v>
      </c>
      <c r="E825" s="14">
        <v>112470</v>
      </c>
      <c r="F825" s="14">
        <v>16008826409</v>
      </c>
      <c r="G825" s="14">
        <v>517999879</v>
      </c>
      <c r="H825" s="28" t="s">
        <v>2314</v>
      </c>
      <c r="I825" s="28" t="s">
        <v>2314</v>
      </c>
      <c r="J825" s="3" t="s">
        <v>2315</v>
      </c>
      <c r="K825" s="15" t="s">
        <v>2313</v>
      </c>
      <c r="L825" s="25"/>
      <c r="N825" s="16" t="s">
        <v>2316</v>
      </c>
      <c r="P825" s="37" t="s">
        <v>25</v>
      </c>
    </row>
    <row r="826" spans="1:16">
      <c r="A826" s="14">
        <v>11092</v>
      </c>
      <c r="B826" s="14"/>
      <c r="C826" s="3" t="s">
        <v>1220</v>
      </c>
      <c r="E826" s="14"/>
      <c r="F826" s="14"/>
      <c r="G826" s="14"/>
      <c r="H826" s="28"/>
      <c r="I826" s="28"/>
      <c r="L826" s="25"/>
    </row>
    <row r="827" spans="1:16">
      <c r="A827" s="14">
        <v>11093</v>
      </c>
      <c r="B827" s="14"/>
      <c r="C827" s="3" t="s">
        <v>1220</v>
      </c>
      <c r="E827" s="14"/>
      <c r="F827" s="14"/>
      <c r="G827" s="14"/>
      <c r="H827" s="28"/>
      <c r="I827" s="28"/>
      <c r="L827" s="25"/>
    </row>
    <row r="828" spans="1:16">
      <c r="A828" s="14">
        <v>11094</v>
      </c>
      <c r="B828" s="14" t="s">
        <v>2317</v>
      </c>
      <c r="C828" s="3" t="s">
        <v>1220</v>
      </c>
      <c r="D828" s="4" t="s">
        <v>19</v>
      </c>
      <c r="E828" s="14">
        <v>112428</v>
      </c>
      <c r="F828" s="14">
        <v>16004186679</v>
      </c>
      <c r="G828" s="14">
        <v>517938461</v>
      </c>
      <c r="H828" s="28" t="s">
        <v>2318</v>
      </c>
      <c r="I828" s="28" t="s">
        <v>2318</v>
      </c>
      <c r="J828" s="3" t="s">
        <v>2319</v>
      </c>
      <c r="K828" s="15" t="s">
        <v>2317</v>
      </c>
      <c r="L828" s="25"/>
      <c r="N828" s="15" t="s">
        <v>2320</v>
      </c>
      <c r="P828" s="37" t="s">
        <v>25</v>
      </c>
    </row>
    <row r="829" spans="1:16">
      <c r="A829" s="14">
        <v>11095</v>
      </c>
      <c r="B829" s="14" t="s">
        <v>2321</v>
      </c>
      <c r="C829" s="3" t="s">
        <v>1220</v>
      </c>
      <c r="D829" s="4" t="s">
        <v>19</v>
      </c>
      <c r="E829" s="14">
        <v>112247</v>
      </c>
      <c r="F829" s="14">
        <v>15984418610</v>
      </c>
      <c r="G829" s="14">
        <v>517699216</v>
      </c>
      <c r="H829" s="28" t="s">
        <v>2322</v>
      </c>
      <c r="I829" s="28" t="s">
        <v>2322</v>
      </c>
      <c r="J829" s="3" t="s">
        <v>2323</v>
      </c>
      <c r="K829" s="15" t="s">
        <v>2321</v>
      </c>
      <c r="L829" s="25"/>
      <c r="N829" s="15" t="s">
        <v>2324</v>
      </c>
      <c r="P829" s="37" t="s">
        <v>25</v>
      </c>
    </row>
    <row r="830" spans="1:16">
      <c r="A830" s="14">
        <v>11096</v>
      </c>
      <c r="B830" s="14" t="s">
        <v>2325</v>
      </c>
      <c r="C830" s="3" t="s">
        <v>1220</v>
      </c>
      <c r="D830" s="4" t="s">
        <v>19</v>
      </c>
      <c r="E830" s="14">
        <v>112259</v>
      </c>
      <c r="F830" s="14">
        <v>15984554525</v>
      </c>
      <c r="G830" s="14">
        <v>517699187</v>
      </c>
      <c r="H830" s="28" t="s">
        <v>2326</v>
      </c>
      <c r="I830" s="28" t="s">
        <v>2326</v>
      </c>
      <c r="J830" s="3" t="s">
        <v>2327</v>
      </c>
      <c r="K830" s="15" t="s">
        <v>2325</v>
      </c>
      <c r="L830" s="25"/>
      <c r="N830" s="15" t="s">
        <v>2328</v>
      </c>
      <c r="P830" s="37" t="s">
        <v>25</v>
      </c>
    </row>
    <row r="831" spans="1:16">
      <c r="A831" s="14">
        <v>11097</v>
      </c>
      <c r="B831" s="14" t="s">
        <v>2329</v>
      </c>
      <c r="C831" s="3" t="s">
        <v>1220</v>
      </c>
      <c r="D831" s="4" t="s">
        <v>19</v>
      </c>
      <c r="E831" s="14">
        <v>112251</v>
      </c>
      <c r="F831" s="14">
        <v>15984463512</v>
      </c>
      <c r="G831" s="14">
        <v>517699231</v>
      </c>
      <c r="H831" s="28" t="s">
        <v>2330</v>
      </c>
      <c r="I831" s="28" t="s">
        <v>2330</v>
      </c>
      <c r="J831" s="3" t="s">
        <v>2329</v>
      </c>
      <c r="K831" s="15" t="s">
        <v>2329</v>
      </c>
      <c r="L831" s="25"/>
      <c r="N831" s="15" t="s">
        <v>2331</v>
      </c>
      <c r="P831" s="37" t="s">
        <v>25</v>
      </c>
    </row>
    <row r="832" spans="1:16">
      <c r="A832" s="14">
        <v>11098</v>
      </c>
      <c r="B832" s="14" t="s">
        <v>2332</v>
      </c>
      <c r="C832" s="3" t="s">
        <v>1220</v>
      </c>
      <c r="D832" s="4" t="s">
        <v>19</v>
      </c>
      <c r="E832" s="14">
        <v>112227</v>
      </c>
      <c r="F832" s="14">
        <v>15980242334</v>
      </c>
      <c r="G832" s="14">
        <v>517637413</v>
      </c>
      <c r="H832" s="28" t="s">
        <v>2333</v>
      </c>
      <c r="I832" s="28" t="s">
        <v>2333</v>
      </c>
      <c r="J832" s="3" t="s">
        <v>2334</v>
      </c>
      <c r="K832" s="15" t="s">
        <v>2332</v>
      </c>
      <c r="L832" s="25"/>
      <c r="N832" s="15" t="s">
        <v>2335</v>
      </c>
      <c r="P832" s="37" t="s">
        <v>25</v>
      </c>
    </row>
    <row r="833" spans="1:16">
      <c r="A833" s="14">
        <v>11099</v>
      </c>
      <c r="B833" s="14" t="s">
        <v>2336</v>
      </c>
      <c r="C833" s="3" t="s">
        <v>1220</v>
      </c>
      <c r="D833" s="4" t="s">
        <v>19</v>
      </c>
      <c r="E833" s="14">
        <v>112257</v>
      </c>
      <c r="F833" s="14">
        <v>15984540257</v>
      </c>
      <c r="G833" s="14">
        <v>517699195</v>
      </c>
      <c r="H833" s="28" t="s">
        <v>2337</v>
      </c>
      <c r="I833" s="28" t="s">
        <v>2337</v>
      </c>
      <c r="J833" s="3" t="s">
        <v>2338</v>
      </c>
      <c r="K833" s="15" t="s">
        <v>2336</v>
      </c>
      <c r="L833" s="25"/>
      <c r="N833" s="15" t="s">
        <v>2339</v>
      </c>
      <c r="P833" s="37" t="s">
        <v>25</v>
      </c>
    </row>
    <row r="834" spans="1:16">
      <c r="A834" s="14">
        <v>11100</v>
      </c>
      <c r="B834" s="14" t="s">
        <v>2340</v>
      </c>
      <c r="C834" s="3" t="s">
        <v>1220</v>
      </c>
      <c r="D834" s="4" t="s">
        <v>19</v>
      </c>
      <c r="E834" s="14">
        <v>112315</v>
      </c>
      <c r="F834" s="14">
        <v>15986560443</v>
      </c>
      <c r="G834" s="14">
        <v>517699228</v>
      </c>
      <c r="H834" s="28" t="s">
        <v>2341</v>
      </c>
      <c r="I834" s="28" t="s">
        <v>2341</v>
      </c>
      <c r="J834" s="3" t="s">
        <v>2342</v>
      </c>
      <c r="K834" s="15" t="s">
        <v>2340</v>
      </c>
      <c r="L834" s="25"/>
      <c r="N834" s="15" t="s">
        <v>2343</v>
      </c>
      <c r="P834" s="37" t="s">
        <v>25</v>
      </c>
    </row>
    <row r="835" spans="1:16">
      <c r="A835" s="14">
        <v>11101</v>
      </c>
      <c r="B835" s="14"/>
      <c r="C835" s="3" t="s">
        <v>1220</v>
      </c>
      <c r="E835" s="14"/>
      <c r="F835" s="14"/>
      <c r="G835" s="14"/>
      <c r="H835" s="28"/>
      <c r="I835" s="28"/>
      <c r="L835" s="25"/>
    </row>
    <row r="836" spans="1:16">
      <c r="A836" s="14">
        <v>11102</v>
      </c>
      <c r="B836" s="14"/>
      <c r="C836" s="3" t="s">
        <v>1220</v>
      </c>
      <c r="E836" s="14"/>
      <c r="F836" s="14"/>
      <c r="G836" s="14"/>
      <c r="H836" s="28"/>
      <c r="I836" s="28"/>
      <c r="L836" s="25"/>
    </row>
    <row r="837" spans="1:16">
      <c r="A837" s="14">
        <v>11103</v>
      </c>
      <c r="B837" s="14" t="s">
        <v>2344</v>
      </c>
      <c r="C837" s="3" t="s">
        <v>1220</v>
      </c>
      <c r="D837" s="4" t="s">
        <v>19</v>
      </c>
      <c r="E837" s="14">
        <v>112255</v>
      </c>
      <c r="F837" s="14">
        <v>15984519400</v>
      </c>
      <c r="G837" s="14">
        <v>517699199</v>
      </c>
      <c r="H837" s="28" t="s">
        <v>2345</v>
      </c>
      <c r="I837" s="28" t="s">
        <v>2345</v>
      </c>
      <c r="J837" s="3" t="s">
        <v>2346</v>
      </c>
      <c r="K837" s="15" t="s">
        <v>2344</v>
      </c>
      <c r="L837" s="25"/>
      <c r="N837" s="15" t="s">
        <v>2347</v>
      </c>
      <c r="P837" s="37" t="s">
        <v>25</v>
      </c>
    </row>
    <row r="838" spans="1:16">
      <c r="A838" s="14">
        <v>11104</v>
      </c>
      <c r="B838" s="14" t="s">
        <v>2348</v>
      </c>
      <c r="C838" s="3" t="s">
        <v>1220</v>
      </c>
      <c r="D838" s="4" t="s">
        <v>19</v>
      </c>
      <c r="E838" s="14">
        <v>112316</v>
      </c>
      <c r="F838" s="14">
        <v>15986561355</v>
      </c>
      <c r="G838" s="14">
        <v>517699165</v>
      </c>
      <c r="H838" s="28" t="s">
        <v>2349</v>
      </c>
      <c r="I838" s="28" t="s">
        <v>2349</v>
      </c>
      <c r="J838" s="3" t="s">
        <v>2350</v>
      </c>
      <c r="K838" s="15" t="s">
        <v>2348</v>
      </c>
      <c r="L838" s="25"/>
      <c r="N838" s="15" t="s">
        <v>2351</v>
      </c>
      <c r="P838" s="37" t="s">
        <v>25</v>
      </c>
    </row>
    <row r="839" spans="1:16">
      <c r="A839" s="14">
        <v>11105</v>
      </c>
      <c r="B839" s="14" t="s">
        <v>2352</v>
      </c>
      <c r="C839" s="3" t="s">
        <v>1220</v>
      </c>
      <c r="D839" s="4" t="s">
        <v>19</v>
      </c>
      <c r="E839" s="14">
        <v>112245</v>
      </c>
      <c r="F839" s="14">
        <v>15984406755</v>
      </c>
      <c r="G839" s="14">
        <v>517699176</v>
      </c>
      <c r="H839" s="28" t="s">
        <v>2353</v>
      </c>
      <c r="I839" s="28" t="s">
        <v>2353</v>
      </c>
      <c r="J839" s="3" t="s">
        <v>2354</v>
      </c>
      <c r="K839" s="15" t="s">
        <v>2352</v>
      </c>
      <c r="L839" s="25"/>
      <c r="N839" s="15" t="s">
        <v>2355</v>
      </c>
      <c r="P839" s="37" t="s">
        <v>25</v>
      </c>
    </row>
    <row r="840" spans="1:16">
      <c r="A840" s="14">
        <v>11106</v>
      </c>
      <c r="B840" s="14" t="s">
        <v>2356</v>
      </c>
      <c r="C840" s="3" t="s">
        <v>1220</v>
      </c>
      <c r="D840" s="4" t="s">
        <v>19</v>
      </c>
      <c r="E840" s="14">
        <v>109673</v>
      </c>
      <c r="F840" s="14">
        <v>14507317764</v>
      </c>
      <c r="G840" s="14">
        <v>498373746</v>
      </c>
      <c r="H840" s="28" t="s">
        <v>2357</v>
      </c>
      <c r="I840" s="28" t="s">
        <v>2357</v>
      </c>
      <c r="J840" s="3" t="s">
        <v>2358</v>
      </c>
      <c r="K840" s="15" t="s">
        <v>2356</v>
      </c>
      <c r="L840" s="25"/>
      <c r="N840" s="15" t="s">
        <v>2359</v>
      </c>
      <c r="P840" s="37" t="s">
        <v>25</v>
      </c>
    </row>
    <row r="841" spans="1:16">
      <c r="A841" s="14">
        <v>11107</v>
      </c>
      <c r="B841" s="14"/>
      <c r="C841" s="3" t="s">
        <v>1220</v>
      </c>
      <c r="E841" s="14"/>
      <c r="F841" s="14"/>
      <c r="G841" s="14"/>
      <c r="H841" s="28"/>
      <c r="I841" s="28"/>
      <c r="L841" s="25"/>
    </row>
    <row r="842" spans="1:16">
      <c r="A842" s="14">
        <v>11108</v>
      </c>
      <c r="B842" s="14"/>
      <c r="C842" s="3" t="s">
        <v>1220</v>
      </c>
      <c r="E842" s="14"/>
      <c r="F842" s="14"/>
      <c r="G842" s="14"/>
      <c r="H842" s="28"/>
      <c r="I842" s="28"/>
      <c r="L842" s="25"/>
    </row>
    <row r="843" spans="1:16">
      <c r="A843" s="14">
        <v>11109</v>
      </c>
      <c r="B843" s="14" t="s">
        <v>2360</v>
      </c>
      <c r="C843" s="3" t="s">
        <v>1220</v>
      </c>
      <c r="D843" s="4" t="s">
        <v>19</v>
      </c>
      <c r="E843" s="14">
        <v>112436</v>
      </c>
      <c r="F843" s="14">
        <v>16008681920</v>
      </c>
      <c r="G843" s="14">
        <v>517999898</v>
      </c>
      <c r="H843" s="28" t="s">
        <v>2361</v>
      </c>
      <c r="I843" s="28" t="s">
        <v>2361</v>
      </c>
      <c r="J843" s="3" t="s">
        <v>2362</v>
      </c>
      <c r="K843" s="15" t="s">
        <v>2360</v>
      </c>
      <c r="L843" s="25"/>
      <c r="N843" s="16" t="s">
        <v>2363</v>
      </c>
      <c r="P843" s="37" t="s">
        <v>25</v>
      </c>
    </row>
    <row r="844" spans="1:16">
      <c r="A844" s="14">
        <v>11110</v>
      </c>
      <c r="B844" s="14" t="s">
        <v>2364</v>
      </c>
      <c r="C844" s="3" t="s">
        <v>1220</v>
      </c>
      <c r="D844" s="4" t="s">
        <v>19</v>
      </c>
      <c r="E844" s="14">
        <v>112455</v>
      </c>
      <c r="F844" s="14">
        <v>16008743006</v>
      </c>
      <c r="G844" s="14">
        <v>517999884</v>
      </c>
      <c r="H844" s="28" t="s">
        <v>2365</v>
      </c>
      <c r="I844" s="28" t="s">
        <v>2365</v>
      </c>
      <c r="J844" s="3" t="s">
        <v>2366</v>
      </c>
      <c r="K844" s="15" t="s">
        <v>2364</v>
      </c>
      <c r="L844" s="25"/>
      <c r="N844" s="16" t="s">
        <v>2367</v>
      </c>
      <c r="P844" s="37" t="s">
        <v>25</v>
      </c>
    </row>
    <row r="845" spans="1:16">
      <c r="A845" s="14">
        <v>11111</v>
      </c>
      <c r="B845" s="14" t="s">
        <v>2368</v>
      </c>
      <c r="C845" s="3" t="s">
        <v>1220</v>
      </c>
      <c r="D845" s="4" t="s">
        <v>19</v>
      </c>
      <c r="E845" s="14">
        <v>112158</v>
      </c>
      <c r="F845" s="14">
        <v>15974317650</v>
      </c>
      <c r="G845" s="14">
        <v>517571290</v>
      </c>
      <c r="H845" s="28" t="s">
        <v>2369</v>
      </c>
      <c r="I845" s="28" t="s">
        <v>2369</v>
      </c>
      <c r="J845" s="3" t="s">
        <v>2370</v>
      </c>
      <c r="K845" s="15" t="s">
        <v>2368</v>
      </c>
      <c r="L845" s="25"/>
      <c r="N845" s="16" t="s">
        <v>2371</v>
      </c>
      <c r="P845" s="37" t="s">
        <v>25</v>
      </c>
    </row>
    <row r="846" spans="1:16">
      <c r="A846" s="14">
        <v>11112</v>
      </c>
      <c r="B846" s="14" t="s">
        <v>2372</v>
      </c>
      <c r="C846" s="3" t="s">
        <v>1220</v>
      </c>
      <c r="D846" s="4" t="s">
        <v>19</v>
      </c>
      <c r="E846" s="14">
        <v>109556</v>
      </c>
      <c r="F846" s="14">
        <v>14295772091</v>
      </c>
      <c r="G846" s="14">
        <v>495621240</v>
      </c>
      <c r="H846" s="28" t="s">
        <v>2373</v>
      </c>
      <c r="I846" s="28" t="s">
        <v>2373</v>
      </c>
      <c r="J846" s="3" t="s">
        <v>2374</v>
      </c>
      <c r="K846" s="15" t="s">
        <v>2372</v>
      </c>
      <c r="L846" s="25"/>
      <c r="N846" s="16" t="s">
        <v>2375</v>
      </c>
      <c r="P846" s="37" t="s">
        <v>25</v>
      </c>
    </row>
    <row r="847" spans="1:16">
      <c r="A847" s="14">
        <v>11113</v>
      </c>
      <c r="B847" s="14" t="s">
        <v>2376</v>
      </c>
      <c r="C847" s="3" t="s">
        <v>1220</v>
      </c>
      <c r="D847" s="4" t="s">
        <v>19</v>
      </c>
      <c r="E847" s="14">
        <v>109446</v>
      </c>
      <c r="F847" s="14">
        <v>14295412063</v>
      </c>
      <c r="G847" s="14">
        <v>495621106</v>
      </c>
      <c r="H847" s="28" t="s">
        <v>2377</v>
      </c>
      <c r="I847" s="28" t="s">
        <v>2377</v>
      </c>
      <c r="J847" s="3" t="s">
        <v>2378</v>
      </c>
      <c r="K847" s="15" t="s">
        <v>2376</v>
      </c>
      <c r="L847" s="25"/>
      <c r="N847" s="16" t="s">
        <v>2379</v>
      </c>
      <c r="P847" s="37" t="s">
        <v>25</v>
      </c>
    </row>
    <row r="848" spans="1:16">
      <c r="A848" s="14">
        <v>11114</v>
      </c>
      <c r="B848" s="14" t="s">
        <v>2380</v>
      </c>
      <c r="C848" s="3" t="s">
        <v>1220</v>
      </c>
      <c r="D848" s="4" t="s">
        <v>19</v>
      </c>
      <c r="E848" s="14">
        <v>109589</v>
      </c>
      <c r="F848" s="14">
        <v>14299667368</v>
      </c>
      <c r="G848" s="14">
        <v>495621149</v>
      </c>
      <c r="H848" s="28" t="s">
        <v>2381</v>
      </c>
      <c r="I848" s="28" t="s">
        <v>2381</v>
      </c>
      <c r="J848" s="3" t="s">
        <v>2382</v>
      </c>
      <c r="K848" s="15" t="s">
        <v>2380</v>
      </c>
      <c r="L848" s="25"/>
      <c r="N848" s="16" t="s">
        <v>2383</v>
      </c>
      <c r="P848" s="37" t="s">
        <v>25</v>
      </c>
    </row>
    <row r="849" spans="1:16">
      <c r="A849" s="14">
        <v>11115</v>
      </c>
      <c r="B849" s="14" t="s">
        <v>2384</v>
      </c>
      <c r="C849" s="3" t="s">
        <v>1220</v>
      </c>
      <c r="D849" s="4" t="s">
        <v>19</v>
      </c>
      <c r="E849" s="14">
        <v>112281</v>
      </c>
      <c r="F849" s="14">
        <v>15984633299</v>
      </c>
      <c r="G849" s="14">
        <v>517699274</v>
      </c>
      <c r="H849" s="28" t="s">
        <v>2385</v>
      </c>
      <c r="I849" s="28" t="s">
        <v>2385</v>
      </c>
      <c r="J849" s="3" t="s">
        <v>2386</v>
      </c>
      <c r="K849" s="15" t="s">
        <v>2384</v>
      </c>
      <c r="L849" s="25"/>
      <c r="N849" s="16" t="s">
        <v>2387</v>
      </c>
      <c r="P849" s="37" t="s">
        <v>25</v>
      </c>
    </row>
    <row r="850" spans="1:16">
      <c r="A850" s="14">
        <v>11116</v>
      </c>
      <c r="B850" s="14"/>
      <c r="C850" s="3" t="s">
        <v>1220</v>
      </c>
      <c r="E850" s="14"/>
      <c r="F850" s="14"/>
      <c r="G850" s="14"/>
      <c r="H850" s="28"/>
      <c r="I850" s="28"/>
      <c r="L850" s="25"/>
    </row>
    <row r="851" spans="1:16">
      <c r="A851" s="14">
        <v>11117</v>
      </c>
      <c r="B851" s="14"/>
      <c r="C851" s="3" t="s">
        <v>1220</v>
      </c>
      <c r="E851" s="14"/>
      <c r="F851" s="14"/>
      <c r="G851" s="14"/>
      <c r="H851" s="28"/>
      <c r="I851" s="28"/>
      <c r="L851" s="25"/>
    </row>
    <row r="852" spans="1:16">
      <c r="A852" s="14">
        <v>11118</v>
      </c>
      <c r="B852" s="14" t="s">
        <v>2388</v>
      </c>
      <c r="C852" s="3" t="s">
        <v>1220</v>
      </c>
      <c r="D852" s="4" t="s">
        <v>19</v>
      </c>
      <c r="E852" s="14">
        <v>112450</v>
      </c>
      <c r="F852" s="14">
        <v>16008741846</v>
      </c>
      <c r="G852" s="14">
        <v>517999855</v>
      </c>
      <c r="H852" s="28" t="s">
        <v>2389</v>
      </c>
      <c r="I852" s="28" t="s">
        <v>2389</v>
      </c>
      <c r="J852" s="3" t="s">
        <v>2390</v>
      </c>
      <c r="K852" s="15" t="s">
        <v>2388</v>
      </c>
      <c r="L852" s="25"/>
      <c r="N852" s="15" t="s">
        <v>2391</v>
      </c>
      <c r="P852" s="37" t="s">
        <v>25</v>
      </c>
    </row>
    <row r="853" spans="1:16">
      <c r="A853" s="14">
        <v>11119</v>
      </c>
      <c r="B853" s="14" t="s">
        <v>2392</v>
      </c>
      <c r="C853" s="3" t="s">
        <v>1220</v>
      </c>
      <c r="D853" s="4" t="s">
        <v>19</v>
      </c>
      <c r="E853" s="14">
        <v>112260</v>
      </c>
      <c r="F853" s="14">
        <v>15984554526</v>
      </c>
      <c r="G853" s="14">
        <v>517699202</v>
      </c>
      <c r="H853" s="28" t="s">
        <v>2393</v>
      </c>
      <c r="I853" s="28" t="s">
        <v>2393</v>
      </c>
      <c r="J853" s="3" t="s">
        <v>2394</v>
      </c>
      <c r="K853" s="15" t="s">
        <v>2392</v>
      </c>
      <c r="L853" s="25"/>
      <c r="N853" s="15" t="s">
        <v>2395</v>
      </c>
      <c r="P853" s="37" t="s">
        <v>25</v>
      </c>
    </row>
    <row r="854" spans="1:16">
      <c r="A854" s="14">
        <v>11120</v>
      </c>
      <c r="B854" s="14" t="s">
        <v>2396</v>
      </c>
      <c r="C854" s="3" t="s">
        <v>1220</v>
      </c>
      <c r="D854" s="4" t="s">
        <v>19</v>
      </c>
      <c r="E854" s="14">
        <v>112437</v>
      </c>
      <c r="F854" s="14">
        <v>16008702096</v>
      </c>
      <c r="G854" s="14">
        <v>517999869</v>
      </c>
      <c r="H854" s="28" t="s">
        <v>2397</v>
      </c>
      <c r="I854" s="28" t="s">
        <v>2397</v>
      </c>
      <c r="J854" s="3" t="s">
        <v>2398</v>
      </c>
      <c r="K854" s="15" t="s">
        <v>2396</v>
      </c>
      <c r="L854" s="25"/>
      <c r="N854" s="15" t="s">
        <v>2399</v>
      </c>
      <c r="P854" s="37" t="s">
        <v>25</v>
      </c>
    </row>
    <row r="855" spans="1:16">
      <c r="A855" s="14">
        <v>11121</v>
      </c>
      <c r="B855" s="14" t="s">
        <v>2400</v>
      </c>
      <c r="C855" s="3" t="s">
        <v>1220</v>
      </c>
      <c r="D855" s="4" t="s">
        <v>19</v>
      </c>
      <c r="E855" s="14">
        <v>112434</v>
      </c>
      <c r="F855" s="14">
        <v>16008681918</v>
      </c>
      <c r="G855" s="14">
        <v>517999863</v>
      </c>
      <c r="H855" s="28" t="s">
        <v>2401</v>
      </c>
      <c r="I855" s="28" t="s">
        <v>2401</v>
      </c>
      <c r="J855" s="3" t="s">
        <v>2402</v>
      </c>
      <c r="K855" s="15" t="s">
        <v>2400</v>
      </c>
      <c r="L855" s="25"/>
      <c r="N855" s="15" t="s">
        <v>2403</v>
      </c>
      <c r="P855" s="37" t="s">
        <v>25</v>
      </c>
    </row>
    <row r="856" spans="1:16">
      <c r="A856" s="14">
        <v>11122</v>
      </c>
      <c r="B856" s="14" t="s">
        <v>2404</v>
      </c>
      <c r="C856" s="3" t="s">
        <v>1220</v>
      </c>
      <c r="D856" s="4" t="s">
        <v>19</v>
      </c>
      <c r="E856" s="14">
        <v>111208</v>
      </c>
      <c r="F856" s="14">
        <v>15759411986</v>
      </c>
      <c r="G856" s="14">
        <v>514601898</v>
      </c>
      <c r="H856" s="28" t="s">
        <v>2405</v>
      </c>
      <c r="I856" s="28" t="s">
        <v>2405</v>
      </c>
      <c r="J856" s="3" t="s">
        <v>2406</v>
      </c>
      <c r="K856" s="15" t="s">
        <v>2404</v>
      </c>
      <c r="L856" s="25"/>
      <c r="N856" s="15" t="s">
        <v>2407</v>
      </c>
      <c r="P856" s="37" t="s">
        <v>25</v>
      </c>
    </row>
    <row r="857" spans="1:16">
      <c r="A857" s="14">
        <v>11123</v>
      </c>
      <c r="B857" s="14" t="s">
        <v>2408</v>
      </c>
      <c r="C857" s="3" t="s">
        <v>1220</v>
      </c>
      <c r="D857" s="4" t="s">
        <v>19</v>
      </c>
      <c r="E857" s="14">
        <v>112160</v>
      </c>
      <c r="F857" s="14">
        <v>15974338927</v>
      </c>
      <c r="G857" s="14">
        <v>517571266</v>
      </c>
      <c r="H857" s="28" t="s">
        <v>2409</v>
      </c>
      <c r="I857" s="28" t="s">
        <v>2409</v>
      </c>
      <c r="J857" s="3" t="s">
        <v>2410</v>
      </c>
      <c r="K857" s="15" t="s">
        <v>2408</v>
      </c>
      <c r="L857" s="25"/>
      <c r="N857" s="15" t="s">
        <v>2411</v>
      </c>
      <c r="P857" s="37" t="s">
        <v>25</v>
      </c>
    </row>
    <row r="858" spans="1:16">
      <c r="A858" s="14">
        <v>11124</v>
      </c>
      <c r="B858" s="14" t="s">
        <v>2412</v>
      </c>
      <c r="C858" s="3" t="s">
        <v>1220</v>
      </c>
      <c r="D858" s="4" t="s">
        <v>19</v>
      </c>
      <c r="E858" s="14">
        <v>112319</v>
      </c>
      <c r="F858" s="14">
        <v>15986776558</v>
      </c>
      <c r="G858" s="14">
        <v>517699273</v>
      </c>
      <c r="H858" s="28" t="s">
        <v>2413</v>
      </c>
      <c r="I858" s="28" t="s">
        <v>2413</v>
      </c>
      <c r="J858" s="3" t="s">
        <v>2414</v>
      </c>
      <c r="K858" s="15" t="s">
        <v>2412</v>
      </c>
      <c r="L858" s="25"/>
      <c r="N858" s="15" t="s">
        <v>2415</v>
      </c>
      <c r="P858" s="37" t="s">
        <v>25</v>
      </c>
    </row>
    <row r="859" spans="1:16">
      <c r="A859" s="14">
        <v>11125</v>
      </c>
      <c r="B859" s="14" t="s">
        <v>2416</v>
      </c>
      <c r="C859" s="3" t="s">
        <v>1220</v>
      </c>
      <c r="D859" s="4" t="s">
        <v>19</v>
      </c>
      <c r="E859" s="14">
        <v>112325</v>
      </c>
      <c r="F859" s="14">
        <v>15986874787</v>
      </c>
      <c r="G859" s="14">
        <v>517699159</v>
      </c>
      <c r="H859" s="28" t="s">
        <v>2417</v>
      </c>
      <c r="I859" s="28" t="s">
        <v>2417</v>
      </c>
      <c r="J859" s="3" t="s">
        <v>2418</v>
      </c>
      <c r="K859" s="15" t="s">
        <v>2416</v>
      </c>
      <c r="L859" s="25"/>
      <c r="N859" s="15" t="s">
        <v>2419</v>
      </c>
      <c r="P859" s="37" t="s">
        <v>25</v>
      </c>
    </row>
    <row r="860" spans="1:16">
      <c r="A860" s="14">
        <v>11126</v>
      </c>
      <c r="B860" s="14" t="s">
        <v>2420</v>
      </c>
      <c r="C860" s="3" t="s">
        <v>1220</v>
      </c>
      <c r="D860" s="4" t="s">
        <v>19</v>
      </c>
      <c r="E860" s="14">
        <v>112321</v>
      </c>
      <c r="F860" s="14">
        <v>15986777699</v>
      </c>
      <c r="G860" s="14">
        <v>517699220</v>
      </c>
      <c r="H860" s="28" t="s">
        <v>2421</v>
      </c>
      <c r="I860" s="28" t="s">
        <v>2421</v>
      </c>
      <c r="J860" s="3" t="s">
        <v>2422</v>
      </c>
      <c r="K860" s="15" t="s">
        <v>2420</v>
      </c>
      <c r="L860" s="25"/>
      <c r="N860" s="15" t="s">
        <v>2423</v>
      </c>
      <c r="P860" s="37" t="s">
        <v>25</v>
      </c>
    </row>
    <row r="861" spans="1:16">
      <c r="A861" s="14">
        <v>11127</v>
      </c>
      <c r="B861" s="14" t="s">
        <v>2424</v>
      </c>
      <c r="C861" s="3" t="s">
        <v>1220</v>
      </c>
      <c r="D861" s="4" t="s">
        <v>19</v>
      </c>
      <c r="E861" s="14">
        <v>112313</v>
      </c>
      <c r="F861" s="14">
        <v>15986559972</v>
      </c>
      <c r="G861" s="14">
        <v>517699235</v>
      </c>
      <c r="H861" s="28" t="s">
        <v>2425</v>
      </c>
      <c r="I861" s="28" t="s">
        <v>2425</v>
      </c>
      <c r="J861" s="3" t="s">
        <v>2426</v>
      </c>
      <c r="K861" s="15" t="s">
        <v>2424</v>
      </c>
      <c r="L861" s="25"/>
      <c r="N861" s="15" t="s">
        <v>2427</v>
      </c>
      <c r="P861" s="37" t="s">
        <v>25</v>
      </c>
    </row>
    <row r="862" spans="1:16">
      <c r="A862" s="14">
        <v>11128</v>
      </c>
      <c r="B862" s="14" t="s">
        <v>2428</v>
      </c>
      <c r="C862" s="3" t="s">
        <v>1220</v>
      </c>
      <c r="D862" s="4" t="s">
        <v>19</v>
      </c>
      <c r="E862" s="14">
        <v>112365</v>
      </c>
      <c r="F862" s="14">
        <v>15998702493</v>
      </c>
      <c r="G862" s="14">
        <v>517878562</v>
      </c>
      <c r="H862" s="28" t="s">
        <v>2429</v>
      </c>
      <c r="I862" s="28" t="s">
        <v>2429</v>
      </c>
      <c r="J862" s="3" t="s">
        <v>2430</v>
      </c>
      <c r="K862" s="15" t="s">
        <v>2428</v>
      </c>
      <c r="L862" s="25"/>
      <c r="N862" s="15" t="s">
        <v>2431</v>
      </c>
      <c r="P862" s="37" t="s">
        <v>25</v>
      </c>
    </row>
    <row r="863" spans="1:16">
      <c r="A863" s="14">
        <v>11129</v>
      </c>
      <c r="B863" s="14" t="s">
        <v>2432</v>
      </c>
      <c r="C863" s="3" t="s">
        <v>1220</v>
      </c>
      <c r="D863" s="4" t="s">
        <v>19</v>
      </c>
      <c r="E863" s="14">
        <v>112432</v>
      </c>
      <c r="F863" s="14">
        <v>16004333155</v>
      </c>
      <c r="G863" s="14">
        <v>517938471</v>
      </c>
      <c r="H863" s="28" t="s">
        <v>2433</v>
      </c>
      <c r="I863" s="28" t="s">
        <v>2433</v>
      </c>
      <c r="J863" s="3" t="s">
        <v>2434</v>
      </c>
      <c r="K863" s="15" t="s">
        <v>2432</v>
      </c>
      <c r="L863" s="25"/>
      <c r="N863" s="15" t="s">
        <v>2435</v>
      </c>
      <c r="P863" s="37" t="s">
        <v>25</v>
      </c>
    </row>
    <row r="864" spans="1:16">
      <c r="A864" s="14">
        <v>11130</v>
      </c>
      <c r="B864" s="14"/>
      <c r="C864" s="3" t="s">
        <v>1220</v>
      </c>
      <c r="E864" s="14"/>
      <c r="F864" s="14"/>
      <c r="G864" s="14"/>
      <c r="H864" s="28"/>
      <c r="I864" s="28"/>
      <c r="L864" s="25"/>
    </row>
    <row r="865" spans="1:16">
      <c r="A865" s="14">
        <v>11131</v>
      </c>
      <c r="B865" s="14"/>
      <c r="C865" s="3" t="s">
        <v>1220</v>
      </c>
      <c r="E865" s="14"/>
      <c r="F865" s="14"/>
      <c r="G865" s="14"/>
      <c r="H865" s="28"/>
      <c r="I865" s="28"/>
      <c r="L865" s="25"/>
    </row>
    <row r="866" spans="1:16">
      <c r="A866" s="14">
        <v>11132</v>
      </c>
      <c r="B866" s="14"/>
      <c r="C866" s="3" t="s">
        <v>1220</v>
      </c>
      <c r="E866" s="14"/>
      <c r="F866" s="14"/>
      <c r="G866" s="14"/>
      <c r="H866" s="28"/>
      <c r="I866" s="28"/>
      <c r="L866" s="25"/>
    </row>
    <row r="867" spans="1:16">
      <c r="A867" s="14">
        <v>11133</v>
      </c>
      <c r="B867" s="14"/>
      <c r="C867" s="3" t="s">
        <v>1220</v>
      </c>
      <c r="E867" s="14"/>
      <c r="F867" s="14"/>
      <c r="G867" s="14"/>
      <c r="H867" s="28"/>
      <c r="I867" s="28"/>
      <c r="L867" s="25"/>
    </row>
    <row r="868" spans="1:16">
      <c r="A868" s="14">
        <v>11134</v>
      </c>
      <c r="B868" s="14" t="s">
        <v>2436</v>
      </c>
      <c r="C868" s="3" t="s">
        <v>1220</v>
      </c>
      <c r="D868" s="4" t="s">
        <v>19</v>
      </c>
      <c r="E868" s="14">
        <v>112274</v>
      </c>
      <c r="F868" s="14">
        <v>15984615397</v>
      </c>
      <c r="G868" s="14">
        <v>517699263</v>
      </c>
      <c r="H868" s="28" t="s">
        <v>2437</v>
      </c>
      <c r="I868" s="28" t="s">
        <v>2437</v>
      </c>
      <c r="J868" s="3" t="s">
        <v>2438</v>
      </c>
      <c r="K868" s="16" t="s">
        <v>2436</v>
      </c>
      <c r="L868" s="25"/>
      <c r="N868" s="15" t="s">
        <v>2439</v>
      </c>
      <c r="P868" s="37" t="s">
        <v>25</v>
      </c>
    </row>
    <row r="869" spans="1:16">
      <c r="A869" s="14">
        <v>11135</v>
      </c>
      <c r="B869" s="14"/>
      <c r="C869" s="3" t="s">
        <v>1220</v>
      </c>
      <c r="E869" s="14"/>
      <c r="F869" s="14"/>
      <c r="G869" s="14"/>
      <c r="H869" s="28"/>
      <c r="I869" s="28"/>
      <c r="L869" s="25"/>
    </row>
    <row r="870" spans="1:16">
      <c r="A870" s="14">
        <v>11136</v>
      </c>
      <c r="B870" s="14"/>
      <c r="C870" s="3" t="s">
        <v>1220</v>
      </c>
      <c r="E870" s="14"/>
      <c r="F870" s="14"/>
      <c r="G870" s="14"/>
      <c r="H870" s="28"/>
      <c r="I870" s="28"/>
      <c r="L870" s="25"/>
    </row>
    <row r="871" spans="1:16">
      <c r="A871" s="14">
        <v>11137</v>
      </c>
      <c r="B871" s="14"/>
      <c r="C871" s="3" t="s">
        <v>1220</v>
      </c>
      <c r="E871" s="14"/>
      <c r="F871" s="14"/>
      <c r="G871" s="14"/>
      <c r="H871" s="28"/>
      <c r="I871" s="28"/>
      <c r="L871" s="25"/>
    </row>
    <row r="872" spans="1:16">
      <c r="A872" s="14">
        <v>11138</v>
      </c>
      <c r="B872" s="14"/>
      <c r="C872" s="3" t="s">
        <v>1220</v>
      </c>
      <c r="E872" s="14"/>
      <c r="F872" s="14"/>
      <c r="G872" s="14"/>
      <c r="H872" s="28"/>
      <c r="I872" s="28"/>
      <c r="L872" s="25"/>
    </row>
    <row r="873" spans="1:16">
      <c r="A873" s="14">
        <v>11139</v>
      </c>
      <c r="B873" s="14"/>
      <c r="C873" s="3" t="s">
        <v>1220</v>
      </c>
      <c r="E873" s="14"/>
      <c r="F873" s="14"/>
      <c r="G873" s="14"/>
      <c r="H873" s="28"/>
      <c r="I873" s="28"/>
      <c r="L873" s="25"/>
    </row>
    <row r="874" spans="1:16">
      <c r="A874" s="14">
        <v>11140</v>
      </c>
      <c r="B874" s="14" t="s">
        <v>2440</v>
      </c>
      <c r="C874" s="3" t="s">
        <v>1220</v>
      </c>
      <c r="D874" s="4" t="s">
        <v>19</v>
      </c>
      <c r="E874" s="14">
        <v>108210</v>
      </c>
      <c r="F874" s="14">
        <v>13409965357</v>
      </c>
      <c r="G874" s="14">
        <v>483305705</v>
      </c>
      <c r="H874" s="28" t="s">
        <v>2441</v>
      </c>
      <c r="I874" s="28" t="s">
        <v>2441</v>
      </c>
      <c r="J874" s="3" t="s">
        <v>2440</v>
      </c>
      <c r="K874" s="15" t="s">
        <v>2440</v>
      </c>
      <c r="L874" s="25"/>
      <c r="N874" s="15" t="s">
        <v>2442</v>
      </c>
      <c r="P874" s="37" t="s">
        <v>25</v>
      </c>
    </row>
    <row r="875" spans="1:16">
      <c r="A875" s="14">
        <v>11141</v>
      </c>
      <c r="B875" s="14" t="s">
        <v>2443</v>
      </c>
      <c r="C875" s="3" t="s">
        <v>1220</v>
      </c>
      <c r="D875" s="4" t="s">
        <v>19</v>
      </c>
      <c r="E875" s="14">
        <v>109461</v>
      </c>
      <c r="F875" s="14">
        <v>14295509124</v>
      </c>
      <c r="G875" s="14">
        <v>495621079</v>
      </c>
      <c r="H875" s="28" t="s">
        <v>2444</v>
      </c>
      <c r="I875" s="28" t="s">
        <v>2444</v>
      </c>
      <c r="J875" s="3" t="s">
        <v>2445</v>
      </c>
      <c r="K875" s="15" t="s">
        <v>2443</v>
      </c>
      <c r="L875" s="25"/>
      <c r="N875" s="15" t="s">
        <v>2446</v>
      </c>
      <c r="P875" s="37" t="s">
        <v>25</v>
      </c>
    </row>
    <row r="876" spans="1:16">
      <c r="A876" s="14">
        <v>11142</v>
      </c>
      <c r="B876" s="14" t="s">
        <v>2447</v>
      </c>
      <c r="C876" s="3" t="s">
        <v>1220</v>
      </c>
      <c r="D876" s="4" t="s">
        <v>19</v>
      </c>
      <c r="E876" s="14">
        <v>109434</v>
      </c>
      <c r="F876" s="14">
        <v>14294527003</v>
      </c>
      <c r="G876" s="14">
        <v>495621177</v>
      </c>
      <c r="H876" s="28" t="s">
        <v>2448</v>
      </c>
      <c r="I876" s="28" t="s">
        <v>2448</v>
      </c>
      <c r="J876" s="3" t="s">
        <v>2449</v>
      </c>
      <c r="K876" s="15" t="s">
        <v>2447</v>
      </c>
      <c r="L876" s="25"/>
      <c r="N876" s="15" t="s">
        <v>2450</v>
      </c>
      <c r="P876" s="37" t="s">
        <v>25</v>
      </c>
    </row>
    <row r="877" spans="1:16">
      <c r="A877" s="14">
        <v>11143</v>
      </c>
      <c r="B877" s="14" t="s">
        <v>2451</v>
      </c>
      <c r="C877" s="3" t="s">
        <v>1220</v>
      </c>
      <c r="D877" s="4" t="s">
        <v>19</v>
      </c>
      <c r="E877" s="14">
        <v>109535</v>
      </c>
      <c r="F877" s="14">
        <v>14295611407</v>
      </c>
      <c r="G877" s="14">
        <v>495621083</v>
      </c>
      <c r="H877" s="28" t="s">
        <v>2452</v>
      </c>
      <c r="I877" s="28" t="s">
        <v>2452</v>
      </c>
      <c r="J877" s="3" t="s">
        <v>2453</v>
      </c>
      <c r="K877" s="15" t="s">
        <v>2451</v>
      </c>
      <c r="L877" s="25"/>
      <c r="N877" s="15" t="s">
        <v>2454</v>
      </c>
      <c r="P877" s="37" t="s">
        <v>25</v>
      </c>
    </row>
    <row r="878" spans="1:16">
      <c r="A878" s="14">
        <v>11144</v>
      </c>
      <c r="B878" s="14"/>
      <c r="C878" s="3" t="s">
        <v>1220</v>
      </c>
      <c r="E878" s="14"/>
      <c r="F878" s="14"/>
      <c r="G878" s="14"/>
      <c r="H878" s="28"/>
      <c r="I878" s="28"/>
      <c r="L878" s="25"/>
    </row>
    <row r="879" spans="1:16">
      <c r="A879" s="14">
        <v>11145</v>
      </c>
      <c r="B879" s="14"/>
      <c r="C879" s="3" t="s">
        <v>1220</v>
      </c>
      <c r="E879" s="14"/>
      <c r="F879" s="14"/>
      <c r="G879" s="14"/>
      <c r="H879" s="28"/>
      <c r="I879" s="28"/>
      <c r="L879" s="25"/>
    </row>
    <row r="880" spans="1:16">
      <c r="A880" s="14">
        <v>11146</v>
      </c>
      <c r="B880" s="14"/>
      <c r="C880" s="3" t="s">
        <v>1220</v>
      </c>
      <c r="E880" s="14"/>
      <c r="F880" s="14"/>
      <c r="G880" s="14"/>
      <c r="H880" s="28"/>
      <c r="I880" s="28"/>
      <c r="L880" s="25"/>
    </row>
    <row r="881" spans="1:16">
      <c r="A881" s="14">
        <v>11147</v>
      </c>
      <c r="B881" s="14" t="s">
        <v>2455</v>
      </c>
      <c r="C881" s="3" t="s">
        <v>1220</v>
      </c>
      <c r="D881" s="4" t="s">
        <v>19</v>
      </c>
      <c r="E881" s="14">
        <v>109668</v>
      </c>
      <c r="F881" s="14">
        <v>14507309445</v>
      </c>
      <c r="G881" s="14">
        <v>498373758</v>
      </c>
      <c r="H881" s="28" t="s">
        <v>2456</v>
      </c>
      <c r="I881" s="28" t="s">
        <v>2456</v>
      </c>
      <c r="J881" s="3" t="s">
        <v>2457</v>
      </c>
      <c r="K881" s="15" t="s">
        <v>2455</v>
      </c>
      <c r="L881" s="25"/>
      <c r="N881" s="16" t="s">
        <v>2458</v>
      </c>
      <c r="P881" s="37" t="s">
        <v>25</v>
      </c>
    </row>
    <row r="882" spans="1:16">
      <c r="A882" s="14">
        <v>11148</v>
      </c>
      <c r="B882" s="14" t="s">
        <v>2459</v>
      </c>
      <c r="C882" s="3" t="s">
        <v>1220</v>
      </c>
      <c r="D882" s="4" t="s">
        <v>19</v>
      </c>
      <c r="E882" s="14">
        <v>109435</v>
      </c>
      <c r="F882" s="14">
        <v>14294598514</v>
      </c>
      <c r="G882" s="14">
        <v>495621248</v>
      </c>
      <c r="H882" s="28" t="s">
        <v>2460</v>
      </c>
      <c r="I882" s="28" t="s">
        <v>2460</v>
      </c>
      <c r="J882" s="3" t="s">
        <v>2461</v>
      </c>
      <c r="K882" s="15" t="s">
        <v>2459</v>
      </c>
      <c r="L882" s="25"/>
      <c r="N882" s="16" t="s">
        <v>2462</v>
      </c>
      <c r="P882" s="37" t="s">
        <v>25</v>
      </c>
    </row>
    <row r="883" spans="1:16">
      <c r="A883" s="14">
        <v>11149</v>
      </c>
      <c r="B883" s="14" t="s">
        <v>2463</v>
      </c>
      <c r="C883" s="3" t="s">
        <v>1220</v>
      </c>
      <c r="D883" s="4" t="s">
        <v>19</v>
      </c>
      <c r="E883" s="14">
        <v>109585</v>
      </c>
      <c r="F883" s="14">
        <v>14299667364</v>
      </c>
      <c r="G883" s="14">
        <v>495621094</v>
      </c>
      <c r="H883" s="28" t="s">
        <v>2464</v>
      </c>
      <c r="I883" s="28" t="s">
        <v>2464</v>
      </c>
      <c r="J883" s="3" t="s">
        <v>2465</v>
      </c>
      <c r="K883" s="15" t="s">
        <v>2463</v>
      </c>
      <c r="L883" s="25"/>
      <c r="N883" s="16" t="s">
        <v>2466</v>
      </c>
      <c r="P883" s="37" t="s">
        <v>25</v>
      </c>
    </row>
    <row r="884" spans="1:16">
      <c r="A884" s="14">
        <v>11150</v>
      </c>
      <c r="B884" s="14" t="s">
        <v>2467</v>
      </c>
      <c r="C884" s="3" t="s">
        <v>1220</v>
      </c>
      <c r="D884" s="4" t="s">
        <v>19</v>
      </c>
      <c r="E884" s="14">
        <v>109457</v>
      </c>
      <c r="F884" s="14">
        <v>14295463085</v>
      </c>
      <c r="G884" s="14">
        <v>495621111</v>
      </c>
      <c r="H884" s="28" t="s">
        <v>2468</v>
      </c>
      <c r="I884" s="28" t="s">
        <v>2468</v>
      </c>
      <c r="J884" s="3" t="s">
        <v>2469</v>
      </c>
      <c r="K884" s="15" t="s">
        <v>2467</v>
      </c>
      <c r="L884" s="25"/>
      <c r="N884" s="16" t="s">
        <v>2470</v>
      </c>
      <c r="P884" s="37" t="s">
        <v>25</v>
      </c>
    </row>
    <row r="885" spans="1:16">
      <c r="A885" s="14">
        <v>11151</v>
      </c>
      <c r="B885" s="14" t="s">
        <v>2471</v>
      </c>
      <c r="C885" s="3" t="s">
        <v>1220</v>
      </c>
      <c r="D885" s="4" t="s">
        <v>19</v>
      </c>
      <c r="E885" s="14">
        <v>109512</v>
      </c>
      <c r="F885" s="14">
        <v>14295564807</v>
      </c>
      <c r="G885" s="14">
        <v>495621128</v>
      </c>
      <c r="H885" s="28" t="s">
        <v>2472</v>
      </c>
      <c r="I885" s="28" t="s">
        <v>2472</v>
      </c>
      <c r="J885" s="3" t="s">
        <v>2473</v>
      </c>
      <c r="K885" s="15" t="s">
        <v>2471</v>
      </c>
      <c r="L885" s="25"/>
      <c r="N885" s="16" t="s">
        <v>2474</v>
      </c>
      <c r="P885" s="37" t="s">
        <v>25</v>
      </c>
    </row>
    <row r="886" spans="1:16">
      <c r="A886" s="14">
        <v>11152</v>
      </c>
      <c r="B886" s="14" t="s">
        <v>2475</v>
      </c>
      <c r="C886" s="3" t="s">
        <v>1220</v>
      </c>
      <c r="D886" s="4" t="s">
        <v>19</v>
      </c>
      <c r="E886" s="14">
        <v>109449</v>
      </c>
      <c r="F886" s="14">
        <v>14295434813</v>
      </c>
      <c r="G886" s="14">
        <v>495621172</v>
      </c>
      <c r="H886" s="28" t="s">
        <v>2476</v>
      </c>
      <c r="I886" s="28" t="s">
        <v>2476</v>
      </c>
      <c r="J886" s="3" t="s">
        <v>2477</v>
      </c>
      <c r="K886" s="15" t="s">
        <v>2475</v>
      </c>
      <c r="L886" s="25"/>
      <c r="N886" s="16" t="s">
        <v>2478</v>
      </c>
      <c r="P886" s="37" t="s">
        <v>25</v>
      </c>
    </row>
    <row r="887" spans="1:16">
      <c r="A887" s="14">
        <v>11153</v>
      </c>
      <c r="B887" s="14"/>
      <c r="C887" s="3" t="s">
        <v>1220</v>
      </c>
      <c r="E887" s="14"/>
      <c r="F887" s="14"/>
      <c r="G887" s="14"/>
      <c r="H887" s="28"/>
      <c r="I887" s="28"/>
      <c r="L887" s="25"/>
    </row>
    <row r="888" spans="1:16">
      <c r="A888" s="14">
        <v>11154</v>
      </c>
      <c r="B888" s="14"/>
      <c r="C888" s="3" t="s">
        <v>1220</v>
      </c>
      <c r="E888" s="14"/>
      <c r="F888" s="14"/>
      <c r="G888" s="14"/>
      <c r="H888" s="28"/>
      <c r="I888" s="28"/>
      <c r="L888" s="25"/>
    </row>
    <row r="889" spans="1:16">
      <c r="A889" s="14">
        <v>11155</v>
      </c>
      <c r="B889" s="14"/>
      <c r="C889" s="3" t="s">
        <v>1220</v>
      </c>
      <c r="E889" s="14"/>
      <c r="F889" s="14"/>
      <c r="G889" s="14"/>
      <c r="H889" s="28"/>
      <c r="I889" s="28"/>
      <c r="L889" s="25"/>
    </row>
    <row r="890" spans="1:16">
      <c r="A890" s="14">
        <v>11156</v>
      </c>
      <c r="B890" s="14"/>
      <c r="C890" s="3" t="s">
        <v>1220</v>
      </c>
      <c r="E890" s="14"/>
      <c r="F890" s="14"/>
      <c r="G890" s="14"/>
      <c r="H890" s="28"/>
      <c r="I890" s="28"/>
      <c r="L890" s="25"/>
    </row>
    <row r="891" spans="1:16">
      <c r="A891" s="14">
        <v>11157</v>
      </c>
      <c r="B891" s="14" t="s">
        <v>2479</v>
      </c>
      <c r="C891" s="3" t="s">
        <v>1220</v>
      </c>
      <c r="D891" s="4" t="s">
        <v>19</v>
      </c>
      <c r="E891" s="14">
        <v>109590</v>
      </c>
      <c r="F891" s="14">
        <v>14299667369</v>
      </c>
      <c r="G891" s="14">
        <v>495621060</v>
      </c>
      <c r="H891" s="28" t="s">
        <v>2480</v>
      </c>
      <c r="I891" s="28" t="s">
        <v>2480</v>
      </c>
      <c r="J891" s="3" t="s">
        <v>2481</v>
      </c>
      <c r="K891" s="15" t="s">
        <v>2479</v>
      </c>
      <c r="L891" s="25"/>
      <c r="N891" s="15" t="s">
        <v>2482</v>
      </c>
      <c r="P891" s="37" t="s">
        <v>25</v>
      </c>
    </row>
    <row r="892" spans="1:16">
      <c r="A892" s="14">
        <v>11158</v>
      </c>
      <c r="B892" s="14" t="s">
        <v>2483</v>
      </c>
      <c r="C892" s="3" t="s">
        <v>1220</v>
      </c>
      <c r="D892" s="4" t="s">
        <v>19</v>
      </c>
      <c r="E892" s="14">
        <v>109580</v>
      </c>
      <c r="F892" s="14">
        <v>14299420868</v>
      </c>
      <c r="G892" s="14">
        <v>495621173</v>
      </c>
      <c r="H892" s="28" t="s">
        <v>2484</v>
      </c>
      <c r="I892" s="28" t="s">
        <v>2484</v>
      </c>
      <c r="J892" s="3" t="s">
        <v>2485</v>
      </c>
      <c r="K892" s="15" t="s">
        <v>2483</v>
      </c>
      <c r="L892" s="25"/>
      <c r="N892" s="15" t="s">
        <v>2486</v>
      </c>
      <c r="P892" s="37" t="s">
        <v>25</v>
      </c>
    </row>
    <row r="893" spans="1:16">
      <c r="A893" s="14">
        <v>11159</v>
      </c>
      <c r="B893" s="14" t="s">
        <v>1058</v>
      </c>
      <c r="C893" s="3" t="s">
        <v>1220</v>
      </c>
      <c r="D893" s="4" t="s">
        <v>19</v>
      </c>
      <c r="E893" s="14">
        <v>109577</v>
      </c>
      <c r="F893" s="14">
        <v>14299386167</v>
      </c>
      <c r="G893" s="14">
        <v>495621234</v>
      </c>
      <c r="H893" s="28" t="s">
        <v>2487</v>
      </c>
      <c r="I893" s="28" t="s">
        <v>2487</v>
      </c>
      <c r="J893" s="3" t="s">
        <v>2488</v>
      </c>
      <c r="K893" s="15" t="s">
        <v>1058</v>
      </c>
      <c r="L893" s="25"/>
      <c r="N893" s="15" t="s">
        <v>2489</v>
      </c>
      <c r="P893" s="37" t="s">
        <v>25</v>
      </c>
    </row>
    <row r="894" spans="1:16">
      <c r="A894" s="14">
        <v>11160</v>
      </c>
      <c r="B894" s="14"/>
      <c r="C894" s="3" t="s">
        <v>1220</v>
      </c>
      <c r="E894" s="14"/>
      <c r="F894" s="14"/>
      <c r="G894" s="14"/>
      <c r="H894" s="28"/>
      <c r="I894" s="28"/>
      <c r="L894" s="25"/>
    </row>
    <row r="895" spans="1:16">
      <c r="A895" s="14">
        <v>11161</v>
      </c>
      <c r="B895" s="14"/>
      <c r="C895" s="3" t="s">
        <v>1220</v>
      </c>
      <c r="E895" s="14"/>
      <c r="F895" s="14"/>
      <c r="G895" s="14"/>
      <c r="H895" s="28"/>
      <c r="I895" s="28"/>
      <c r="L895" s="25"/>
    </row>
    <row r="896" spans="1:16">
      <c r="A896" s="14">
        <v>11162</v>
      </c>
      <c r="B896" s="14"/>
      <c r="C896" s="3" t="s">
        <v>1220</v>
      </c>
      <c r="E896" s="14"/>
      <c r="F896" s="14"/>
      <c r="G896" s="14"/>
      <c r="H896" s="28"/>
      <c r="I896" s="28"/>
      <c r="L896" s="25"/>
    </row>
    <row r="897" spans="1:16">
      <c r="A897" s="14">
        <v>11163</v>
      </c>
      <c r="B897" s="14" t="s">
        <v>2490</v>
      </c>
      <c r="C897" s="3" t="s">
        <v>1220</v>
      </c>
      <c r="D897" s="4" t="s">
        <v>19</v>
      </c>
      <c r="E897" s="14">
        <v>109608</v>
      </c>
      <c r="F897" s="14">
        <v>14351324489</v>
      </c>
      <c r="G897" s="14">
        <v>496287338</v>
      </c>
      <c r="H897" s="28" t="s">
        <v>2491</v>
      </c>
      <c r="I897" s="28" t="s">
        <v>2491</v>
      </c>
      <c r="J897" s="3" t="s">
        <v>2492</v>
      </c>
      <c r="K897" s="15" t="s">
        <v>2490</v>
      </c>
      <c r="L897" s="25"/>
      <c r="N897" s="15" t="s">
        <v>2493</v>
      </c>
      <c r="P897" s="37" t="s">
        <v>25</v>
      </c>
    </row>
    <row r="898" spans="1:16">
      <c r="A898" s="14">
        <v>11164</v>
      </c>
      <c r="B898" s="14" t="s">
        <v>2494</v>
      </c>
      <c r="C898" s="3" t="s">
        <v>1220</v>
      </c>
      <c r="D898" s="4" t="s">
        <v>19</v>
      </c>
      <c r="E898" s="14">
        <v>109478</v>
      </c>
      <c r="F898" s="14">
        <v>14295534349</v>
      </c>
      <c r="G898" s="14">
        <v>495621097</v>
      </c>
      <c r="H898" s="28" t="s">
        <v>2495</v>
      </c>
      <c r="I898" s="28" t="s">
        <v>2495</v>
      </c>
      <c r="J898" s="3" t="s">
        <v>2496</v>
      </c>
      <c r="K898" s="15" t="s">
        <v>2494</v>
      </c>
      <c r="L898" s="25"/>
      <c r="N898" s="15" t="s">
        <v>2497</v>
      </c>
      <c r="P898" s="37" t="s">
        <v>25</v>
      </c>
    </row>
    <row r="899" spans="1:16">
      <c r="A899" s="14">
        <v>11165</v>
      </c>
      <c r="B899" s="14" t="s">
        <v>2498</v>
      </c>
      <c r="C899" s="3" t="s">
        <v>1220</v>
      </c>
      <c r="D899" s="4" t="s">
        <v>19</v>
      </c>
      <c r="E899" s="14">
        <v>109471</v>
      </c>
      <c r="F899" s="14">
        <v>14295524489</v>
      </c>
      <c r="G899" s="14">
        <v>495621244</v>
      </c>
      <c r="H899" s="28" t="s">
        <v>2499</v>
      </c>
      <c r="I899" s="28" t="s">
        <v>2499</v>
      </c>
      <c r="J899" s="3" t="s">
        <v>2500</v>
      </c>
      <c r="K899" s="15" t="s">
        <v>2498</v>
      </c>
      <c r="L899" s="25"/>
      <c r="N899" s="15" t="s">
        <v>2501</v>
      </c>
      <c r="P899" s="37" t="s">
        <v>25</v>
      </c>
    </row>
    <row r="900" spans="1:16">
      <c r="A900" s="14">
        <v>11166</v>
      </c>
      <c r="B900" s="14"/>
      <c r="C900" s="3" t="s">
        <v>1220</v>
      </c>
      <c r="E900" s="14"/>
      <c r="F900" s="14"/>
      <c r="G900" s="14"/>
      <c r="H900" s="28"/>
      <c r="I900" s="28"/>
      <c r="L900" s="25"/>
    </row>
    <row r="901" spans="1:16">
      <c r="A901" s="14">
        <v>11167</v>
      </c>
      <c r="B901" s="14"/>
      <c r="C901" s="3" t="s">
        <v>1220</v>
      </c>
      <c r="E901" s="14"/>
      <c r="F901" s="14"/>
      <c r="G901" s="14"/>
      <c r="H901" s="28"/>
      <c r="I901" s="28"/>
      <c r="L901" s="25"/>
    </row>
    <row r="902" spans="1:16">
      <c r="A902" s="14">
        <v>11168</v>
      </c>
      <c r="B902" s="14"/>
      <c r="C902" s="3" t="s">
        <v>1220</v>
      </c>
      <c r="E902" s="14"/>
      <c r="F902" s="14"/>
      <c r="G902" s="14"/>
      <c r="H902" s="28"/>
      <c r="I902" s="28"/>
      <c r="L902" s="25"/>
    </row>
    <row r="903" spans="1:16">
      <c r="A903" s="14">
        <v>11169</v>
      </c>
      <c r="B903" s="14"/>
      <c r="C903" s="3" t="s">
        <v>1220</v>
      </c>
      <c r="E903" s="14"/>
      <c r="F903" s="14"/>
      <c r="G903" s="14"/>
      <c r="H903" s="28"/>
      <c r="I903" s="28"/>
      <c r="L903" s="25"/>
    </row>
    <row r="904" spans="1:16">
      <c r="A904" s="14">
        <v>11170</v>
      </c>
      <c r="B904" s="14" t="s">
        <v>2502</v>
      </c>
      <c r="C904" s="3" t="s">
        <v>1220</v>
      </c>
      <c r="D904" s="4" t="s">
        <v>19</v>
      </c>
      <c r="E904" s="14">
        <v>112162</v>
      </c>
      <c r="F904" s="14">
        <v>15974339902</v>
      </c>
      <c r="G904" s="14">
        <v>517571282</v>
      </c>
      <c r="H904" s="28" t="s">
        <v>2503</v>
      </c>
      <c r="I904" s="28" t="s">
        <v>2503</v>
      </c>
      <c r="J904" s="3" t="s">
        <v>2504</v>
      </c>
      <c r="K904" s="15" t="s">
        <v>2502</v>
      </c>
      <c r="L904" s="25"/>
      <c r="N904" s="15" t="s">
        <v>2505</v>
      </c>
      <c r="O904" s="35" t="s">
        <v>2506</v>
      </c>
      <c r="P904" s="37" t="s">
        <v>25</v>
      </c>
    </row>
    <row r="905" spans="1:16">
      <c r="A905" s="14">
        <v>11171</v>
      </c>
      <c r="B905" s="14" t="s">
        <v>2507</v>
      </c>
      <c r="C905" s="3" t="s">
        <v>1220</v>
      </c>
      <c r="D905" s="4" t="s">
        <v>19</v>
      </c>
      <c r="E905" s="14">
        <v>112161</v>
      </c>
      <c r="F905" s="14">
        <v>15974338928</v>
      </c>
      <c r="G905" s="14">
        <v>517571295</v>
      </c>
      <c r="H905" s="28" t="s">
        <v>2508</v>
      </c>
      <c r="I905" s="28" t="s">
        <v>2508</v>
      </c>
      <c r="J905" s="3" t="s">
        <v>2507</v>
      </c>
      <c r="K905" s="15" t="s">
        <v>2507</v>
      </c>
      <c r="L905" s="25"/>
      <c r="N905" s="15" t="s">
        <v>2509</v>
      </c>
      <c r="O905" s="35" t="s">
        <v>2506</v>
      </c>
      <c r="P905" s="37" t="s">
        <v>25</v>
      </c>
    </row>
    <row r="906" spans="1:16">
      <c r="A906" s="14">
        <v>11172</v>
      </c>
      <c r="B906" s="14"/>
      <c r="C906" s="3" t="s">
        <v>1220</v>
      </c>
      <c r="E906" s="14"/>
      <c r="F906" s="14"/>
      <c r="G906" s="14"/>
      <c r="H906" s="28"/>
      <c r="I906" s="28"/>
      <c r="L906" s="25"/>
    </row>
    <row r="907" spans="1:16">
      <c r="A907" s="14">
        <v>11173</v>
      </c>
      <c r="B907" s="14"/>
      <c r="C907" s="3" t="s">
        <v>1220</v>
      </c>
      <c r="E907" s="14"/>
      <c r="F907" s="14"/>
      <c r="G907" s="14"/>
      <c r="H907" s="28"/>
      <c r="I907" s="28"/>
      <c r="L907" s="25"/>
    </row>
    <row r="908" spans="1:16">
      <c r="A908" s="14">
        <v>11174</v>
      </c>
      <c r="B908" s="14"/>
      <c r="C908" s="3" t="s">
        <v>1220</v>
      </c>
      <c r="E908" s="14"/>
      <c r="F908" s="14"/>
      <c r="G908" s="14"/>
      <c r="H908" s="28"/>
      <c r="I908" s="28"/>
      <c r="L908" s="25"/>
    </row>
    <row r="909" spans="1:16">
      <c r="A909" s="14">
        <v>11175</v>
      </c>
      <c r="B909" s="14"/>
      <c r="C909" s="3" t="s">
        <v>1220</v>
      </c>
      <c r="E909" s="14"/>
      <c r="F909" s="14"/>
      <c r="G909" s="14"/>
      <c r="H909" s="28"/>
      <c r="I909" s="28"/>
      <c r="L909" s="25"/>
    </row>
    <row r="910" spans="1:16">
      <c r="A910" s="14">
        <v>11176</v>
      </c>
      <c r="B910" s="14" t="s">
        <v>2510</v>
      </c>
      <c r="C910" s="3" t="s">
        <v>1220</v>
      </c>
      <c r="D910" s="4" t="s">
        <v>19</v>
      </c>
      <c r="E910" s="14">
        <v>112355</v>
      </c>
      <c r="F910" s="14">
        <v>15998585425</v>
      </c>
      <c r="G910" s="14">
        <v>517878603</v>
      </c>
      <c r="H910" s="28" t="s">
        <v>2511</v>
      </c>
      <c r="I910" s="28" t="s">
        <v>2511</v>
      </c>
      <c r="J910" s="3" t="s">
        <v>2512</v>
      </c>
      <c r="K910" s="15" t="s">
        <v>2510</v>
      </c>
      <c r="L910" s="25"/>
      <c r="N910" s="15" t="s">
        <v>2513</v>
      </c>
      <c r="O910" s="35" t="s">
        <v>2506</v>
      </c>
      <c r="P910" s="37" t="s">
        <v>25</v>
      </c>
    </row>
    <row r="911" spans="1:16">
      <c r="A911" s="14">
        <v>11177</v>
      </c>
      <c r="B911" s="14" t="s">
        <v>2514</v>
      </c>
      <c r="C911" s="3" t="s">
        <v>1220</v>
      </c>
      <c r="D911" s="4" t="s">
        <v>19</v>
      </c>
      <c r="E911" s="14">
        <v>112359</v>
      </c>
      <c r="F911" s="14">
        <v>15998608545</v>
      </c>
      <c r="G911" s="14">
        <v>517878590</v>
      </c>
      <c r="H911" s="28" t="s">
        <v>2515</v>
      </c>
      <c r="I911" s="28" t="s">
        <v>2515</v>
      </c>
      <c r="J911" s="3" t="s">
        <v>2516</v>
      </c>
      <c r="K911" s="15" t="s">
        <v>2514</v>
      </c>
      <c r="L911" s="25"/>
      <c r="N911" s="15" t="s">
        <v>2517</v>
      </c>
      <c r="O911" s="35" t="s">
        <v>2506</v>
      </c>
      <c r="P911" s="37" t="s">
        <v>25</v>
      </c>
    </row>
    <row r="912" spans="1:16">
      <c r="A912" s="14">
        <v>11178</v>
      </c>
      <c r="B912" s="14" t="s">
        <v>2518</v>
      </c>
      <c r="C912" s="3" t="s">
        <v>1220</v>
      </c>
      <c r="D912" s="4" t="s">
        <v>19</v>
      </c>
      <c r="E912" s="14">
        <v>112241</v>
      </c>
      <c r="F912" s="14">
        <v>15984389590</v>
      </c>
      <c r="G912" s="14">
        <v>517699234</v>
      </c>
      <c r="H912" s="28" t="s">
        <v>2519</v>
      </c>
      <c r="I912" s="28" t="s">
        <v>2519</v>
      </c>
      <c r="J912" s="3" t="s">
        <v>2520</v>
      </c>
      <c r="K912" s="15" t="s">
        <v>2518</v>
      </c>
      <c r="L912" s="25"/>
      <c r="N912" s="15" t="s">
        <v>2521</v>
      </c>
      <c r="O912" s="35" t="s">
        <v>2506</v>
      </c>
      <c r="P912" s="37" t="s">
        <v>25</v>
      </c>
    </row>
    <row r="913" spans="1:16">
      <c r="A913" s="14">
        <v>11179</v>
      </c>
      <c r="B913" s="14" t="s">
        <v>2522</v>
      </c>
      <c r="C913" s="3" t="s">
        <v>1220</v>
      </c>
      <c r="D913" s="4" t="s">
        <v>19</v>
      </c>
      <c r="E913" s="14">
        <v>112289</v>
      </c>
      <c r="F913" s="14">
        <v>15984657480</v>
      </c>
      <c r="G913" s="14">
        <v>517699222</v>
      </c>
      <c r="H913" s="28" t="s">
        <v>2523</v>
      </c>
      <c r="I913" s="28" t="s">
        <v>2523</v>
      </c>
      <c r="J913" s="3" t="s">
        <v>2524</v>
      </c>
      <c r="K913" s="15" t="s">
        <v>2522</v>
      </c>
      <c r="L913" s="25"/>
      <c r="N913" s="15" t="s">
        <v>2525</v>
      </c>
      <c r="O913" s="35" t="s">
        <v>2506</v>
      </c>
      <c r="P913" s="37" t="s">
        <v>25</v>
      </c>
    </row>
    <row r="914" spans="1:16">
      <c r="A914" s="14">
        <v>11180</v>
      </c>
      <c r="B914" s="14" t="s">
        <v>2526</v>
      </c>
      <c r="C914" s="3" t="s">
        <v>1220</v>
      </c>
      <c r="D914" s="4" t="s">
        <v>19</v>
      </c>
      <c r="E914" s="14">
        <v>112240</v>
      </c>
      <c r="F914" s="14">
        <v>15984362095</v>
      </c>
      <c r="G914" s="14">
        <v>517699252</v>
      </c>
      <c r="H914" s="28" t="s">
        <v>2527</v>
      </c>
      <c r="I914" s="28" t="s">
        <v>2527</v>
      </c>
      <c r="J914" s="3" t="s">
        <v>2528</v>
      </c>
      <c r="K914" s="15" t="s">
        <v>2526</v>
      </c>
      <c r="L914" s="25"/>
      <c r="N914" s="15" t="s">
        <v>2529</v>
      </c>
      <c r="O914" s="35" t="s">
        <v>2506</v>
      </c>
      <c r="P914" s="37" t="s">
        <v>25</v>
      </c>
    </row>
    <row r="915" spans="1:16">
      <c r="A915" s="14">
        <v>11181</v>
      </c>
      <c r="B915" s="14" t="s">
        <v>2530</v>
      </c>
      <c r="C915" s="3" t="s">
        <v>1220</v>
      </c>
      <c r="D915" s="4" t="s">
        <v>19</v>
      </c>
      <c r="E915" s="14">
        <v>112242</v>
      </c>
      <c r="F915" s="14">
        <v>15984393541</v>
      </c>
      <c r="G915" s="14">
        <v>517699257</v>
      </c>
      <c r="H915" s="28" t="s">
        <v>2531</v>
      </c>
      <c r="I915" s="28" t="s">
        <v>2531</v>
      </c>
      <c r="J915" s="3" t="s">
        <v>2532</v>
      </c>
      <c r="K915" s="15" t="s">
        <v>2530</v>
      </c>
      <c r="L915" s="25"/>
      <c r="N915" s="15" t="s">
        <v>2533</v>
      </c>
      <c r="O915" s="35" t="s">
        <v>2506</v>
      </c>
      <c r="P915" s="37" t="s">
        <v>25</v>
      </c>
    </row>
    <row r="916" spans="1:16">
      <c r="A916" s="14">
        <v>11182</v>
      </c>
      <c r="B916" s="14" t="s">
        <v>2534</v>
      </c>
      <c r="C916" s="3" t="s">
        <v>1220</v>
      </c>
      <c r="D916" s="4" t="s">
        <v>19</v>
      </c>
      <c r="E916" s="14">
        <v>112273</v>
      </c>
      <c r="F916" s="14">
        <v>15984615396</v>
      </c>
      <c r="G916" s="14">
        <v>517699250</v>
      </c>
      <c r="H916" s="28" t="s">
        <v>2535</v>
      </c>
      <c r="I916" s="28" t="s">
        <v>2535</v>
      </c>
      <c r="J916" s="3" t="s">
        <v>2536</v>
      </c>
      <c r="K916" s="15" t="s">
        <v>2534</v>
      </c>
      <c r="L916" s="25"/>
      <c r="N916" s="15" t="s">
        <v>2537</v>
      </c>
      <c r="O916" s="35" t="s">
        <v>2506</v>
      </c>
      <c r="P916" s="37" t="s">
        <v>25</v>
      </c>
    </row>
    <row r="917" spans="1:16">
      <c r="A917" s="14">
        <v>11183</v>
      </c>
      <c r="B917" s="14" t="s">
        <v>2538</v>
      </c>
      <c r="C917" s="3" t="s">
        <v>1220</v>
      </c>
      <c r="D917" s="4" t="s">
        <v>19</v>
      </c>
      <c r="E917" s="14">
        <v>112352</v>
      </c>
      <c r="F917" s="14">
        <v>15998581807</v>
      </c>
      <c r="G917" s="14">
        <v>517878568</v>
      </c>
      <c r="H917" s="28" t="s">
        <v>2539</v>
      </c>
      <c r="I917" s="28" t="s">
        <v>2539</v>
      </c>
      <c r="J917" s="3" t="s">
        <v>2540</v>
      </c>
      <c r="K917" s="15" t="s">
        <v>2538</v>
      </c>
      <c r="L917" s="25"/>
      <c r="N917" s="15" t="s">
        <v>2541</v>
      </c>
      <c r="O917" s="35" t="s">
        <v>2506</v>
      </c>
      <c r="P917" s="37" t="s">
        <v>25</v>
      </c>
    </row>
    <row r="918" spans="1:16">
      <c r="A918" s="14">
        <v>11184</v>
      </c>
      <c r="B918" s="14" t="s">
        <v>2542</v>
      </c>
      <c r="C918" s="3" t="s">
        <v>1220</v>
      </c>
      <c r="D918" s="4" t="s">
        <v>19</v>
      </c>
      <c r="E918" s="14">
        <v>112272</v>
      </c>
      <c r="F918" s="14">
        <v>15984615395</v>
      </c>
      <c r="G918" s="14">
        <v>517699161</v>
      </c>
      <c r="H918" s="28" t="s">
        <v>2543</v>
      </c>
      <c r="I918" s="28" t="s">
        <v>2543</v>
      </c>
      <c r="J918" s="3" t="s">
        <v>2544</v>
      </c>
      <c r="K918" s="15" t="s">
        <v>2542</v>
      </c>
      <c r="L918" s="25"/>
      <c r="N918" s="15" t="s">
        <v>2545</v>
      </c>
      <c r="O918" s="35" t="s">
        <v>2506</v>
      </c>
      <c r="P918" s="37" t="s">
        <v>25</v>
      </c>
    </row>
    <row r="919" spans="1:16">
      <c r="A919" s="14">
        <v>11185</v>
      </c>
      <c r="B919" s="14" t="s">
        <v>2546</v>
      </c>
      <c r="C919" s="3" t="s">
        <v>1220</v>
      </c>
      <c r="D919" s="4" t="s">
        <v>19</v>
      </c>
      <c r="E919" s="14">
        <v>112271</v>
      </c>
      <c r="F919" s="14">
        <v>15984611995</v>
      </c>
      <c r="G919" s="14">
        <v>517699172</v>
      </c>
      <c r="H919" s="28" t="s">
        <v>2547</v>
      </c>
      <c r="I919" s="28" t="s">
        <v>2547</v>
      </c>
      <c r="J919" s="3" t="s">
        <v>2548</v>
      </c>
      <c r="K919" s="15" t="s">
        <v>2546</v>
      </c>
      <c r="L919" s="25"/>
      <c r="N919" s="15" t="s">
        <v>2549</v>
      </c>
      <c r="O919" s="35" t="s">
        <v>2506</v>
      </c>
      <c r="P919" s="37" t="s">
        <v>25</v>
      </c>
    </row>
    <row r="920" spans="1:16">
      <c r="A920" s="14">
        <v>11186</v>
      </c>
      <c r="B920" s="14" t="s">
        <v>2550</v>
      </c>
      <c r="C920" s="3" t="s">
        <v>1220</v>
      </c>
      <c r="D920" s="4" t="s">
        <v>19</v>
      </c>
      <c r="E920" s="14">
        <v>112292</v>
      </c>
      <c r="F920" s="14">
        <v>15984660613</v>
      </c>
      <c r="G920" s="14">
        <v>517699212</v>
      </c>
      <c r="H920" s="28" t="s">
        <v>2551</v>
      </c>
      <c r="I920" s="28" t="s">
        <v>2551</v>
      </c>
      <c r="J920" s="3" t="s">
        <v>2552</v>
      </c>
      <c r="K920" s="15" t="s">
        <v>2550</v>
      </c>
      <c r="L920" s="25"/>
      <c r="N920" s="15" t="s">
        <v>2553</v>
      </c>
      <c r="O920" s="35" t="s">
        <v>2506</v>
      </c>
      <c r="P920" s="37" t="s">
        <v>25</v>
      </c>
    </row>
    <row r="921" spans="1:16">
      <c r="A921" s="14">
        <v>11187</v>
      </c>
      <c r="B921" s="14" t="s">
        <v>2554</v>
      </c>
      <c r="C921" s="3" t="s">
        <v>1220</v>
      </c>
      <c r="D921" s="4" t="s">
        <v>19</v>
      </c>
      <c r="E921" s="14">
        <v>112270</v>
      </c>
      <c r="F921" s="14">
        <v>15984610053</v>
      </c>
      <c r="G921" s="14">
        <v>517699197</v>
      </c>
      <c r="H921" s="28" t="s">
        <v>2555</v>
      </c>
      <c r="I921" s="28" t="s">
        <v>2555</v>
      </c>
      <c r="J921" s="3" t="s">
        <v>2556</v>
      </c>
      <c r="K921" s="15" t="s">
        <v>2554</v>
      </c>
      <c r="L921" s="25"/>
      <c r="N921" s="15" t="s">
        <v>2557</v>
      </c>
      <c r="O921" s="35" t="s">
        <v>2506</v>
      </c>
      <c r="P921" s="37" t="s">
        <v>25</v>
      </c>
    </row>
    <row r="922" spans="1:16">
      <c r="A922" s="14">
        <v>11188</v>
      </c>
      <c r="B922" s="14" t="s">
        <v>2558</v>
      </c>
      <c r="C922" s="3" t="s">
        <v>1220</v>
      </c>
      <c r="D922" s="4" t="s">
        <v>19</v>
      </c>
      <c r="E922" s="14">
        <v>112244</v>
      </c>
      <c r="F922" s="14">
        <v>15984406754</v>
      </c>
      <c r="G922" s="14">
        <v>517699196</v>
      </c>
      <c r="H922" s="28" t="s">
        <v>2559</v>
      </c>
      <c r="I922" s="28" t="s">
        <v>2559</v>
      </c>
      <c r="J922" s="3" t="s">
        <v>2560</v>
      </c>
      <c r="K922" s="15" t="s">
        <v>2558</v>
      </c>
      <c r="L922" s="25"/>
      <c r="N922" s="15" t="s">
        <v>2561</v>
      </c>
      <c r="O922" s="35" t="s">
        <v>2506</v>
      </c>
      <c r="P922" s="37" t="s">
        <v>25</v>
      </c>
    </row>
    <row r="923" spans="1:16">
      <c r="A923" s="14">
        <v>11189</v>
      </c>
      <c r="B923" s="14" t="s">
        <v>2562</v>
      </c>
      <c r="C923" s="3" t="s">
        <v>1220</v>
      </c>
      <c r="D923" s="4" t="s">
        <v>19</v>
      </c>
      <c r="E923" s="14">
        <v>112269</v>
      </c>
      <c r="F923" s="14">
        <v>15984607055</v>
      </c>
      <c r="G923" s="14">
        <v>517699204</v>
      </c>
      <c r="H923" s="28" t="s">
        <v>2563</v>
      </c>
      <c r="I923" s="28" t="s">
        <v>2563</v>
      </c>
      <c r="J923" s="3" t="s">
        <v>2564</v>
      </c>
      <c r="K923" s="15" t="s">
        <v>2562</v>
      </c>
      <c r="L923" s="25"/>
      <c r="N923" s="15" t="s">
        <v>2565</v>
      </c>
      <c r="O923" s="35" t="s">
        <v>2506</v>
      </c>
      <c r="P923" s="37" t="s">
        <v>25</v>
      </c>
    </row>
    <row r="924" spans="1:16">
      <c r="A924" s="14">
        <v>11190</v>
      </c>
      <c r="B924" s="14" t="s">
        <v>2566</v>
      </c>
      <c r="C924" s="3" t="s">
        <v>1220</v>
      </c>
      <c r="D924" s="4" t="s">
        <v>19</v>
      </c>
      <c r="E924" s="14">
        <v>112267</v>
      </c>
      <c r="F924" s="14">
        <v>15984605480</v>
      </c>
      <c r="G924" s="14">
        <v>517699180</v>
      </c>
      <c r="H924" s="28" t="s">
        <v>2567</v>
      </c>
      <c r="I924" s="28" t="s">
        <v>2567</v>
      </c>
      <c r="J924" s="3" t="s">
        <v>2568</v>
      </c>
      <c r="K924" s="15" t="s">
        <v>2566</v>
      </c>
      <c r="L924" s="25"/>
      <c r="N924" s="15" t="s">
        <v>2569</v>
      </c>
      <c r="O924" s="35" t="s">
        <v>2506</v>
      </c>
      <c r="P924" s="37" t="s">
        <v>25</v>
      </c>
    </row>
    <row r="925" spans="1:16">
      <c r="A925" s="14">
        <v>11191</v>
      </c>
      <c r="B925" s="14" t="s">
        <v>2570</v>
      </c>
      <c r="C925" s="3" t="s">
        <v>1220</v>
      </c>
      <c r="D925" s="4" t="s">
        <v>19</v>
      </c>
      <c r="E925" s="14">
        <v>112266</v>
      </c>
      <c r="F925" s="14">
        <v>15984600196</v>
      </c>
      <c r="G925" s="14">
        <v>517699229</v>
      </c>
      <c r="H925" s="28" t="s">
        <v>2571</v>
      </c>
      <c r="I925" s="28" t="s">
        <v>2571</v>
      </c>
      <c r="J925" s="3" t="s">
        <v>2572</v>
      </c>
      <c r="K925" s="15" t="s">
        <v>2570</v>
      </c>
      <c r="L925" s="25"/>
      <c r="N925" s="15" t="s">
        <v>2573</v>
      </c>
      <c r="O925" s="35" t="s">
        <v>2506</v>
      </c>
      <c r="P925" s="37" t="s">
        <v>25</v>
      </c>
    </row>
    <row r="926" spans="1:16">
      <c r="A926" s="14">
        <v>11192</v>
      </c>
      <c r="B926" s="14" t="s">
        <v>2574</v>
      </c>
      <c r="C926" s="3" t="s">
        <v>1220</v>
      </c>
      <c r="D926" s="4" t="s">
        <v>19</v>
      </c>
      <c r="E926" s="14">
        <v>112294</v>
      </c>
      <c r="F926" s="14">
        <v>15984661497</v>
      </c>
      <c r="G926" s="14">
        <v>517699261</v>
      </c>
      <c r="H926" s="28" t="s">
        <v>2575</v>
      </c>
      <c r="I926" s="28" t="s">
        <v>2575</v>
      </c>
      <c r="J926" s="3" t="s">
        <v>2576</v>
      </c>
      <c r="K926" s="15" t="s">
        <v>2574</v>
      </c>
      <c r="L926" s="25"/>
      <c r="N926" s="15" t="s">
        <v>2577</v>
      </c>
      <c r="O926" s="35" t="s">
        <v>2506</v>
      </c>
      <c r="P926" s="37" t="s">
        <v>25</v>
      </c>
    </row>
    <row r="927" spans="1:16">
      <c r="A927" s="14">
        <v>11193</v>
      </c>
      <c r="B927" s="14" t="s">
        <v>2578</v>
      </c>
      <c r="C927" s="3" t="s">
        <v>1220</v>
      </c>
      <c r="D927" s="4" t="s">
        <v>19</v>
      </c>
      <c r="E927" s="14">
        <v>112265</v>
      </c>
      <c r="F927" s="14">
        <v>15984597478</v>
      </c>
      <c r="G927" s="14">
        <v>517699164</v>
      </c>
      <c r="H927" s="28" t="s">
        <v>2579</v>
      </c>
      <c r="I927" s="28" t="s">
        <v>2579</v>
      </c>
      <c r="J927" s="3" t="s">
        <v>2580</v>
      </c>
      <c r="K927" s="15" t="s">
        <v>2578</v>
      </c>
      <c r="L927" s="25"/>
      <c r="N927" s="15" t="s">
        <v>2581</v>
      </c>
      <c r="O927" s="35" t="s">
        <v>2506</v>
      </c>
      <c r="P927" s="37" t="s">
        <v>25</v>
      </c>
    </row>
    <row r="928" spans="1:16">
      <c r="A928" s="14">
        <v>11194</v>
      </c>
      <c r="B928" s="14" t="s">
        <v>2582</v>
      </c>
      <c r="C928" s="3" t="s">
        <v>1220</v>
      </c>
      <c r="D928" s="4" t="s">
        <v>19</v>
      </c>
      <c r="E928" s="14">
        <v>112290</v>
      </c>
      <c r="F928" s="14">
        <v>15984658295</v>
      </c>
      <c r="G928" s="14">
        <v>517699213</v>
      </c>
      <c r="H928" s="28" t="s">
        <v>2583</v>
      </c>
      <c r="I928" s="28" t="s">
        <v>2583</v>
      </c>
      <c r="J928" s="3" t="s">
        <v>2584</v>
      </c>
      <c r="K928" s="15" t="s">
        <v>2582</v>
      </c>
      <c r="L928" s="25"/>
      <c r="N928" s="15" t="s">
        <v>2585</v>
      </c>
      <c r="O928" s="35" t="s">
        <v>2506</v>
      </c>
      <c r="P928" s="37" t="s">
        <v>25</v>
      </c>
    </row>
    <row r="929" spans="1:16">
      <c r="A929" s="14">
        <v>11195</v>
      </c>
      <c r="B929" s="14" t="s">
        <v>2586</v>
      </c>
      <c r="C929" s="3" t="s">
        <v>1220</v>
      </c>
      <c r="D929" s="4" t="s">
        <v>19</v>
      </c>
      <c r="E929" s="14">
        <v>112243</v>
      </c>
      <c r="F929" s="14">
        <v>15984399740</v>
      </c>
      <c r="G929" s="14">
        <v>517699225</v>
      </c>
      <c r="H929" s="28" t="s">
        <v>2587</v>
      </c>
      <c r="I929" s="28" t="s">
        <v>2587</v>
      </c>
      <c r="J929" s="3" t="s">
        <v>2588</v>
      </c>
      <c r="K929" s="15" t="s">
        <v>2586</v>
      </c>
      <c r="L929" s="25"/>
      <c r="N929" s="15" t="s">
        <v>2589</v>
      </c>
      <c r="O929" s="35" t="s">
        <v>2506</v>
      </c>
      <c r="P929" s="37" t="s">
        <v>25</v>
      </c>
    </row>
    <row r="930" spans="1:16">
      <c r="A930" s="14">
        <v>11196</v>
      </c>
      <c r="B930" s="14" t="s">
        <v>2590</v>
      </c>
      <c r="C930" s="3" t="s">
        <v>1220</v>
      </c>
      <c r="D930" s="4" t="s">
        <v>19</v>
      </c>
      <c r="E930" s="14">
        <v>112264</v>
      </c>
      <c r="F930" s="14">
        <v>15984597477</v>
      </c>
      <c r="G930" s="14">
        <v>517699236</v>
      </c>
      <c r="H930" s="28" t="s">
        <v>2591</v>
      </c>
      <c r="I930" s="28" t="s">
        <v>2591</v>
      </c>
      <c r="J930" s="3" t="s">
        <v>2592</v>
      </c>
      <c r="K930" s="15" t="s">
        <v>2590</v>
      </c>
      <c r="L930" s="25"/>
      <c r="N930" s="15" t="s">
        <v>2593</v>
      </c>
      <c r="O930" s="35" t="s">
        <v>2506</v>
      </c>
      <c r="P930" s="37" t="s">
        <v>25</v>
      </c>
    </row>
    <row r="931" spans="1:16">
      <c r="A931" s="14">
        <v>11197</v>
      </c>
      <c r="B931" s="14" t="s">
        <v>2594</v>
      </c>
      <c r="C931" s="3" t="s">
        <v>1220</v>
      </c>
      <c r="D931" s="4" t="s">
        <v>19</v>
      </c>
      <c r="E931" s="14">
        <v>112283</v>
      </c>
      <c r="F931" s="14">
        <v>15984635231</v>
      </c>
      <c r="G931" s="14">
        <v>517699186</v>
      </c>
      <c r="H931" s="28" t="s">
        <v>2595</v>
      </c>
      <c r="I931" s="28" t="s">
        <v>2595</v>
      </c>
      <c r="J931" s="3" t="s">
        <v>2596</v>
      </c>
      <c r="K931" s="15" t="s">
        <v>2594</v>
      </c>
      <c r="L931" s="25"/>
      <c r="N931" s="15" t="s">
        <v>2597</v>
      </c>
      <c r="O931" s="35" t="s">
        <v>2506</v>
      </c>
      <c r="P931" s="37" t="s">
        <v>25</v>
      </c>
    </row>
    <row r="932" spans="1:16">
      <c r="A932" s="14">
        <v>11198</v>
      </c>
      <c r="B932" s="14" t="s">
        <v>2598</v>
      </c>
      <c r="C932" s="3" t="s">
        <v>1220</v>
      </c>
      <c r="D932" s="4" t="s">
        <v>19</v>
      </c>
      <c r="E932" s="14">
        <v>112284</v>
      </c>
      <c r="F932" s="14">
        <v>15984643077</v>
      </c>
      <c r="G932" s="14">
        <v>517699160</v>
      </c>
      <c r="H932" s="28" t="s">
        <v>2599</v>
      </c>
      <c r="I932" s="28" t="s">
        <v>2599</v>
      </c>
      <c r="J932" s="3" t="s">
        <v>2600</v>
      </c>
      <c r="K932" s="15" t="s">
        <v>2598</v>
      </c>
      <c r="L932" s="25"/>
      <c r="N932" s="15" t="s">
        <v>2601</v>
      </c>
      <c r="O932" s="35" t="s">
        <v>2506</v>
      </c>
      <c r="P932" s="37" t="s">
        <v>25</v>
      </c>
    </row>
    <row r="933" spans="1:16">
      <c r="A933" s="14">
        <v>11199</v>
      </c>
      <c r="B933" s="14" t="s">
        <v>2602</v>
      </c>
      <c r="C933" s="3" t="s">
        <v>1220</v>
      </c>
      <c r="D933" s="4" t="s">
        <v>19</v>
      </c>
      <c r="E933" s="14">
        <v>112285</v>
      </c>
      <c r="F933" s="14">
        <v>15984643078</v>
      </c>
      <c r="G933" s="14">
        <v>517699233</v>
      </c>
      <c r="H933" s="28" t="s">
        <v>2603</v>
      </c>
      <c r="I933" s="28" t="s">
        <v>2603</v>
      </c>
      <c r="J933" s="3" t="s">
        <v>2604</v>
      </c>
      <c r="K933" s="15" t="s">
        <v>2602</v>
      </c>
      <c r="L933" s="25"/>
      <c r="N933" s="15" t="s">
        <v>2605</v>
      </c>
      <c r="O933" s="35" t="s">
        <v>2506</v>
      </c>
      <c r="P933" s="37" t="s">
        <v>25</v>
      </c>
    </row>
    <row r="934" spans="1:16">
      <c r="A934" s="14">
        <v>11200</v>
      </c>
      <c r="B934" s="14" t="s">
        <v>2606</v>
      </c>
      <c r="C934" s="3" t="s">
        <v>1220</v>
      </c>
      <c r="D934" s="4" t="s">
        <v>19</v>
      </c>
      <c r="E934" s="14">
        <v>112229</v>
      </c>
      <c r="F934" s="14">
        <v>15980372952</v>
      </c>
      <c r="G934" s="14">
        <v>517637354</v>
      </c>
      <c r="H934" s="28" t="s">
        <v>2607</v>
      </c>
      <c r="I934" s="28" t="s">
        <v>2607</v>
      </c>
      <c r="J934" s="3" t="s">
        <v>2608</v>
      </c>
      <c r="K934" s="15" t="s">
        <v>2606</v>
      </c>
      <c r="L934" s="25"/>
      <c r="N934" s="15" t="s">
        <v>2609</v>
      </c>
      <c r="O934" s="35" t="s">
        <v>2506</v>
      </c>
      <c r="P934" s="37" t="s">
        <v>25</v>
      </c>
    </row>
    <row r="935" spans="1:16">
      <c r="A935" s="14">
        <v>11201</v>
      </c>
      <c r="B935" s="14" t="s">
        <v>2610</v>
      </c>
      <c r="C935" s="3" t="s">
        <v>1220</v>
      </c>
      <c r="D935" s="4" t="s">
        <v>19</v>
      </c>
      <c r="E935" s="14">
        <v>112238</v>
      </c>
      <c r="F935" s="14">
        <v>15984353088</v>
      </c>
      <c r="G935" s="14">
        <v>517699218</v>
      </c>
      <c r="H935" s="28" t="s">
        <v>2611</v>
      </c>
      <c r="I935" s="28" t="s">
        <v>2611</v>
      </c>
      <c r="J935" s="3" t="s">
        <v>2612</v>
      </c>
      <c r="K935" s="15" t="s">
        <v>2610</v>
      </c>
      <c r="L935" s="25"/>
      <c r="N935" s="15" t="s">
        <v>2613</v>
      </c>
      <c r="O935" s="35" t="s">
        <v>2506</v>
      </c>
      <c r="P935" s="37" t="s">
        <v>25</v>
      </c>
    </row>
    <row r="936" spans="1:16">
      <c r="A936" s="14">
        <v>11202</v>
      </c>
      <c r="B936" s="14" t="s">
        <v>2614</v>
      </c>
      <c r="C936" s="3" t="s">
        <v>1220</v>
      </c>
      <c r="D936" s="4" t="s">
        <v>19</v>
      </c>
      <c r="E936" s="14">
        <v>112233</v>
      </c>
      <c r="F936" s="14">
        <v>15984261603</v>
      </c>
      <c r="G936" s="14">
        <v>517699171</v>
      </c>
      <c r="H936" s="28" t="s">
        <v>2615</v>
      </c>
      <c r="I936" s="28" t="s">
        <v>2615</v>
      </c>
      <c r="J936" s="3" t="s">
        <v>2616</v>
      </c>
      <c r="K936" s="15" t="s">
        <v>2614</v>
      </c>
      <c r="L936" s="25"/>
      <c r="N936" s="15" t="s">
        <v>2617</v>
      </c>
      <c r="O936" s="35" t="s">
        <v>2506</v>
      </c>
      <c r="P936" s="37" t="s">
        <v>25</v>
      </c>
    </row>
    <row r="937" spans="1:16">
      <c r="A937" s="14">
        <v>11203</v>
      </c>
      <c r="B937" s="14" t="s">
        <v>2618</v>
      </c>
      <c r="C937" s="3" t="s">
        <v>1220</v>
      </c>
      <c r="D937" s="4" t="s">
        <v>19</v>
      </c>
      <c r="E937" s="14">
        <v>112234</v>
      </c>
      <c r="F937" s="14">
        <v>15984261604</v>
      </c>
      <c r="G937" s="14">
        <v>517699251</v>
      </c>
      <c r="H937" s="28" t="s">
        <v>2619</v>
      </c>
      <c r="I937" s="28" t="s">
        <v>2619</v>
      </c>
      <c r="J937" s="3" t="s">
        <v>2620</v>
      </c>
      <c r="K937" s="15" t="s">
        <v>2618</v>
      </c>
      <c r="L937" s="25"/>
      <c r="N937" s="15" t="s">
        <v>2621</v>
      </c>
      <c r="O937" s="35" t="s">
        <v>2506</v>
      </c>
      <c r="P937" s="37" t="s">
        <v>25</v>
      </c>
    </row>
    <row r="938" spans="1:16">
      <c r="A938" s="14">
        <v>11204</v>
      </c>
      <c r="B938" s="14" t="s">
        <v>2622</v>
      </c>
      <c r="C938" s="3" t="s">
        <v>1220</v>
      </c>
      <c r="D938" s="4" t="s">
        <v>19</v>
      </c>
      <c r="E938" s="14">
        <v>112235</v>
      </c>
      <c r="F938" s="14">
        <v>15984264568</v>
      </c>
      <c r="G938" s="14">
        <v>517699241</v>
      </c>
      <c r="H938" s="28" t="s">
        <v>2623</v>
      </c>
      <c r="I938" s="28" t="s">
        <v>2623</v>
      </c>
      <c r="J938" s="3" t="s">
        <v>2624</v>
      </c>
      <c r="K938" s="15" t="s">
        <v>2622</v>
      </c>
      <c r="L938" s="25"/>
      <c r="N938" s="15" t="s">
        <v>2625</v>
      </c>
      <c r="O938" s="35" t="s">
        <v>2506</v>
      </c>
      <c r="P938" s="37" t="s">
        <v>25</v>
      </c>
    </row>
    <row r="939" spans="1:16">
      <c r="A939" s="14">
        <v>11205</v>
      </c>
      <c r="B939" s="14" t="s">
        <v>2626</v>
      </c>
      <c r="C939" s="3" t="s">
        <v>1220</v>
      </c>
      <c r="D939" s="4" t="s">
        <v>19</v>
      </c>
      <c r="E939" s="14">
        <v>112239</v>
      </c>
      <c r="F939" s="14">
        <v>15984362094</v>
      </c>
      <c r="G939" s="14">
        <v>517699269</v>
      </c>
      <c r="H939" s="28" t="s">
        <v>2627</v>
      </c>
      <c r="I939" s="28" t="s">
        <v>2627</v>
      </c>
      <c r="J939" s="3" t="s">
        <v>2628</v>
      </c>
      <c r="K939" s="15" t="s">
        <v>2626</v>
      </c>
      <c r="L939" s="25"/>
      <c r="N939" s="15" t="s">
        <v>2629</v>
      </c>
      <c r="O939" s="35" t="s">
        <v>2506</v>
      </c>
      <c r="P939" s="37" t="s">
        <v>25</v>
      </c>
    </row>
    <row r="940" spans="1:16">
      <c r="A940" s="14">
        <v>11206</v>
      </c>
      <c r="B940" s="14" t="s">
        <v>2630</v>
      </c>
      <c r="C940" s="3" t="s">
        <v>1220</v>
      </c>
      <c r="D940" s="4" t="s">
        <v>19</v>
      </c>
      <c r="E940" s="14">
        <v>112237</v>
      </c>
      <c r="F940" s="14">
        <v>15984316982</v>
      </c>
      <c r="G940" s="14">
        <v>517699230</v>
      </c>
      <c r="H940" s="28" t="s">
        <v>2631</v>
      </c>
      <c r="I940" s="28" t="s">
        <v>2631</v>
      </c>
      <c r="J940" s="3" t="s">
        <v>2632</v>
      </c>
      <c r="K940" s="15" t="s">
        <v>2630</v>
      </c>
      <c r="L940" s="25"/>
      <c r="N940" s="15" t="s">
        <v>2633</v>
      </c>
      <c r="O940" s="35" t="s">
        <v>2506</v>
      </c>
      <c r="P940" s="37" t="s">
        <v>25</v>
      </c>
    </row>
    <row r="941" spans="1:16">
      <c r="A941" s="14">
        <v>11207</v>
      </c>
      <c r="B941" s="14" t="s">
        <v>2634</v>
      </c>
      <c r="C941" s="3" t="s">
        <v>1220</v>
      </c>
      <c r="D941" s="4" t="s">
        <v>19</v>
      </c>
      <c r="E941" s="14">
        <v>112230</v>
      </c>
      <c r="F941" s="14">
        <v>15980372953</v>
      </c>
      <c r="G941" s="14">
        <v>517637351</v>
      </c>
      <c r="H941" s="28" t="s">
        <v>2635</v>
      </c>
      <c r="I941" s="28" t="s">
        <v>2635</v>
      </c>
      <c r="J941" s="3" t="s">
        <v>2636</v>
      </c>
      <c r="K941" s="15" t="s">
        <v>2634</v>
      </c>
      <c r="L941" s="25"/>
      <c r="N941" s="15" t="s">
        <v>2637</v>
      </c>
      <c r="O941" s="35" t="s">
        <v>2506</v>
      </c>
      <c r="P941" s="37" t="s">
        <v>25</v>
      </c>
    </row>
    <row r="942" spans="1:16">
      <c r="A942" s="14">
        <v>11208</v>
      </c>
      <c r="B942" s="14" t="s">
        <v>2638</v>
      </c>
      <c r="C942" s="3" t="s">
        <v>1220</v>
      </c>
      <c r="D942" s="4" t="s">
        <v>19</v>
      </c>
      <c r="E942" s="14">
        <v>112231</v>
      </c>
      <c r="F942" s="14">
        <v>15980417081</v>
      </c>
      <c r="G942" s="14">
        <v>517638238</v>
      </c>
      <c r="H942" s="28" t="s">
        <v>2639</v>
      </c>
      <c r="I942" s="28" t="s">
        <v>2639</v>
      </c>
      <c r="J942" s="3" t="s">
        <v>2640</v>
      </c>
      <c r="K942" s="15" t="s">
        <v>2638</v>
      </c>
      <c r="L942" s="25"/>
      <c r="N942" s="15" t="s">
        <v>2641</v>
      </c>
      <c r="O942" s="35" t="s">
        <v>2506</v>
      </c>
      <c r="P942" s="37" t="s">
        <v>25</v>
      </c>
    </row>
    <row r="943" spans="1:16">
      <c r="A943" s="14">
        <v>11209</v>
      </c>
      <c r="B943" s="14" t="s">
        <v>2642</v>
      </c>
      <c r="C943" s="3" t="s">
        <v>1220</v>
      </c>
      <c r="D943" s="4" t="s">
        <v>19</v>
      </c>
      <c r="E943" s="14">
        <v>112236</v>
      </c>
      <c r="F943" s="14">
        <v>15984277896</v>
      </c>
      <c r="G943" s="14">
        <v>517699158</v>
      </c>
      <c r="H943" s="28" t="s">
        <v>2643</v>
      </c>
      <c r="I943" s="28" t="s">
        <v>2643</v>
      </c>
      <c r="J943" s="3" t="s">
        <v>2644</v>
      </c>
      <c r="K943" s="15" t="s">
        <v>2642</v>
      </c>
      <c r="L943" s="25"/>
      <c r="N943" s="15" t="s">
        <v>2645</v>
      </c>
      <c r="O943" s="35" t="s">
        <v>2506</v>
      </c>
      <c r="P943" s="37" t="s">
        <v>25</v>
      </c>
    </row>
    <row r="944" spans="1:16">
      <c r="A944" s="14">
        <v>11210</v>
      </c>
      <c r="B944" s="14" t="s">
        <v>2646</v>
      </c>
      <c r="C944" s="3" t="s">
        <v>1220</v>
      </c>
      <c r="D944" s="4" t="s">
        <v>19</v>
      </c>
      <c r="E944" s="14">
        <v>112390</v>
      </c>
      <c r="F944" s="14">
        <v>15999232563</v>
      </c>
      <c r="G944" s="14">
        <v>517878558</v>
      </c>
      <c r="H944" s="28" t="s">
        <v>2647</v>
      </c>
      <c r="I944" s="28" t="s">
        <v>2647</v>
      </c>
      <c r="J944" s="3" t="s">
        <v>2648</v>
      </c>
      <c r="K944" s="15" t="s">
        <v>2646</v>
      </c>
      <c r="L944" s="25"/>
      <c r="N944" s="15" t="s">
        <v>2649</v>
      </c>
      <c r="O944" s="35" t="s">
        <v>2506</v>
      </c>
      <c r="P944" s="37" t="s">
        <v>25</v>
      </c>
    </row>
    <row r="945" spans="1:16">
      <c r="A945" s="14">
        <v>11211</v>
      </c>
      <c r="B945" s="14" t="s">
        <v>2650</v>
      </c>
      <c r="C945" s="3" t="s">
        <v>1220</v>
      </c>
      <c r="D945" s="4" t="s">
        <v>19</v>
      </c>
      <c r="E945" s="14">
        <v>112391</v>
      </c>
      <c r="F945" s="14">
        <v>15999272007</v>
      </c>
      <c r="G945" s="14">
        <v>517878582</v>
      </c>
      <c r="H945" s="28" t="s">
        <v>2651</v>
      </c>
      <c r="I945" s="28" t="s">
        <v>2651</v>
      </c>
      <c r="J945" s="3" t="s">
        <v>2652</v>
      </c>
      <c r="K945" s="15" t="s">
        <v>2650</v>
      </c>
      <c r="L945" s="25"/>
      <c r="N945" s="15" t="s">
        <v>2653</v>
      </c>
      <c r="O945" s="35" t="s">
        <v>2506</v>
      </c>
      <c r="P945" s="37" t="s">
        <v>25</v>
      </c>
    </row>
    <row r="946" spans="1:16">
      <c r="A946" s="14">
        <v>11212</v>
      </c>
      <c r="B946" s="14" t="s">
        <v>2654</v>
      </c>
      <c r="C946" s="3" t="s">
        <v>1220</v>
      </c>
      <c r="D946" s="4" t="s">
        <v>19</v>
      </c>
      <c r="E946" s="14">
        <v>112382</v>
      </c>
      <c r="F946" s="14">
        <v>15999140874</v>
      </c>
      <c r="G946" s="14">
        <v>517878592</v>
      </c>
      <c r="H946" s="28" t="s">
        <v>2655</v>
      </c>
      <c r="I946" s="28" t="s">
        <v>2655</v>
      </c>
      <c r="J946" s="3" t="s">
        <v>2656</v>
      </c>
      <c r="K946" s="15" t="s">
        <v>2654</v>
      </c>
      <c r="L946" s="25"/>
      <c r="N946" s="15" t="s">
        <v>2657</v>
      </c>
      <c r="O946" s="35" t="s">
        <v>2506</v>
      </c>
      <c r="P946" s="37" t="s">
        <v>25</v>
      </c>
    </row>
    <row r="947" spans="1:16">
      <c r="A947" s="14">
        <v>11213</v>
      </c>
      <c r="B947" s="14" t="s">
        <v>2658</v>
      </c>
      <c r="C947" s="3" t="s">
        <v>1220</v>
      </c>
      <c r="D947" s="4" t="s">
        <v>19</v>
      </c>
      <c r="E947" s="14">
        <v>112383</v>
      </c>
      <c r="F947" s="14">
        <v>15999140875</v>
      </c>
      <c r="G947" s="14">
        <v>517878611</v>
      </c>
      <c r="H947" s="28" t="s">
        <v>2659</v>
      </c>
      <c r="I947" s="28" t="s">
        <v>2659</v>
      </c>
      <c r="J947" s="3" t="s">
        <v>2660</v>
      </c>
      <c r="K947" s="15" t="s">
        <v>2658</v>
      </c>
      <c r="L947" s="25"/>
      <c r="N947" s="15" t="s">
        <v>2661</v>
      </c>
      <c r="O947" s="35" t="s">
        <v>2506</v>
      </c>
      <c r="P947" s="37" t="s">
        <v>25</v>
      </c>
    </row>
    <row r="948" spans="1:16">
      <c r="A948" s="14">
        <v>11214</v>
      </c>
      <c r="B948" s="14" t="s">
        <v>2662</v>
      </c>
      <c r="C948" s="3" t="s">
        <v>1220</v>
      </c>
      <c r="D948" s="4" t="s">
        <v>19</v>
      </c>
      <c r="E948" s="14">
        <v>112426</v>
      </c>
      <c r="F948" s="14">
        <v>16004181989</v>
      </c>
      <c r="G948" s="14">
        <v>517938459</v>
      </c>
      <c r="H948" s="28" t="s">
        <v>2663</v>
      </c>
      <c r="I948" s="28" t="s">
        <v>2663</v>
      </c>
      <c r="J948" s="3" t="s">
        <v>2664</v>
      </c>
      <c r="K948" s="15" t="s">
        <v>2662</v>
      </c>
      <c r="L948" s="25"/>
      <c r="N948" s="15" t="s">
        <v>2665</v>
      </c>
      <c r="O948" s="35" t="s">
        <v>2506</v>
      </c>
      <c r="P948" s="37" t="s">
        <v>25</v>
      </c>
    </row>
    <row r="949" spans="1:16">
      <c r="A949" s="14">
        <v>11215</v>
      </c>
      <c r="B949" s="14" t="s">
        <v>2666</v>
      </c>
      <c r="C949" s="3" t="s">
        <v>1220</v>
      </c>
      <c r="D949" s="4" t="s">
        <v>19</v>
      </c>
      <c r="E949" s="14">
        <v>112371</v>
      </c>
      <c r="F949" s="14">
        <v>15998963976</v>
      </c>
      <c r="G949" s="14">
        <v>517878581</v>
      </c>
      <c r="H949" s="28" t="s">
        <v>2667</v>
      </c>
      <c r="I949" s="28" t="s">
        <v>2667</v>
      </c>
      <c r="J949" s="3" t="s">
        <v>2668</v>
      </c>
      <c r="K949" s="15" t="s">
        <v>2666</v>
      </c>
      <c r="L949" s="25"/>
      <c r="N949" s="15" t="s">
        <v>2669</v>
      </c>
      <c r="O949" s="35" t="s">
        <v>2506</v>
      </c>
      <c r="P949" s="37" t="s">
        <v>25</v>
      </c>
    </row>
    <row r="950" spans="1:16">
      <c r="A950" s="14">
        <v>11216</v>
      </c>
      <c r="B950" s="14" t="s">
        <v>2670</v>
      </c>
      <c r="C950" s="3" t="s">
        <v>1220</v>
      </c>
      <c r="D950" s="4" t="s">
        <v>19</v>
      </c>
      <c r="E950" s="14">
        <v>112381</v>
      </c>
      <c r="F950" s="14">
        <v>15999112552</v>
      </c>
      <c r="G950" s="14">
        <v>517878591</v>
      </c>
      <c r="H950" s="28" t="s">
        <v>2671</v>
      </c>
      <c r="I950" s="28" t="s">
        <v>2671</v>
      </c>
      <c r="J950" s="3" t="s">
        <v>2672</v>
      </c>
      <c r="K950" s="15" t="s">
        <v>2670</v>
      </c>
      <c r="L950" s="25"/>
      <c r="N950" s="15" t="s">
        <v>2673</v>
      </c>
      <c r="O950" s="35" t="s">
        <v>2506</v>
      </c>
      <c r="P950" s="37" t="s">
        <v>25</v>
      </c>
    </row>
    <row r="951" spans="1:16">
      <c r="A951" s="14">
        <v>11217</v>
      </c>
      <c r="B951" s="14" t="s">
        <v>2674</v>
      </c>
      <c r="C951" s="3" t="s">
        <v>1220</v>
      </c>
      <c r="D951" s="4" t="s">
        <v>19</v>
      </c>
      <c r="E951" s="14">
        <v>112425</v>
      </c>
      <c r="F951" s="14">
        <v>16004180969</v>
      </c>
      <c r="G951" s="14">
        <v>517938473</v>
      </c>
      <c r="H951" s="28" t="s">
        <v>2675</v>
      </c>
      <c r="I951" s="28" t="s">
        <v>2675</v>
      </c>
      <c r="J951" s="3" t="s">
        <v>2676</v>
      </c>
      <c r="K951" s="15" t="s">
        <v>2674</v>
      </c>
      <c r="L951" s="25"/>
      <c r="N951" s="15" t="s">
        <v>2677</v>
      </c>
      <c r="O951" s="35" t="s">
        <v>2506</v>
      </c>
      <c r="P951" s="37" t="s">
        <v>25</v>
      </c>
    </row>
    <row r="952" spans="1:16">
      <c r="A952" s="14">
        <v>11218</v>
      </c>
      <c r="B952" s="14" t="s">
        <v>2678</v>
      </c>
      <c r="C952" s="3" t="s">
        <v>1220</v>
      </c>
      <c r="D952" s="4" t="s">
        <v>19</v>
      </c>
      <c r="E952" s="14">
        <v>112387</v>
      </c>
      <c r="F952" s="14">
        <v>15999166136</v>
      </c>
      <c r="G952" s="14">
        <v>517878575</v>
      </c>
      <c r="H952" s="28" t="s">
        <v>2679</v>
      </c>
      <c r="I952" s="28" t="s">
        <v>2679</v>
      </c>
      <c r="J952" s="3" t="s">
        <v>2680</v>
      </c>
      <c r="K952" s="15" t="s">
        <v>2678</v>
      </c>
      <c r="L952" s="25"/>
      <c r="N952" s="15" t="s">
        <v>2681</v>
      </c>
      <c r="O952" s="35" t="s">
        <v>2506</v>
      </c>
      <c r="P952" s="37" t="s">
        <v>25</v>
      </c>
    </row>
    <row r="953" spans="1:16">
      <c r="A953" s="14">
        <v>11219</v>
      </c>
      <c r="B953" s="14" t="s">
        <v>2682</v>
      </c>
      <c r="C953" s="3" t="s">
        <v>1220</v>
      </c>
      <c r="D953" s="4" t="s">
        <v>19</v>
      </c>
      <c r="E953" s="14">
        <v>112374</v>
      </c>
      <c r="F953" s="14">
        <v>15999057695</v>
      </c>
      <c r="G953" s="14">
        <v>517878560</v>
      </c>
      <c r="H953" s="28" t="s">
        <v>2683</v>
      </c>
      <c r="I953" s="28" t="s">
        <v>2683</v>
      </c>
      <c r="J953" s="3" t="s">
        <v>2684</v>
      </c>
      <c r="K953" s="15" t="s">
        <v>2682</v>
      </c>
      <c r="L953" s="25"/>
      <c r="N953" s="15" t="s">
        <v>2685</v>
      </c>
      <c r="O953" s="35" t="s">
        <v>2506</v>
      </c>
      <c r="P953" s="37" t="s">
        <v>25</v>
      </c>
    </row>
    <row r="954" spans="1:16">
      <c r="A954" s="14">
        <v>11220</v>
      </c>
      <c r="B954" s="14" t="s">
        <v>2686</v>
      </c>
      <c r="C954" s="3" t="s">
        <v>1220</v>
      </c>
      <c r="D954" s="4" t="s">
        <v>19</v>
      </c>
      <c r="E954" s="14">
        <v>112373</v>
      </c>
      <c r="F954" s="14">
        <v>15999057694</v>
      </c>
      <c r="G954" s="14">
        <v>517878559</v>
      </c>
      <c r="H954" s="28" t="s">
        <v>2687</v>
      </c>
      <c r="I954" s="28" t="s">
        <v>2687</v>
      </c>
      <c r="J954" s="3" t="s">
        <v>2688</v>
      </c>
      <c r="K954" s="15" t="s">
        <v>2686</v>
      </c>
      <c r="L954" s="25"/>
      <c r="N954" s="15" t="s">
        <v>2689</v>
      </c>
      <c r="O954" s="35" t="s">
        <v>2506</v>
      </c>
      <c r="P954" s="37" t="s">
        <v>25</v>
      </c>
    </row>
    <row r="955" spans="1:16">
      <c r="A955" s="14">
        <v>11221</v>
      </c>
      <c r="B955" s="14" t="s">
        <v>2690</v>
      </c>
      <c r="C955" s="3" t="s">
        <v>1220</v>
      </c>
      <c r="D955" s="4" t="s">
        <v>19</v>
      </c>
      <c r="E955" s="14">
        <v>112378</v>
      </c>
      <c r="F955" s="14">
        <v>15999100538</v>
      </c>
      <c r="G955" s="14">
        <v>517878587</v>
      </c>
      <c r="H955" s="28" t="s">
        <v>2691</v>
      </c>
      <c r="I955" s="28" t="s">
        <v>2691</v>
      </c>
      <c r="J955" s="3" t="s">
        <v>2692</v>
      </c>
      <c r="K955" s="15" t="s">
        <v>2690</v>
      </c>
      <c r="L955" s="25"/>
      <c r="N955" s="15" t="s">
        <v>2693</v>
      </c>
      <c r="O955" s="35" t="s">
        <v>2506</v>
      </c>
      <c r="P955" s="37" t="s">
        <v>25</v>
      </c>
    </row>
    <row r="956" spans="1:16">
      <c r="A956" s="14">
        <v>11222</v>
      </c>
      <c r="B956" s="14" t="s">
        <v>2694</v>
      </c>
      <c r="C956" s="3" t="s">
        <v>1220</v>
      </c>
      <c r="D956" s="4" t="s">
        <v>19</v>
      </c>
      <c r="E956" s="14">
        <v>112419</v>
      </c>
      <c r="F956" s="14">
        <v>16004147304</v>
      </c>
      <c r="G956" s="14">
        <v>517938470</v>
      </c>
      <c r="H956" s="28" t="s">
        <v>2695</v>
      </c>
      <c r="I956" s="28" t="s">
        <v>2695</v>
      </c>
      <c r="J956" s="3" t="s">
        <v>2696</v>
      </c>
      <c r="K956" s="15" t="s">
        <v>2694</v>
      </c>
      <c r="L956" s="25"/>
      <c r="N956" s="15" t="s">
        <v>2697</v>
      </c>
      <c r="O956" s="35" t="s">
        <v>2506</v>
      </c>
      <c r="P956" s="37" t="s">
        <v>25</v>
      </c>
    </row>
    <row r="957" spans="1:16">
      <c r="A957" s="14">
        <v>11223</v>
      </c>
      <c r="B957" s="14" t="s">
        <v>2698</v>
      </c>
      <c r="C957" s="3" t="s">
        <v>1220</v>
      </c>
      <c r="D957" s="4" t="s">
        <v>19</v>
      </c>
      <c r="E957" s="14">
        <v>112372</v>
      </c>
      <c r="F957" s="14">
        <v>15998963977</v>
      </c>
      <c r="G957" s="14">
        <v>517878570</v>
      </c>
      <c r="H957" s="28" t="s">
        <v>2699</v>
      </c>
      <c r="I957" s="28" t="s">
        <v>2699</v>
      </c>
      <c r="J957" s="3" t="s">
        <v>2700</v>
      </c>
      <c r="K957" s="15" t="s">
        <v>2698</v>
      </c>
      <c r="L957" s="25"/>
      <c r="N957" s="15" t="s">
        <v>2701</v>
      </c>
      <c r="O957" s="35" t="s">
        <v>2506</v>
      </c>
      <c r="P957" s="37" t="s">
        <v>25</v>
      </c>
    </row>
    <row r="958" spans="1:16">
      <c r="A958" s="14">
        <v>11224</v>
      </c>
      <c r="B958" s="14" t="s">
        <v>2702</v>
      </c>
      <c r="C958" s="3" t="s">
        <v>1220</v>
      </c>
      <c r="D958" s="4" t="s">
        <v>19</v>
      </c>
      <c r="E958" s="14">
        <v>112423</v>
      </c>
      <c r="F958" s="14">
        <v>16004178659</v>
      </c>
      <c r="G958" s="14">
        <v>517939031</v>
      </c>
      <c r="H958" s="28" t="s">
        <v>2703</v>
      </c>
      <c r="I958" s="28" t="s">
        <v>2703</v>
      </c>
      <c r="J958" s="3" t="s">
        <v>2704</v>
      </c>
      <c r="K958" s="15" t="s">
        <v>2702</v>
      </c>
      <c r="L958" s="25"/>
      <c r="N958" s="15" t="s">
        <v>2705</v>
      </c>
      <c r="O958" s="35" t="s">
        <v>2506</v>
      </c>
      <c r="P958" s="37" t="s">
        <v>25</v>
      </c>
    </row>
    <row r="959" spans="1:16">
      <c r="A959" s="14">
        <v>11225</v>
      </c>
      <c r="B959" s="14" t="s">
        <v>2706</v>
      </c>
      <c r="C959" s="3" t="s">
        <v>1220</v>
      </c>
      <c r="D959" s="4" t="s">
        <v>19</v>
      </c>
      <c r="E959" s="14">
        <v>112364</v>
      </c>
      <c r="F959" s="14">
        <v>15998699790</v>
      </c>
      <c r="G959" s="14">
        <v>517878569</v>
      </c>
      <c r="H959" s="28" t="s">
        <v>2707</v>
      </c>
      <c r="I959" s="28" t="s">
        <v>2707</v>
      </c>
      <c r="J959" s="3" t="s">
        <v>2708</v>
      </c>
      <c r="K959" s="15" t="s">
        <v>2706</v>
      </c>
      <c r="L959" s="25"/>
      <c r="N959" s="15" t="s">
        <v>2709</v>
      </c>
      <c r="O959" s="35" t="s">
        <v>2506</v>
      </c>
      <c r="P959" s="37" t="s">
        <v>25</v>
      </c>
    </row>
    <row r="960" spans="1:16">
      <c r="A960" s="14">
        <v>11226</v>
      </c>
      <c r="B960" s="14" t="s">
        <v>2710</v>
      </c>
      <c r="C960" s="3" t="s">
        <v>1220</v>
      </c>
      <c r="D960" s="4" t="s">
        <v>19</v>
      </c>
      <c r="E960" s="14">
        <v>112388</v>
      </c>
      <c r="F960" s="14">
        <v>15999178325</v>
      </c>
      <c r="G960" s="14">
        <v>517878565</v>
      </c>
      <c r="H960" s="28" t="s">
        <v>2711</v>
      </c>
      <c r="I960" s="28" t="s">
        <v>2711</v>
      </c>
      <c r="J960" s="3" t="s">
        <v>2712</v>
      </c>
      <c r="K960" s="15" t="s">
        <v>2710</v>
      </c>
      <c r="L960" s="25"/>
      <c r="N960" s="15" t="s">
        <v>2713</v>
      </c>
      <c r="O960" s="35" t="s">
        <v>2506</v>
      </c>
      <c r="P960" s="37" t="s">
        <v>25</v>
      </c>
    </row>
    <row r="961" spans="1:16">
      <c r="A961" s="14">
        <v>11227</v>
      </c>
      <c r="B961" s="14" t="s">
        <v>2714</v>
      </c>
      <c r="C961" s="3" t="s">
        <v>1220</v>
      </c>
      <c r="D961" s="4" t="s">
        <v>19</v>
      </c>
      <c r="E961" s="14">
        <v>112424</v>
      </c>
      <c r="F961" s="14">
        <v>16004180524</v>
      </c>
      <c r="G961" s="14">
        <v>517938454</v>
      </c>
      <c r="H961" s="28" t="s">
        <v>2715</v>
      </c>
      <c r="I961" s="28" t="s">
        <v>2715</v>
      </c>
      <c r="J961" s="3" t="s">
        <v>2716</v>
      </c>
      <c r="K961" s="15" t="s">
        <v>2714</v>
      </c>
      <c r="L961" s="25"/>
      <c r="N961" s="15" t="s">
        <v>2717</v>
      </c>
      <c r="O961" s="35" t="s">
        <v>2506</v>
      </c>
      <c r="P961" s="37" t="s">
        <v>25</v>
      </c>
    </row>
    <row r="962" spans="1:16">
      <c r="A962" s="14">
        <v>11228</v>
      </c>
      <c r="B962" s="14" t="s">
        <v>2718</v>
      </c>
      <c r="C962" s="3" t="s">
        <v>1220</v>
      </c>
      <c r="D962" s="4" t="s">
        <v>19</v>
      </c>
      <c r="E962" s="14">
        <v>112384</v>
      </c>
      <c r="F962" s="14">
        <v>15999150571</v>
      </c>
      <c r="G962" s="14">
        <v>517878567</v>
      </c>
      <c r="H962" s="28" t="s">
        <v>2719</v>
      </c>
      <c r="I962" s="28" t="s">
        <v>2719</v>
      </c>
      <c r="J962" s="3" t="s">
        <v>2720</v>
      </c>
      <c r="K962" s="15" t="s">
        <v>2718</v>
      </c>
      <c r="L962" s="25"/>
      <c r="N962" s="15" t="s">
        <v>2721</v>
      </c>
      <c r="O962" s="35" t="s">
        <v>2506</v>
      </c>
      <c r="P962" s="37" t="s">
        <v>25</v>
      </c>
    </row>
    <row r="963" spans="1:16">
      <c r="A963" s="14">
        <v>11229</v>
      </c>
      <c r="B963" s="14" t="s">
        <v>2722</v>
      </c>
      <c r="C963" s="3" t="s">
        <v>1220</v>
      </c>
      <c r="D963" s="4" t="s">
        <v>19</v>
      </c>
      <c r="E963" s="14">
        <v>112379</v>
      </c>
      <c r="F963" s="14">
        <v>15999106784</v>
      </c>
      <c r="G963" s="14">
        <v>517878580</v>
      </c>
      <c r="H963" s="28" t="s">
        <v>2723</v>
      </c>
      <c r="I963" s="28" t="s">
        <v>2723</v>
      </c>
      <c r="J963" s="3" t="s">
        <v>2724</v>
      </c>
      <c r="K963" s="15" t="s">
        <v>2722</v>
      </c>
      <c r="L963" s="25"/>
      <c r="N963" s="15" t="s">
        <v>2725</v>
      </c>
      <c r="O963" s="35" t="s">
        <v>2506</v>
      </c>
      <c r="P963" s="37" t="s">
        <v>25</v>
      </c>
    </row>
    <row r="964" spans="1:16">
      <c r="A964" s="14">
        <v>11230</v>
      </c>
      <c r="B964" s="14" t="s">
        <v>2726</v>
      </c>
      <c r="C964" s="3" t="s">
        <v>1220</v>
      </c>
      <c r="D964" s="4" t="s">
        <v>19</v>
      </c>
      <c r="E964" s="14">
        <v>112377</v>
      </c>
      <c r="F964" s="14">
        <v>15999096616</v>
      </c>
      <c r="G964" s="14">
        <v>517878566</v>
      </c>
      <c r="H964" s="28" t="s">
        <v>2727</v>
      </c>
      <c r="I964" s="28" t="s">
        <v>2727</v>
      </c>
      <c r="J964" s="3" t="s">
        <v>2728</v>
      </c>
      <c r="K964" s="15" t="s">
        <v>2726</v>
      </c>
      <c r="L964" s="25"/>
      <c r="N964" s="15" t="s">
        <v>2729</v>
      </c>
      <c r="O964" s="35" t="s">
        <v>2506</v>
      </c>
      <c r="P964" s="37" t="s">
        <v>25</v>
      </c>
    </row>
    <row r="965" spans="1:16">
      <c r="A965" s="14">
        <v>11231</v>
      </c>
      <c r="B965" s="14" t="s">
        <v>2730</v>
      </c>
      <c r="C965" s="3" t="s">
        <v>1220</v>
      </c>
      <c r="D965" s="4" t="s">
        <v>19</v>
      </c>
      <c r="E965" s="14">
        <v>112385</v>
      </c>
      <c r="F965" s="14">
        <v>15999150572</v>
      </c>
      <c r="G965" s="14">
        <v>517878573</v>
      </c>
      <c r="H965" s="28" t="s">
        <v>2731</v>
      </c>
      <c r="I965" s="28" t="s">
        <v>2731</v>
      </c>
      <c r="J965" s="3" t="s">
        <v>2732</v>
      </c>
      <c r="K965" s="15" t="s">
        <v>2730</v>
      </c>
      <c r="L965" s="25"/>
      <c r="N965" s="15" t="s">
        <v>2733</v>
      </c>
      <c r="O965" s="35" t="s">
        <v>2506</v>
      </c>
      <c r="P965" s="37" t="s">
        <v>25</v>
      </c>
    </row>
    <row r="966" spans="1:16">
      <c r="A966" s="14">
        <v>11232</v>
      </c>
      <c r="B966" s="14" t="s">
        <v>2734</v>
      </c>
      <c r="C966" s="3" t="s">
        <v>1220</v>
      </c>
      <c r="D966" s="4" t="s">
        <v>19</v>
      </c>
      <c r="E966" s="14">
        <v>112417</v>
      </c>
      <c r="F966" s="14">
        <v>16004141639</v>
      </c>
      <c r="G966" s="14">
        <v>517939032</v>
      </c>
      <c r="H966" s="28" t="s">
        <v>2735</v>
      </c>
      <c r="I966" s="28" t="s">
        <v>2735</v>
      </c>
      <c r="J966" s="3" t="s">
        <v>2736</v>
      </c>
      <c r="K966" s="15" t="s">
        <v>2734</v>
      </c>
      <c r="L966" s="25"/>
      <c r="N966" s="15" t="s">
        <v>2737</v>
      </c>
      <c r="O966" s="35" t="s">
        <v>2506</v>
      </c>
      <c r="P966" s="37" t="s">
        <v>25</v>
      </c>
    </row>
    <row r="967" spans="1:16">
      <c r="A967" s="14">
        <v>11233</v>
      </c>
      <c r="B967" s="14" t="s">
        <v>2738</v>
      </c>
      <c r="C967" s="3" t="s">
        <v>1220</v>
      </c>
      <c r="D967" s="4" t="s">
        <v>19</v>
      </c>
      <c r="E967" s="14">
        <v>112389</v>
      </c>
      <c r="F967" s="14">
        <v>15999178326</v>
      </c>
      <c r="G967" s="14">
        <v>517878596</v>
      </c>
      <c r="H967" s="28" t="s">
        <v>2739</v>
      </c>
      <c r="I967" s="28" t="s">
        <v>2739</v>
      </c>
      <c r="J967" s="3" t="s">
        <v>2740</v>
      </c>
      <c r="K967" s="15" t="s">
        <v>2738</v>
      </c>
      <c r="L967" s="25"/>
      <c r="N967" s="15" t="s">
        <v>2741</v>
      </c>
      <c r="O967" s="35" t="s">
        <v>2506</v>
      </c>
      <c r="P967" s="37" t="s">
        <v>25</v>
      </c>
    </row>
    <row r="968" spans="1:16">
      <c r="A968" s="14">
        <v>11234</v>
      </c>
      <c r="B968" s="14" t="s">
        <v>2742</v>
      </c>
      <c r="C968" s="3" t="s">
        <v>1220</v>
      </c>
      <c r="D968" s="4" t="s">
        <v>19</v>
      </c>
      <c r="E968" s="14">
        <v>112375</v>
      </c>
      <c r="F968" s="14">
        <v>15999066675</v>
      </c>
      <c r="G968" s="14">
        <v>517878600</v>
      </c>
      <c r="H968" s="28" t="s">
        <v>2743</v>
      </c>
      <c r="I968" s="28" t="s">
        <v>2743</v>
      </c>
      <c r="J968" s="3" t="s">
        <v>2744</v>
      </c>
      <c r="K968" s="15" t="s">
        <v>2742</v>
      </c>
      <c r="L968" s="25"/>
      <c r="N968" s="15" t="s">
        <v>2745</v>
      </c>
      <c r="O968" s="35" t="s">
        <v>2506</v>
      </c>
      <c r="P968" s="37" t="s">
        <v>25</v>
      </c>
    </row>
    <row r="969" spans="1:16">
      <c r="A969" s="14">
        <v>11235</v>
      </c>
      <c r="B969" s="14" t="s">
        <v>2746</v>
      </c>
      <c r="C969" s="3" t="s">
        <v>1220</v>
      </c>
      <c r="D969" s="4" t="s">
        <v>19</v>
      </c>
      <c r="E969" s="14">
        <v>112420</v>
      </c>
      <c r="F969" s="14">
        <v>16004175777</v>
      </c>
      <c r="G969" s="14">
        <v>517938460</v>
      </c>
      <c r="H969" s="28" t="s">
        <v>2747</v>
      </c>
      <c r="I969" s="28" t="s">
        <v>2747</v>
      </c>
      <c r="J969" s="3" t="s">
        <v>2748</v>
      </c>
      <c r="K969" s="15" t="s">
        <v>2746</v>
      </c>
      <c r="L969" s="25"/>
      <c r="N969" s="15" t="s">
        <v>2749</v>
      </c>
      <c r="O969" s="35" t="s">
        <v>2506</v>
      </c>
      <c r="P969" s="37" t="s">
        <v>25</v>
      </c>
    </row>
    <row r="970" spans="1:16">
      <c r="A970" s="14">
        <v>11236</v>
      </c>
      <c r="B970" s="14" t="s">
        <v>2750</v>
      </c>
      <c r="C970" s="3" t="s">
        <v>1220</v>
      </c>
      <c r="D970" s="4" t="s">
        <v>19</v>
      </c>
      <c r="E970" s="14">
        <v>112421</v>
      </c>
      <c r="F970" s="14">
        <v>16004177572</v>
      </c>
      <c r="G970" s="14">
        <v>517938463</v>
      </c>
      <c r="H970" s="28" t="s">
        <v>2751</v>
      </c>
      <c r="I970" s="28" t="s">
        <v>2751</v>
      </c>
      <c r="J970" s="3" t="s">
        <v>2752</v>
      </c>
      <c r="K970" s="15" t="s">
        <v>2750</v>
      </c>
      <c r="L970" s="25"/>
      <c r="N970" s="15" t="s">
        <v>2753</v>
      </c>
      <c r="O970" s="35" t="s">
        <v>2506</v>
      </c>
      <c r="P970" s="37" t="s">
        <v>25</v>
      </c>
    </row>
    <row r="971" spans="1:16">
      <c r="A971" s="14">
        <v>11237</v>
      </c>
      <c r="B971" s="14" t="s">
        <v>2754</v>
      </c>
      <c r="C971" s="3" t="s">
        <v>1220</v>
      </c>
      <c r="D971" s="4" t="s">
        <v>19</v>
      </c>
      <c r="E971" s="14">
        <v>112363</v>
      </c>
      <c r="F971" s="14">
        <v>15998698212</v>
      </c>
      <c r="G971" s="14">
        <v>517878608</v>
      </c>
      <c r="H971" s="28" t="s">
        <v>2755</v>
      </c>
      <c r="I971" s="28" t="s">
        <v>2755</v>
      </c>
      <c r="J971" s="3" t="s">
        <v>2756</v>
      </c>
      <c r="K971" s="15" t="s">
        <v>2754</v>
      </c>
      <c r="L971" s="25"/>
      <c r="N971" s="15" t="s">
        <v>2757</v>
      </c>
      <c r="O971" s="35" t="s">
        <v>2506</v>
      </c>
      <c r="P971" s="37" t="s">
        <v>25</v>
      </c>
    </row>
    <row r="972" spans="1:16">
      <c r="A972" s="14">
        <v>11238</v>
      </c>
      <c r="B972" s="14" t="s">
        <v>2758</v>
      </c>
      <c r="C972" s="3" t="s">
        <v>1220</v>
      </c>
      <c r="D972" s="4" t="s">
        <v>19</v>
      </c>
      <c r="E972" s="14">
        <v>112286</v>
      </c>
      <c r="F972" s="14">
        <v>15984650735</v>
      </c>
      <c r="G972" s="14">
        <v>517699206</v>
      </c>
      <c r="H972" s="28" t="s">
        <v>2759</v>
      </c>
      <c r="I972" s="28" t="s">
        <v>2759</v>
      </c>
      <c r="J972" s="3" t="s">
        <v>2760</v>
      </c>
      <c r="K972" s="15" t="s">
        <v>2758</v>
      </c>
      <c r="L972" s="25"/>
      <c r="N972" s="15" t="s">
        <v>2761</v>
      </c>
      <c r="O972" s="35" t="s">
        <v>2506</v>
      </c>
      <c r="P972" s="37" t="s">
        <v>25</v>
      </c>
    </row>
    <row r="973" spans="1:16">
      <c r="A973" s="14">
        <v>11239</v>
      </c>
      <c r="B973" s="14" t="s">
        <v>2762</v>
      </c>
      <c r="C973" s="3" t="s">
        <v>1220</v>
      </c>
      <c r="D973" s="4" t="s">
        <v>19</v>
      </c>
      <c r="E973" s="14">
        <v>112262</v>
      </c>
      <c r="F973" s="14">
        <v>15984585826</v>
      </c>
      <c r="G973" s="14">
        <v>517699210</v>
      </c>
      <c r="H973" s="28" t="s">
        <v>2763</v>
      </c>
      <c r="I973" s="28" t="s">
        <v>2763</v>
      </c>
      <c r="J973" s="3" t="s">
        <v>2764</v>
      </c>
      <c r="K973" s="15" t="s">
        <v>2762</v>
      </c>
      <c r="L973" s="25"/>
      <c r="N973" s="15" t="s">
        <v>2765</v>
      </c>
      <c r="O973" s="35" t="s">
        <v>2506</v>
      </c>
      <c r="P973" s="37" t="s">
        <v>25</v>
      </c>
    </row>
    <row r="974" spans="1:16">
      <c r="A974" s="14">
        <v>11240</v>
      </c>
      <c r="B974" s="14" t="s">
        <v>2766</v>
      </c>
      <c r="C974" s="3" t="s">
        <v>1220</v>
      </c>
      <c r="D974" s="4" t="s">
        <v>19</v>
      </c>
      <c r="E974" s="14">
        <v>112268</v>
      </c>
      <c r="F974" s="14">
        <v>15984607054</v>
      </c>
      <c r="G974" s="14">
        <v>517699200</v>
      </c>
      <c r="H974" s="28" t="s">
        <v>2767</v>
      </c>
      <c r="I974" s="28" t="s">
        <v>2767</v>
      </c>
      <c r="J974" s="3" t="s">
        <v>2768</v>
      </c>
      <c r="K974" s="15" t="s">
        <v>2766</v>
      </c>
      <c r="L974" s="25"/>
      <c r="N974" s="15" t="s">
        <v>2769</v>
      </c>
      <c r="O974" s="35" t="s">
        <v>2506</v>
      </c>
      <c r="P974" s="37" t="s">
        <v>25</v>
      </c>
    </row>
    <row r="975" spans="1:16">
      <c r="A975" s="14">
        <v>11241</v>
      </c>
      <c r="B975" s="14" t="s">
        <v>2770</v>
      </c>
      <c r="C975" s="3" t="s">
        <v>1220</v>
      </c>
      <c r="D975" s="4" t="s">
        <v>19</v>
      </c>
      <c r="E975" s="14">
        <v>112357</v>
      </c>
      <c r="F975" s="14">
        <v>15998598322</v>
      </c>
      <c r="G975" s="14">
        <v>517878589</v>
      </c>
      <c r="H975" s="28" t="s">
        <v>2771</v>
      </c>
      <c r="I975" s="28" t="s">
        <v>2771</v>
      </c>
      <c r="J975" s="3" t="s">
        <v>2772</v>
      </c>
      <c r="K975" s="15" t="s">
        <v>2770</v>
      </c>
      <c r="L975" s="25"/>
      <c r="N975" s="15" t="s">
        <v>2773</v>
      </c>
      <c r="O975" s="35" t="s">
        <v>2506</v>
      </c>
      <c r="P975" s="37" t="s">
        <v>25</v>
      </c>
    </row>
    <row r="976" spans="1:16">
      <c r="A976" s="14">
        <v>11242</v>
      </c>
      <c r="B976" s="14" t="s">
        <v>2774</v>
      </c>
      <c r="C976" s="3" t="s">
        <v>1220</v>
      </c>
      <c r="D976" s="4" t="s">
        <v>19</v>
      </c>
      <c r="E976" s="14">
        <v>112299</v>
      </c>
      <c r="F976" s="14">
        <v>15984667372</v>
      </c>
      <c r="G976" s="14">
        <v>517699248</v>
      </c>
      <c r="H976" s="28" t="s">
        <v>2775</v>
      </c>
      <c r="I976" s="28" t="s">
        <v>2775</v>
      </c>
      <c r="J976" s="3" t="s">
        <v>2776</v>
      </c>
      <c r="K976" s="15" t="s">
        <v>2774</v>
      </c>
      <c r="L976" s="25"/>
      <c r="N976" s="15" t="s">
        <v>2777</v>
      </c>
      <c r="O976" s="35" t="s">
        <v>2506</v>
      </c>
      <c r="P976" s="37" t="s">
        <v>25</v>
      </c>
    </row>
    <row r="977" spans="1:16">
      <c r="A977" s="14">
        <v>11243</v>
      </c>
      <c r="B977" s="14" t="s">
        <v>2778</v>
      </c>
      <c r="C977" s="3" t="s">
        <v>1220</v>
      </c>
      <c r="D977" s="4" t="s">
        <v>19</v>
      </c>
      <c r="E977" s="14">
        <v>112288</v>
      </c>
      <c r="F977" s="14">
        <v>15984652110</v>
      </c>
      <c r="G977" s="14">
        <v>517699201</v>
      </c>
      <c r="H977" s="28" t="s">
        <v>2779</v>
      </c>
      <c r="I977" s="28" t="s">
        <v>2779</v>
      </c>
      <c r="J977" s="3" t="s">
        <v>2780</v>
      </c>
      <c r="K977" s="15" t="s">
        <v>2778</v>
      </c>
      <c r="L977" s="25"/>
      <c r="N977" s="15" t="s">
        <v>2781</v>
      </c>
      <c r="O977" s="35" t="s">
        <v>2506</v>
      </c>
      <c r="P977" s="37" t="s">
        <v>25</v>
      </c>
    </row>
    <row r="978" spans="1:16">
      <c r="A978" s="14">
        <v>11244</v>
      </c>
      <c r="B978" s="14" t="s">
        <v>2782</v>
      </c>
      <c r="C978" s="3" t="s">
        <v>1220</v>
      </c>
      <c r="D978" s="4" t="s">
        <v>19</v>
      </c>
      <c r="E978" s="14">
        <v>112358</v>
      </c>
      <c r="F978" s="14">
        <v>15998598323</v>
      </c>
      <c r="G978" s="14">
        <v>517878564</v>
      </c>
      <c r="H978" s="28" t="s">
        <v>2783</v>
      </c>
      <c r="I978" s="28" t="s">
        <v>2783</v>
      </c>
      <c r="J978" s="3" t="s">
        <v>2784</v>
      </c>
      <c r="K978" s="15" t="s">
        <v>2782</v>
      </c>
      <c r="L978" s="25"/>
      <c r="N978" s="15" t="s">
        <v>2785</v>
      </c>
      <c r="O978" s="35" t="s">
        <v>2506</v>
      </c>
      <c r="P978" s="37" t="s">
        <v>25</v>
      </c>
    </row>
    <row r="979" spans="1:16">
      <c r="A979" s="14">
        <v>11245</v>
      </c>
      <c r="B979" s="14" t="s">
        <v>2786</v>
      </c>
      <c r="C979" s="3" t="s">
        <v>1220</v>
      </c>
      <c r="D979" s="4" t="s">
        <v>19</v>
      </c>
      <c r="E979" s="14">
        <v>112275</v>
      </c>
      <c r="F979" s="14">
        <v>15984619443</v>
      </c>
      <c r="G979" s="14">
        <v>517699219</v>
      </c>
      <c r="H979" s="28" t="s">
        <v>2787</v>
      </c>
      <c r="I979" s="28" t="s">
        <v>2787</v>
      </c>
      <c r="J979" s="3" t="s">
        <v>2788</v>
      </c>
      <c r="K979" s="15" t="s">
        <v>2786</v>
      </c>
      <c r="L979" s="25"/>
      <c r="N979" s="15" t="s">
        <v>2789</v>
      </c>
      <c r="O979" s="35" t="s">
        <v>2506</v>
      </c>
      <c r="P979" s="37" t="s">
        <v>25</v>
      </c>
    </row>
    <row r="980" spans="1:16">
      <c r="A980" s="14">
        <v>11246</v>
      </c>
      <c r="B980" s="14" t="s">
        <v>2790</v>
      </c>
      <c r="C980" s="3" t="s">
        <v>1220</v>
      </c>
      <c r="D980" s="4" t="s">
        <v>19</v>
      </c>
      <c r="E980" s="14">
        <v>112276</v>
      </c>
      <c r="F980" s="14">
        <v>15984621436</v>
      </c>
      <c r="G980" s="14">
        <v>517699227</v>
      </c>
      <c r="H980" s="28" t="s">
        <v>2791</v>
      </c>
      <c r="I980" s="28" t="s">
        <v>2791</v>
      </c>
      <c r="J980" s="3" t="s">
        <v>2792</v>
      </c>
      <c r="K980" s="15" t="s">
        <v>2790</v>
      </c>
      <c r="L980" s="25"/>
      <c r="N980" s="15" t="s">
        <v>2793</v>
      </c>
      <c r="O980" s="35" t="s">
        <v>2506</v>
      </c>
      <c r="P980" s="37" t="s">
        <v>25</v>
      </c>
    </row>
    <row r="981" spans="1:16">
      <c r="A981" s="14">
        <v>11247</v>
      </c>
      <c r="B981" s="14" t="s">
        <v>2794</v>
      </c>
      <c r="C981" s="3" t="s">
        <v>1220</v>
      </c>
      <c r="D981" s="4" t="s">
        <v>19</v>
      </c>
      <c r="E981" s="14">
        <v>112277</v>
      </c>
      <c r="F981" s="14">
        <v>15984623931</v>
      </c>
      <c r="G981" s="14">
        <v>517699271</v>
      </c>
      <c r="H981" s="28" t="s">
        <v>2795</v>
      </c>
      <c r="I981" s="28" t="s">
        <v>2795</v>
      </c>
      <c r="J981" s="3" t="s">
        <v>2796</v>
      </c>
      <c r="K981" s="15" t="s">
        <v>2794</v>
      </c>
      <c r="L981" s="25"/>
      <c r="N981" s="15" t="s">
        <v>2797</v>
      </c>
      <c r="O981" s="35" t="s">
        <v>2506</v>
      </c>
      <c r="P981" s="37" t="s">
        <v>25</v>
      </c>
    </row>
    <row r="982" spans="1:16">
      <c r="A982" s="14">
        <v>11248</v>
      </c>
      <c r="B982" s="14" t="s">
        <v>2798</v>
      </c>
      <c r="C982" s="3" t="s">
        <v>1220</v>
      </c>
      <c r="D982" s="4" t="s">
        <v>19</v>
      </c>
      <c r="E982" s="14">
        <v>112254</v>
      </c>
      <c r="F982" s="14">
        <v>15984515003</v>
      </c>
      <c r="G982" s="14">
        <v>517699245</v>
      </c>
      <c r="H982" s="28" t="s">
        <v>2799</v>
      </c>
      <c r="I982" s="28" t="s">
        <v>2799</v>
      </c>
      <c r="J982" s="3" t="s">
        <v>2800</v>
      </c>
      <c r="K982" s="15" t="s">
        <v>2798</v>
      </c>
      <c r="L982" s="25"/>
      <c r="N982" s="15" t="s">
        <v>2801</v>
      </c>
      <c r="O982" s="35" t="s">
        <v>2506</v>
      </c>
      <c r="P982" s="37" t="s">
        <v>25</v>
      </c>
    </row>
    <row r="983" spans="1:16">
      <c r="A983" s="14">
        <v>11249</v>
      </c>
      <c r="B983" s="14" t="s">
        <v>2802</v>
      </c>
      <c r="C983" s="3" t="s">
        <v>1220</v>
      </c>
      <c r="D983" s="4" t="s">
        <v>19</v>
      </c>
      <c r="E983" s="14">
        <v>112354</v>
      </c>
      <c r="F983" s="14">
        <v>15998584816</v>
      </c>
      <c r="G983" s="14">
        <v>517878577</v>
      </c>
      <c r="H983" s="28" t="s">
        <v>2803</v>
      </c>
      <c r="I983" s="28" t="s">
        <v>2803</v>
      </c>
      <c r="J983" s="3" t="s">
        <v>2804</v>
      </c>
      <c r="K983" s="15" t="s">
        <v>2802</v>
      </c>
      <c r="L983" s="25"/>
      <c r="N983" s="15" t="s">
        <v>2805</v>
      </c>
      <c r="O983" s="35" t="s">
        <v>2506</v>
      </c>
      <c r="P983" s="37" t="s">
        <v>25</v>
      </c>
    </row>
    <row r="984" spans="1:16">
      <c r="A984" s="14">
        <v>11250</v>
      </c>
      <c r="B984" s="14" t="s">
        <v>2806</v>
      </c>
      <c r="C984" s="3" t="s">
        <v>1220</v>
      </c>
      <c r="D984" s="4" t="s">
        <v>19</v>
      </c>
      <c r="E984" s="14">
        <v>112278</v>
      </c>
      <c r="F984" s="14">
        <v>15984627278</v>
      </c>
      <c r="G984" s="14">
        <v>517699170</v>
      </c>
      <c r="H984" s="28" t="s">
        <v>2807</v>
      </c>
      <c r="I984" s="28" t="s">
        <v>2807</v>
      </c>
      <c r="J984" s="3" t="s">
        <v>2808</v>
      </c>
      <c r="K984" s="15" t="s">
        <v>2806</v>
      </c>
      <c r="L984" s="25"/>
      <c r="N984" s="15" t="s">
        <v>2809</v>
      </c>
      <c r="O984" s="35" t="s">
        <v>2506</v>
      </c>
      <c r="P984" s="37" t="s">
        <v>25</v>
      </c>
    </row>
    <row r="985" spans="1:16">
      <c r="A985" s="14">
        <v>11251</v>
      </c>
      <c r="B985" s="14" t="s">
        <v>2810</v>
      </c>
      <c r="C985" s="3" t="s">
        <v>1220</v>
      </c>
      <c r="D985" s="4" t="s">
        <v>19</v>
      </c>
      <c r="E985" s="14">
        <v>112360</v>
      </c>
      <c r="F985" s="14">
        <v>15998644050</v>
      </c>
      <c r="G985" s="14">
        <v>517878578</v>
      </c>
      <c r="H985" s="28" t="s">
        <v>2811</v>
      </c>
      <c r="I985" s="28" t="s">
        <v>2811</v>
      </c>
      <c r="J985" s="3" t="s">
        <v>2812</v>
      </c>
      <c r="K985" s="15" t="s">
        <v>2810</v>
      </c>
      <c r="L985" s="25"/>
      <c r="N985" s="15" t="s">
        <v>2813</v>
      </c>
      <c r="O985" s="35" t="s">
        <v>2506</v>
      </c>
      <c r="P985" s="37" t="s">
        <v>25</v>
      </c>
    </row>
    <row r="986" spans="1:16">
      <c r="A986" s="14">
        <v>11252</v>
      </c>
      <c r="B986" s="14" t="s">
        <v>2814</v>
      </c>
      <c r="C986" s="3" t="s">
        <v>1220</v>
      </c>
      <c r="D986" s="4" t="s">
        <v>19</v>
      </c>
      <c r="E986" s="14">
        <v>112356</v>
      </c>
      <c r="F986" s="14">
        <v>15998585426</v>
      </c>
      <c r="G986" s="14">
        <v>517878599</v>
      </c>
      <c r="H986" s="28" t="s">
        <v>2815</v>
      </c>
      <c r="I986" s="28" t="s">
        <v>2815</v>
      </c>
      <c r="J986" s="3" t="s">
        <v>2816</v>
      </c>
      <c r="K986" s="15" t="s">
        <v>2814</v>
      </c>
      <c r="L986" s="25"/>
      <c r="N986" s="15" t="s">
        <v>2817</v>
      </c>
      <c r="O986" s="35" t="s">
        <v>2506</v>
      </c>
      <c r="P986" s="37" t="s">
        <v>25</v>
      </c>
    </row>
    <row r="987" spans="1:16">
      <c r="A987" s="14">
        <v>11253</v>
      </c>
      <c r="B987" s="14" t="s">
        <v>2818</v>
      </c>
      <c r="C987" s="3" t="s">
        <v>1220</v>
      </c>
      <c r="D987" s="4" t="s">
        <v>19</v>
      </c>
      <c r="E987" s="14">
        <v>112291</v>
      </c>
      <c r="F987" s="14">
        <v>15984660612</v>
      </c>
      <c r="G987" s="14">
        <v>517699217</v>
      </c>
      <c r="H987" s="28" t="s">
        <v>2819</v>
      </c>
      <c r="I987" s="28" t="s">
        <v>2819</v>
      </c>
      <c r="J987" s="3" t="s">
        <v>2820</v>
      </c>
      <c r="K987" s="15" t="s">
        <v>2818</v>
      </c>
      <c r="L987" s="25"/>
      <c r="N987" s="15" t="s">
        <v>2821</v>
      </c>
      <c r="O987" s="35" t="s">
        <v>2506</v>
      </c>
      <c r="P987" s="37" t="s">
        <v>25</v>
      </c>
    </row>
    <row r="988" spans="1:16">
      <c r="A988" s="14">
        <v>11254</v>
      </c>
      <c r="B988" s="14" t="s">
        <v>2822</v>
      </c>
      <c r="C988" s="3" t="s">
        <v>1220</v>
      </c>
      <c r="D988" s="4" t="s">
        <v>19</v>
      </c>
      <c r="E988" s="14">
        <v>112279</v>
      </c>
      <c r="F988" s="14">
        <v>15984633297</v>
      </c>
      <c r="G988" s="14">
        <v>517699193</v>
      </c>
      <c r="H988" s="28" t="s">
        <v>2823</v>
      </c>
      <c r="I988" s="28" t="s">
        <v>2823</v>
      </c>
      <c r="J988" s="3" t="s">
        <v>2824</v>
      </c>
      <c r="K988" s="15" t="s">
        <v>2822</v>
      </c>
      <c r="L988" s="25"/>
      <c r="N988" s="15" t="s">
        <v>2825</v>
      </c>
      <c r="O988" s="35" t="s">
        <v>2506</v>
      </c>
      <c r="P988" s="37" t="s">
        <v>25</v>
      </c>
    </row>
    <row r="989" spans="1:16">
      <c r="A989" s="14">
        <v>11255</v>
      </c>
      <c r="B989" s="14" t="s">
        <v>2826</v>
      </c>
      <c r="C989" s="3" t="s">
        <v>1220</v>
      </c>
      <c r="D989" s="4" t="s">
        <v>19</v>
      </c>
      <c r="E989" s="14">
        <v>112298</v>
      </c>
      <c r="F989" s="14">
        <v>15984666513</v>
      </c>
      <c r="G989" s="14">
        <v>517699177</v>
      </c>
      <c r="H989" s="28" t="s">
        <v>2827</v>
      </c>
      <c r="I989" s="28" t="s">
        <v>2827</v>
      </c>
      <c r="J989" s="3" t="s">
        <v>2828</v>
      </c>
      <c r="K989" s="15" t="s">
        <v>2826</v>
      </c>
      <c r="L989" s="25"/>
      <c r="N989" s="15" t="s">
        <v>2829</v>
      </c>
      <c r="O989" s="35" t="s">
        <v>2506</v>
      </c>
      <c r="P989" s="37" t="s">
        <v>25</v>
      </c>
    </row>
    <row r="990" spans="1:16">
      <c r="A990" s="14">
        <v>11256</v>
      </c>
      <c r="B990" s="14" t="s">
        <v>2830</v>
      </c>
      <c r="C990" s="3" t="s">
        <v>1220</v>
      </c>
      <c r="D990" s="4" t="s">
        <v>19</v>
      </c>
      <c r="E990" s="14">
        <v>112280</v>
      </c>
      <c r="F990" s="14">
        <v>15984633298</v>
      </c>
      <c r="G990" s="14">
        <v>517699264</v>
      </c>
      <c r="H990" s="28" t="s">
        <v>2831</v>
      </c>
      <c r="I990" s="28" t="s">
        <v>2831</v>
      </c>
      <c r="J990" s="3" t="s">
        <v>2832</v>
      </c>
      <c r="K990" s="15" t="s">
        <v>2830</v>
      </c>
      <c r="L990" s="25"/>
      <c r="N990" s="15" t="s">
        <v>2833</v>
      </c>
      <c r="O990" s="35" t="s">
        <v>2506</v>
      </c>
      <c r="P990" s="37" t="s">
        <v>25</v>
      </c>
    </row>
    <row r="991" spans="1:16">
      <c r="A991" s="14">
        <v>11257</v>
      </c>
      <c r="B991" s="14" t="s">
        <v>2834</v>
      </c>
      <c r="C991" s="3" t="s">
        <v>1220</v>
      </c>
      <c r="D991" s="4" t="s">
        <v>19</v>
      </c>
      <c r="E991" s="14">
        <v>112297</v>
      </c>
      <c r="F991" s="14">
        <v>15984666512</v>
      </c>
      <c r="G991" s="14">
        <v>517699276</v>
      </c>
      <c r="H991" s="28" t="s">
        <v>2835</v>
      </c>
      <c r="I991" s="28" t="s">
        <v>2835</v>
      </c>
      <c r="J991" s="3" t="s">
        <v>2836</v>
      </c>
      <c r="K991" s="15" t="s">
        <v>2834</v>
      </c>
      <c r="L991" s="25"/>
      <c r="N991" s="15" t="s">
        <v>2837</v>
      </c>
      <c r="O991" s="35" t="s">
        <v>2506</v>
      </c>
      <c r="P991" s="37" t="s">
        <v>25</v>
      </c>
    </row>
    <row r="992" spans="1:16">
      <c r="A992" s="14">
        <v>11258</v>
      </c>
      <c r="B992" s="14" t="s">
        <v>2838</v>
      </c>
      <c r="C992" s="3" t="s">
        <v>1220</v>
      </c>
      <c r="D992" s="4" t="s">
        <v>19</v>
      </c>
      <c r="E992" s="14">
        <v>112296</v>
      </c>
      <c r="F992" s="14">
        <v>15984665167</v>
      </c>
      <c r="G992" s="14">
        <v>517699185</v>
      </c>
      <c r="H992" s="28" t="s">
        <v>2839</v>
      </c>
      <c r="I992" s="28" t="s">
        <v>2839</v>
      </c>
      <c r="J992" s="3" t="s">
        <v>2840</v>
      </c>
      <c r="K992" s="15" t="s">
        <v>2838</v>
      </c>
      <c r="L992" s="25"/>
      <c r="N992" s="15" t="s">
        <v>2841</v>
      </c>
      <c r="O992" s="35" t="s">
        <v>2506</v>
      </c>
      <c r="P992" s="37" t="s">
        <v>25</v>
      </c>
    </row>
    <row r="993" spans="1:16">
      <c r="A993" s="14">
        <v>11259</v>
      </c>
      <c r="B993" s="14" t="s">
        <v>2842</v>
      </c>
      <c r="C993" s="3" t="s">
        <v>1220</v>
      </c>
      <c r="D993" s="4" t="s">
        <v>19</v>
      </c>
      <c r="E993" s="14">
        <v>112295</v>
      </c>
      <c r="F993" s="14">
        <v>15984662427</v>
      </c>
      <c r="G993" s="14">
        <v>517699259</v>
      </c>
      <c r="H993" s="28" t="s">
        <v>2843</v>
      </c>
      <c r="I993" s="28" t="s">
        <v>2843</v>
      </c>
      <c r="J993" s="3" t="s">
        <v>2844</v>
      </c>
      <c r="K993" s="15" t="s">
        <v>2842</v>
      </c>
      <c r="L993" s="25"/>
      <c r="N993" s="15" t="s">
        <v>2845</v>
      </c>
      <c r="O993" s="35" t="s">
        <v>2506</v>
      </c>
      <c r="P993" s="37" t="s">
        <v>25</v>
      </c>
    </row>
    <row r="994" spans="1:16" s="6" customFormat="1" ht="15.75" thickBot="1">
      <c r="A994" s="17">
        <v>11260</v>
      </c>
      <c r="B994" s="17" t="s">
        <v>2846</v>
      </c>
      <c r="C994" s="6" t="s">
        <v>1220</v>
      </c>
      <c r="D994" s="6" t="s">
        <v>19</v>
      </c>
      <c r="E994" s="17">
        <v>112263</v>
      </c>
      <c r="F994" s="17">
        <v>15984597476</v>
      </c>
      <c r="G994" s="17">
        <v>517699270</v>
      </c>
      <c r="H994" s="30" t="s">
        <v>2847</v>
      </c>
      <c r="I994" s="30" t="s">
        <v>2847</v>
      </c>
      <c r="J994" s="6" t="s">
        <v>2848</v>
      </c>
      <c r="K994" s="6" t="s">
        <v>2846</v>
      </c>
      <c r="L994" s="26"/>
      <c r="N994" s="6" t="s">
        <v>2849</v>
      </c>
      <c r="O994" s="35" t="s">
        <v>2506</v>
      </c>
      <c r="P994" s="37" t="s">
        <v>25</v>
      </c>
    </row>
    <row r="995" spans="1:16">
      <c r="A995" s="4"/>
      <c r="L995" s="25"/>
    </row>
    <row r="996" spans="1:16">
      <c r="L996" s="25"/>
    </row>
    <row r="997" spans="1:16">
      <c r="L997" s="25"/>
    </row>
    <row r="998" spans="1:16">
      <c r="L998" s="25"/>
    </row>
  </sheetData>
  <autoFilter ref="A1:AD998" xr:uid="{12F7412F-F54F-4723-81F0-1A31C503954B}"/>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CD6E-D554-41E9-B9AE-3C1E86D1A60E}">
  <dimension ref="A1:Q728"/>
  <sheetViews>
    <sheetView zoomScaleNormal="100" workbookViewId="0">
      <pane ySplit="1" topLeftCell="F43" activePane="bottomLeft" state="frozen"/>
      <selection pane="bottomLeft" activeCell="F43" sqref="F43"/>
      <selection activeCell="H1" sqref="H1"/>
    </sheetView>
  </sheetViews>
  <sheetFormatPr defaultColWidth="8.5703125" defaultRowHeight="15"/>
  <cols>
    <col min="1" max="1" width="12.85546875" style="3" bestFit="1" customWidth="1"/>
    <col min="2" max="2" width="31.42578125" style="3" customWidth="1"/>
    <col min="3" max="3" width="14.42578125" style="3" customWidth="1"/>
    <col min="4" max="4" width="16.85546875" style="3" customWidth="1"/>
    <col min="5" max="7" width="21.42578125" style="3" customWidth="1"/>
    <col min="8" max="8" width="28.85546875" style="8" customWidth="1"/>
    <col min="9" max="9" width="28.7109375" style="8" customWidth="1"/>
    <col min="10" max="10" width="21.5703125" style="3" customWidth="1"/>
    <col min="11" max="11" width="30.42578125" style="3" customWidth="1"/>
    <col min="12" max="12" width="35.42578125" style="36" customWidth="1"/>
    <col min="13" max="13" width="32.5703125" style="3" customWidth="1"/>
    <col min="14" max="14" width="23.85546875" style="3" customWidth="1"/>
    <col min="15" max="15" width="19" style="3" bestFit="1" customWidth="1"/>
    <col min="16" max="16" width="43.140625" style="3" customWidth="1"/>
    <col min="17" max="17" width="36.42578125" style="3" bestFit="1" customWidth="1"/>
    <col min="18" max="16384" width="8.5703125" style="3"/>
  </cols>
  <sheetData>
    <row r="1" spans="1:17" s="2" customFormat="1" ht="30">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2" t="s">
        <v>15</v>
      </c>
      <c r="Q1" s="2" t="s">
        <v>16</v>
      </c>
    </row>
    <row r="2" spans="1:17" s="4" customFormat="1">
      <c r="A2" s="14">
        <v>10401</v>
      </c>
      <c r="B2" s="13" t="s">
        <v>696</v>
      </c>
      <c r="C2" s="13" t="s">
        <v>691</v>
      </c>
      <c r="D2" s="13" t="s">
        <v>19</v>
      </c>
      <c r="E2" s="13">
        <v>113171</v>
      </c>
      <c r="F2" s="13">
        <v>16354099306</v>
      </c>
      <c r="G2" s="13">
        <v>521876205</v>
      </c>
      <c r="H2" s="10"/>
      <c r="I2" s="10"/>
      <c r="J2" s="4" t="s">
        <v>697</v>
      </c>
      <c r="K2" s="15" t="s">
        <v>698</v>
      </c>
      <c r="L2" s="24"/>
      <c r="M2" s="23" t="s">
        <v>699</v>
      </c>
      <c r="N2" s="15" t="s">
        <v>2850</v>
      </c>
      <c r="P2" s="37" t="s">
        <v>25</v>
      </c>
    </row>
    <row r="3" spans="1:17">
      <c r="A3" s="14">
        <v>10402</v>
      </c>
      <c r="B3" s="14" t="s">
        <v>726</v>
      </c>
      <c r="C3" s="14" t="s">
        <v>691</v>
      </c>
      <c r="D3" s="4" t="s">
        <v>19</v>
      </c>
      <c r="E3" s="14">
        <v>113170</v>
      </c>
      <c r="F3" s="14">
        <v>16354087548</v>
      </c>
      <c r="G3" s="14">
        <v>521876204</v>
      </c>
      <c r="J3" s="4" t="s">
        <v>727</v>
      </c>
      <c r="K3" s="15" t="s">
        <v>728</v>
      </c>
      <c r="L3" s="25"/>
      <c r="M3" s="20" t="s">
        <v>729</v>
      </c>
      <c r="N3" s="15" t="s">
        <v>2851</v>
      </c>
      <c r="P3" s="37" t="s">
        <v>25</v>
      </c>
    </row>
    <row r="4" spans="1:17">
      <c r="A4" s="14">
        <v>10403</v>
      </c>
      <c r="B4" s="14"/>
      <c r="C4" s="14" t="s">
        <v>689</v>
      </c>
      <c r="D4" s="14"/>
      <c r="E4" s="14"/>
      <c r="F4" s="14"/>
      <c r="G4" s="14"/>
      <c r="L4" s="25"/>
      <c r="M4" s="20"/>
    </row>
    <row r="5" spans="1:17">
      <c r="A5" s="14">
        <v>10404</v>
      </c>
      <c r="B5" s="14"/>
      <c r="C5" s="14" t="s">
        <v>689</v>
      </c>
      <c r="D5" s="14"/>
      <c r="E5" s="14"/>
      <c r="F5" s="14"/>
      <c r="G5" s="14"/>
      <c r="L5" s="25"/>
      <c r="M5" s="20"/>
    </row>
    <row r="6" spans="1:17">
      <c r="A6" s="14">
        <v>10405</v>
      </c>
      <c r="B6" s="14"/>
      <c r="C6" s="14" t="s">
        <v>689</v>
      </c>
      <c r="D6" s="14"/>
      <c r="E6" s="14"/>
      <c r="F6" s="14"/>
      <c r="G6" s="14"/>
      <c r="L6" s="25"/>
      <c r="M6" s="20"/>
    </row>
    <row r="7" spans="1:17">
      <c r="A7" s="14">
        <v>10406</v>
      </c>
      <c r="B7" s="14" t="s">
        <v>2852</v>
      </c>
      <c r="C7" s="14" t="s">
        <v>689</v>
      </c>
      <c r="D7" s="4" t="s">
        <v>19</v>
      </c>
      <c r="E7" s="14">
        <v>111974</v>
      </c>
      <c r="F7" s="14">
        <v>15836602686</v>
      </c>
      <c r="G7" s="14">
        <v>515581920</v>
      </c>
      <c r="J7" s="4" t="s">
        <v>2853</v>
      </c>
      <c r="K7" s="15" t="s">
        <v>2854</v>
      </c>
      <c r="L7" s="25"/>
      <c r="M7" s="20" t="s">
        <v>2855</v>
      </c>
      <c r="N7" s="15" t="s">
        <v>2856</v>
      </c>
      <c r="P7" s="37" t="s">
        <v>25</v>
      </c>
    </row>
    <row r="8" spans="1:17">
      <c r="A8" s="14">
        <v>10407</v>
      </c>
      <c r="B8" s="14"/>
      <c r="C8" s="14" t="s">
        <v>689</v>
      </c>
      <c r="D8" s="14"/>
      <c r="E8" s="14"/>
      <c r="F8" s="14"/>
      <c r="G8" s="14"/>
      <c r="L8" s="25"/>
      <c r="M8" s="20"/>
    </row>
    <row r="9" spans="1:17">
      <c r="A9" s="14">
        <v>10408</v>
      </c>
      <c r="B9" s="14"/>
      <c r="C9" s="14" t="s">
        <v>689</v>
      </c>
      <c r="D9" s="14"/>
      <c r="E9" s="14"/>
      <c r="F9" s="14"/>
      <c r="G9" s="14"/>
      <c r="L9" s="25"/>
      <c r="M9" s="20"/>
    </row>
    <row r="10" spans="1:17">
      <c r="A10" s="14">
        <v>10409</v>
      </c>
      <c r="B10" s="14"/>
      <c r="C10" s="14" t="s">
        <v>689</v>
      </c>
      <c r="D10" s="14"/>
      <c r="E10" s="14"/>
      <c r="F10" s="14"/>
      <c r="G10" s="14"/>
      <c r="L10" s="25"/>
      <c r="M10" s="20"/>
    </row>
    <row r="11" spans="1:17">
      <c r="A11" s="14">
        <v>10410</v>
      </c>
      <c r="B11" s="14"/>
      <c r="C11" s="14" t="s">
        <v>689</v>
      </c>
      <c r="D11" s="14"/>
      <c r="E11" s="14"/>
      <c r="F11" s="14"/>
      <c r="G11" s="14"/>
      <c r="L11" s="25"/>
      <c r="M11" s="20"/>
    </row>
    <row r="12" spans="1:17">
      <c r="A12" s="14">
        <v>10411</v>
      </c>
      <c r="B12" s="14" t="s">
        <v>820</v>
      </c>
      <c r="C12" s="14" t="s">
        <v>689</v>
      </c>
      <c r="D12" s="4" t="s">
        <v>19</v>
      </c>
      <c r="E12" s="14">
        <v>111975</v>
      </c>
      <c r="F12" s="14">
        <v>15836608730</v>
      </c>
      <c r="G12" s="14">
        <v>515581901</v>
      </c>
      <c r="J12" s="4" t="s">
        <v>821</v>
      </c>
      <c r="K12" s="15" t="s">
        <v>822</v>
      </c>
      <c r="L12" s="25"/>
      <c r="M12" s="20" t="s">
        <v>2857</v>
      </c>
      <c r="N12" s="15" t="s">
        <v>2858</v>
      </c>
      <c r="P12" s="37" t="s">
        <v>25</v>
      </c>
    </row>
    <row r="13" spans="1:17">
      <c r="A13" s="14">
        <v>10412</v>
      </c>
      <c r="B13" s="14"/>
      <c r="C13" s="14" t="s">
        <v>689</v>
      </c>
      <c r="D13" s="14"/>
      <c r="E13" s="14"/>
      <c r="F13" s="14"/>
      <c r="G13" s="14"/>
      <c r="L13" s="25"/>
      <c r="M13" s="20"/>
    </row>
    <row r="14" spans="1:17">
      <c r="A14" s="14">
        <v>10413</v>
      </c>
      <c r="B14" s="14"/>
      <c r="C14" s="14" t="s">
        <v>689</v>
      </c>
      <c r="D14" s="14"/>
      <c r="E14" s="14"/>
      <c r="F14" s="14"/>
      <c r="G14" s="14"/>
      <c r="L14" s="25"/>
      <c r="M14" s="20"/>
    </row>
    <row r="15" spans="1:17">
      <c r="A15" s="14">
        <v>10414</v>
      </c>
      <c r="B15" s="14"/>
      <c r="C15" s="14" t="s">
        <v>689</v>
      </c>
      <c r="D15" s="14"/>
      <c r="E15" s="14"/>
      <c r="F15" s="14"/>
      <c r="G15" s="14"/>
      <c r="L15" s="25"/>
      <c r="M15" s="20"/>
    </row>
    <row r="16" spans="1:17">
      <c r="A16" s="14">
        <v>10415</v>
      </c>
      <c r="B16" s="14"/>
      <c r="C16" s="14" t="s">
        <v>689</v>
      </c>
      <c r="D16" s="14"/>
      <c r="E16" s="14"/>
      <c r="F16" s="14"/>
      <c r="G16" s="14"/>
      <c r="L16" s="25"/>
      <c r="M16" s="20"/>
    </row>
    <row r="17" spans="1:16">
      <c r="A17" s="14">
        <v>10416</v>
      </c>
      <c r="B17" s="14"/>
      <c r="C17" s="14" t="s">
        <v>689</v>
      </c>
      <c r="D17" s="14"/>
      <c r="E17" s="14"/>
      <c r="F17" s="14"/>
      <c r="G17" s="14"/>
      <c r="L17" s="25"/>
      <c r="M17" s="20"/>
    </row>
    <row r="18" spans="1:16">
      <c r="A18" s="14">
        <v>10417</v>
      </c>
      <c r="B18" s="14" t="s">
        <v>838</v>
      </c>
      <c r="C18" s="14" t="s">
        <v>689</v>
      </c>
      <c r="D18" s="4" t="s">
        <v>19</v>
      </c>
      <c r="E18" s="14">
        <v>112551</v>
      </c>
      <c r="F18" s="14">
        <v>16106044260</v>
      </c>
      <c r="G18" s="14">
        <v>519562724</v>
      </c>
      <c r="J18" s="4" t="s">
        <v>2859</v>
      </c>
      <c r="K18" s="15" t="s">
        <v>840</v>
      </c>
      <c r="L18" s="25"/>
      <c r="M18" s="20" t="s">
        <v>2860</v>
      </c>
      <c r="N18" s="15" t="s">
        <v>2861</v>
      </c>
      <c r="P18" s="37" t="s">
        <v>25</v>
      </c>
    </row>
    <row r="19" spans="1:16">
      <c r="A19" s="14">
        <v>10418</v>
      </c>
      <c r="B19" s="14" t="s">
        <v>860</v>
      </c>
      <c r="C19" s="14" t="s">
        <v>689</v>
      </c>
      <c r="D19" s="4" t="s">
        <v>19</v>
      </c>
      <c r="E19" s="14">
        <v>112549</v>
      </c>
      <c r="F19" s="14">
        <v>16106021655</v>
      </c>
      <c r="G19" s="14">
        <v>519562723</v>
      </c>
      <c r="J19" s="4" t="s">
        <v>861</v>
      </c>
      <c r="K19" s="15" t="s">
        <v>862</v>
      </c>
      <c r="L19" s="25"/>
      <c r="M19" s="20" t="s">
        <v>2862</v>
      </c>
      <c r="N19" s="15" t="s">
        <v>2863</v>
      </c>
      <c r="P19" s="37" t="s">
        <v>25</v>
      </c>
    </row>
    <row r="20" spans="1:16">
      <c r="A20" s="14">
        <v>10419</v>
      </c>
      <c r="B20" s="14"/>
      <c r="C20" s="14" t="s">
        <v>689</v>
      </c>
      <c r="D20" s="14"/>
      <c r="E20" s="14"/>
      <c r="F20" s="14"/>
      <c r="G20" s="14"/>
      <c r="L20" s="25"/>
      <c r="M20" s="20"/>
    </row>
    <row r="21" spans="1:16">
      <c r="A21" s="14">
        <v>10420</v>
      </c>
      <c r="B21" s="14"/>
      <c r="C21" s="14" t="s">
        <v>689</v>
      </c>
      <c r="D21" s="14"/>
      <c r="E21" s="14"/>
      <c r="F21" s="14"/>
      <c r="G21" s="14"/>
      <c r="L21" s="25"/>
      <c r="M21" s="20"/>
    </row>
    <row r="22" spans="1:16">
      <c r="A22" s="14">
        <v>10421</v>
      </c>
      <c r="B22" s="14"/>
      <c r="C22" s="14" t="s">
        <v>689</v>
      </c>
      <c r="D22" s="14"/>
      <c r="E22" s="14"/>
      <c r="F22" s="14"/>
      <c r="G22" s="14"/>
      <c r="L22" s="25"/>
      <c r="M22" s="20"/>
    </row>
    <row r="23" spans="1:16">
      <c r="A23" s="14">
        <v>10422</v>
      </c>
      <c r="B23" s="14"/>
      <c r="C23" s="14" t="s">
        <v>689</v>
      </c>
      <c r="D23" s="14"/>
      <c r="E23" s="14"/>
      <c r="F23" s="14"/>
      <c r="G23" s="14"/>
      <c r="L23" s="25"/>
      <c r="M23" s="20"/>
    </row>
    <row r="24" spans="1:16">
      <c r="A24" s="14">
        <v>10423</v>
      </c>
      <c r="B24" s="14"/>
      <c r="C24" s="14" t="s">
        <v>689</v>
      </c>
      <c r="D24" s="14"/>
      <c r="E24" s="14"/>
      <c r="F24" s="14"/>
      <c r="G24" s="14"/>
      <c r="L24" s="25"/>
      <c r="M24" s="20"/>
    </row>
    <row r="25" spans="1:16">
      <c r="A25" s="14">
        <v>10424</v>
      </c>
      <c r="B25" s="14" t="s">
        <v>772</v>
      </c>
      <c r="C25" s="14" t="s">
        <v>689</v>
      </c>
      <c r="D25" s="4" t="s">
        <v>19</v>
      </c>
      <c r="E25" s="14">
        <v>109841</v>
      </c>
      <c r="F25" s="14">
        <v>14663826120</v>
      </c>
      <c r="G25" s="14">
        <v>500453464</v>
      </c>
      <c r="J25" s="4" t="s">
        <v>2864</v>
      </c>
      <c r="K25" s="15" t="s">
        <v>774</v>
      </c>
      <c r="L25" s="25"/>
      <c r="M25" s="20" t="s">
        <v>2865</v>
      </c>
      <c r="N25" s="15" t="s">
        <v>2866</v>
      </c>
      <c r="P25" s="37" t="s">
        <v>25</v>
      </c>
    </row>
    <row r="26" spans="1:16">
      <c r="A26" s="14">
        <v>10425</v>
      </c>
      <c r="B26" s="14" t="s">
        <v>2867</v>
      </c>
      <c r="C26" s="14" t="s">
        <v>689</v>
      </c>
      <c r="D26" s="4" t="s">
        <v>19</v>
      </c>
      <c r="E26" s="14">
        <v>111978</v>
      </c>
      <c r="F26" s="14">
        <v>15836622952</v>
      </c>
      <c r="G26" s="14">
        <v>515581914</v>
      </c>
      <c r="J26" s="4" t="s">
        <v>924</v>
      </c>
      <c r="K26" s="15" t="s">
        <v>2868</v>
      </c>
      <c r="L26" s="25"/>
      <c r="M26" s="20" t="s">
        <v>2869</v>
      </c>
      <c r="N26" s="15" t="s">
        <v>2870</v>
      </c>
      <c r="P26" s="37" t="s">
        <v>25</v>
      </c>
    </row>
    <row r="27" spans="1:16">
      <c r="A27" s="14">
        <v>10426</v>
      </c>
      <c r="B27" s="14"/>
      <c r="C27" s="14" t="s">
        <v>689</v>
      </c>
      <c r="D27" s="14"/>
      <c r="E27" s="14"/>
      <c r="F27" s="14"/>
      <c r="G27" s="14"/>
      <c r="L27" s="25"/>
      <c r="M27" s="20"/>
    </row>
    <row r="28" spans="1:16">
      <c r="A28" s="14">
        <v>10427</v>
      </c>
      <c r="B28" s="14"/>
      <c r="C28" s="14" t="s">
        <v>689</v>
      </c>
      <c r="D28" s="14"/>
      <c r="E28" s="14"/>
      <c r="F28" s="14"/>
      <c r="G28" s="14"/>
      <c r="L28" s="25"/>
      <c r="M28" s="20"/>
    </row>
    <row r="29" spans="1:16">
      <c r="A29" s="14">
        <v>10428</v>
      </c>
      <c r="B29" s="14"/>
      <c r="C29" s="14" t="s">
        <v>689</v>
      </c>
      <c r="D29" s="14"/>
      <c r="E29" s="14"/>
      <c r="F29" s="14"/>
      <c r="G29" s="14"/>
      <c r="L29" s="25"/>
      <c r="M29" s="20"/>
    </row>
    <row r="30" spans="1:16">
      <c r="A30" s="14">
        <v>10429</v>
      </c>
      <c r="B30" s="14"/>
      <c r="C30" s="14" t="s">
        <v>689</v>
      </c>
      <c r="D30" s="14"/>
      <c r="E30" s="14"/>
      <c r="F30" s="14"/>
      <c r="G30" s="14"/>
      <c r="L30" s="25"/>
      <c r="M30" s="20"/>
    </row>
    <row r="31" spans="1:16">
      <c r="A31" s="14">
        <v>10430</v>
      </c>
      <c r="B31" s="14" t="s">
        <v>132</v>
      </c>
      <c r="C31" s="14" t="s">
        <v>689</v>
      </c>
      <c r="D31" s="4" t="s">
        <v>19</v>
      </c>
      <c r="E31" s="14">
        <v>111976</v>
      </c>
      <c r="F31" s="14">
        <v>15836609091</v>
      </c>
      <c r="G31" s="14">
        <v>515581902</v>
      </c>
      <c r="J31" s="4" t="s">
        <v>2871</v>
      </c>
      <c r="K31" s="15" t="s">
        <v>2872</v>
      </c>
      <c r="L31" s="25"/>
      <c r="M31" s="20" t="s">
        <v>2873</v>
      </c>
      <c r="N31" s="15" t="s">
        <v>2874</v>
      </c>
      <c r="P31" s="37" t="s">
        <v>25</v>
      </c>
    </row>
    <row r="32" spans="1:16">
      <c r="A32" s="14">
        <v>10431</v>
      </c>
      <c r="B32" s="14" t="s">
        <v>754</v>
      </c>
      <c r="C32" s="14" t="s">
        <v>689</v>
      </c>
      <c r="D32" s="4" t="s">
        <v>19</v>
      </c>
      <c r="E32" s="14">
        <v>99303</v>
      </c>
      <c r="F32" s="14">
        <v>8319038138</v>
      </c>
      <c r="G32" s="14">
        <v>420272283</v>
      </c>
      <c r="J32" s="4" t="s">
        <v>755</v>
      </c>
      <c r="K32" s="15" t="s">
        <v>756</v>
      </c>
      <c r="L32" s="25"/>
      <c r="M32" s="20" t="s">
        <v>2875</v>
      </c>
      <c r="N32" s="15" t="s">
        <v>2876</v>
      </c>
      <c r="P32" s="37" t="s">
        <v>25</v>
      </c>
    </row>
    <row r="33" spans="1:16">
      <c r="A33" s="14">
        <v>10432</v>
      </c>
      <c r="B33" s="14"/>
      <c r="C33" s="14" t="s">
        <v>689</v>
      </c>
      <c r="D33" s="14"/>
      <c r="E33" s="14"/>
      <c r="F33" s="14"/>
      <c r="G33" s="14"/>
      <c r="L33" s="25"/>
      <c r="M33" s="20"/>
    </row>
    <row r="34" spans="1:16">
      <c r="A34" s="14">
        <v>10433</v>
      </c>
      <c r="B34" s="14"/>
      <c r="C34" s="14" t="s">
        <v>689</v>
      </c>
      <c r="D34" s="14"/>
      <c r="E34" s="14"/>
      <c r="F34" s="14"/>
      <c r="G34" s="14"/>
      <c r="L34" s="25"/>
      <c r="M34" s="20"/>
    </row>
    <row r="35" spans="1:16">
      <c r="A35" s="14">
        <v>10434</v>
      </c>
      <c r="B35" s="14"/>
      <c r="C35" s="14" t="s">
        <v>689</v>
      </c>
      <c r="D35" s="14"/>
      <c r="E35" s="14"/>
      <c r="F35" s="14"/>
      <c r="G35" s="14"/>
      <c r="L35" s="25"/>
      <c r="M35" s="20"/>
    </row>
    <row r="36" spans="1:16">
      <c r="A36" s="14">
        <v>10435</v>
      </c>
      <c r="B36" s="14"/>
      <c r="C36" s="14" t="s">
        <v>689</v>
      </c>
      <c r="D36" s="14"/>
      <c r="E36" s="14"/>
      <c r="F36" s="14"/>
      <c r="G36" s="14"/>
      <c r="L36" s="25"/>
      <c r="M36" s="20"/>
    </row>
    <row r="37" spans="1:16">
      <c r="A37" s="14">
        <v>10436</v>
      </c>
      <c r="B37" s="14"/>
      <c r="C37" s="14" t="s">
        <v>689</v>
      </c>
      <c r="D37" s="14"/>
      <c r="E37" s="14"/>
      <c r="F37" s="14"/>
      <c r="G37" s="14"/>
      <c r="L37" s="25"/>
      <c r="M37" s="20"/>
    </row>
    <row r="38" spans="1:16">
      <c r="A38" s="14">
        <v>10437</v>
      </c>
      <c r="B38" s="14" t="s">
        <v>871</v>
      </c>
      <c r="C38" s="14" t="s">
        <v>689</v>
      </c>
      <c r="D38" s="4" t="s">
        <v>19</v>
      </c>
      <c r="E38" s="14">
        <v>111987</v>
      </c>
      <c r="F38" s="14">
        <v>15836631635</v>
      </c>
      <c r="G38" s="14">
        <v>515581916</v>
      </c>
      <c r="J38" s="4" t="s">
        <v>872</v>
      </c>
      <c r="K38" s="15" t="s">
        <v>873</v>
      </c>
      <c r="L38" s="25"/>
      <c r="M38" s="20" t="s">
        <v>2877</v>
      </c>
      <c r="N38" s="15" t="s">
        <v>2878</v>
      </c>
      <c r="P38" s="37" t="s">
        <v>25</v>
      </c>
    </row>
    <row r="39" spans="1:16">
      <c r="A39" s="14">
        <v>10438</v>
      </c>
      <c r="B39" s="14" t="s">
        <v>2879</v>
      </c>
      <c r="C39" s="14" t="s">
        <v>689</v>
      </c>
      <c r="D39" s="4" t="s">
        <v>19</v>
      </c>
      <c r="E39" s="14">
        <v>111973</v>
      </c>
      <c r="F39" s="14">
        <v>15836593580</v>
      </c>
      <c r="G39" s="14">
        <v>515581899</v>
      </c>
      <c r="J39" s="4" t="s">
        <v>2880</v>
      </c>
      <c r="K39" s="15" t="s">
        <v>2881</v>
      </c>
      <c r="L39" s="25"/>
      <c r="M39" s="20" t="s">
        <v>2882</v>
      </c>
      <c r="N39" s="15" t="s">
        <v>2883</v>
      </c>
      <c r="P39" s="37" t="s">
        <v>25</v>
      </c>
    </row>
    <row r="40" spans="1:16">
      <c r="A40" s="14">
        <v>10439</v>
      </c>
      <c r="B40" s="14"/>
      <c r="C40" s="14" t="s">
        <v>689</v>
      </c>
      <c r="D40" s="14"/>
      <c r="E40" s="14"/>
      <c r="F40" s="14"/>
      <c r="G40" s="14"/>
      <c r="L40" s="25"/>
      <c r="M40" s="20"/>
    </row>
    <row r="41" spans="1:16">
      <c r="A41" s="14">
        <v>10440</v>
      </c>
      <c r="B41" s="14"/>
      <c r="C41" s="14" t="s">
        <v>689</v>
      </c>
      <c r="D41" s="14"/>
      <c r="E41" s="14"/>
      <c r="F41" s="14"/>
      <c r="G41" s="14"/>
      <c r="L41" s="25"/>
      <c r="M41" s="20"/>
    </row>
    <row r="42" spans="1:16">
      <c r="A42" s="14">
        <v>10441</v>
      </c>
      <c r="B42" s="14"/>
      <c r="C42" s="14" t="s">
        <v>689</v>
      </c>
      <c r="D42" s="14"/>
      <c r="E42" s="14"/>
      <c r="F42" s="14"/>
      <c r="G42" s="14"/>
      <c r="L42" s="25"/>
      <c r="M42" s="20"/>
    </row>
    <row r="43" spans="1:16">
      <c r="A43" s="14">
        <v>10442</v>
      </c>
      <c r="B43" s="14" t="s">
        <v>877</v>
      </c>
      <c r="C43" s="14" t="s">
        <v>689</v>
      </c>
      <c r="D43" s="4" t="s">
        <v>19</v>
      </c>
      <c r="E43" s="14">
        <v>111971</v>
      </c>
      <c r="F43" s="14">
        <v>15836548374</v>
      </c>
      <c r="G43" s="14">
        <v>515581911</v>
      </c>
      <c r="J43" s="4" t="s">
        <v>878</v>
      </c>
      <c r="K43" s="15" t="s">
        <v>879</v>
      </c>
      <c r="L43" s="25"/>
      <c r="M43" s="20" t="s">
        <v>2884</v>
      </c>
      <c r="N43" s="15" t="s">
        <v>2885</v>
      </c>
      <c r="P43" s="37" t="s">
        <v>25</v>
      </c>
    </row>
    <row r="44" spans="1:16">
      <c r="A44" s="14">
        <v>10443</v>
      </c>
      <c r="B44" s="14"/>
      <c r="C44" s="14" t="s">
        <v>689</v>
      </c>
      <c r="D44" s="14"/>
      <c r="E44" s="14"/>
      <c r="F44" s="14"/>
      <c r="G44" s="14"/>
      <c r="L44" s="25"/>
      <c r="M44" s="20"/>
    </row>
    <row r="45" spans="1:16">
      <c r="A45" s="14">
        <v>10444</v>
      </c>
      <c r="B45" s="14"/>
      <c r="C45" s="14" t="s">
        <v>689</v>
      </c>
      <c r="D45" s="14"/>
      <c r="E45" s="14"/>
      <c r="F45" s="14"/>
      <c r="G45" s="14"/>
      <c r="L45" s="25"/>
      <c r="M45" s="20"/>
    </row>
    <row r="46" spans="1:16">
      <c r="A46" s="14">
        <v>10445</v>
      </c>
      <c r="B46" s="14"/>
      <c r="C46" s="14" t="s">
        <v>689</v>
      </c>
      <c r="D46" s="14"/>
      <c r="E46" s="14"/>
      <c r="F46" s="14"/>
      <c r="G46" s="14"/>
      <c r="L46" s="25"/>
      <c r="M46" s="20"/>
    </row>
    <row r="47" spans="1:16">
      <c r="A47" s="14">
        <v>10446</v>
      </c>
      <c r="B47" s="14"/>
      <c r="C47" s="14" t="s">
        <v>689</v>
      </c>
      <c r="D47" s="14"/>
      <c r="E47" s="14"/>
      <c r="F47" s="14"/>
      <c r="G47" s="14"/>
      <c r="L47" s="25"/>
      <c r="M47" s="20"/>
    </row>
    <row r="48" spans="1:16">
      <c r="A48" s="14">
        <v>10447</v>
      </c>
      <c r="B48" s="14" t="s">
        <v>907</v>
      </c>
      <c r="C48" s="14" t="s">
        <v>689</v>
      </c>
      <c r="D48" s="4" t="s">
        <v>19</v>
      </c>
      <c r="E48" s="14">
        <v>111985</v>
      </c>
      <c r="F48" s="14">
        <v>15836630978</v>
      </c>
      <c r="G48" s="14">
        <v>515581908</v>
      </c>
      <c r="J48" s="4" t="s">
        <v>908</v>
      </c>
      <c r="K48" s="16" t="s">
        <v>909</v>
      </c>
      <c r="L48" s="25"/>
      <c r="M48" s="20" t="s">
        <v>911</v>
      </c>
      <c r="N48" s="15" t="s">
        <v>2886</v>
      </c>
      <c r="P48" s="37" t="s">
        <v>25</v>
      </c>
    </row>
    <row r="49" spans="1:16">
      <c r="A49" s="14">
        <v>10448</v>
      </c>
      <c r="B49" s="14"/>
      <c r="C49" s="14" t="s">
        <v>689</v>
      </c>
      <c r="D49" s="14"/>
      <c r="E49" s="14"/>
      <c r="F49" s="14"/>
      <c r="G49" s="14"/>
      <c r="L49" s="25"/>
      <c r="M49" s="20"/>
    </row>
    <row r="50" spans="1:16">
      <c r="A50" s="14">
        <v>10449</v>
      </c>
      <c r="B50" s="14"/>
      <c r="C50" s="14" t="s">
        <v>689</v>
      </c>
      <c r="D50" s="14"/>
      <c r="E50" s="14"/>
      <c r="F50" s="14"/>
      <c r="G50" s="14"/>
      <c r="L50" s="25"/>
      <c r="M50" s="20"/>
    </row>
    <row r="51" spans="1:16">
      <c r="A51" s="14">
        <v>10450</v>
      </c>
      <c r="B51" s="14"/>
      <c r="C51" s="14" t="s">
        <v>689</v>
      </c>
      <c r="D51" s="14"/>
      <c r="E51" s="14"/>
      <c r="F51" s="14"/>
      <c r="G51" s="14"/>
      <c r="L51" s="25"/>
      <c r="M51" s="20"/>
    </row>
    <row r="52" spans="1:16">
      <c r="A52" s="14">
        <v>10451</v>
      </c>
      <c r="B52" s="14" t="s">
        <v>951</v>
      </c>
      <c r="C52" s="14" t="s">
        <v>689</v>
      </c>
      <c r="D52" s="4" t="s">
        <v>19</v>
      </c>
      <c r="E52" s="14">
        <v>111968</v>
      </c>
      <c r="F52" s="14">
        <v>15836287183</v>
      </c>
      <c r="G52" s="14">
        <v>515581903</v>
      </c>
      <c r="J52" s="4" t="s">
        <v>952</v>
      </c>
      <c r="K52" s="15" t="s">
        <v>953</v>
      </c>
      <c r="L52" s="25"/>
      <c r="M52" s="20" t="s">
        <v>2887</v>
      </c>
      <c r="N52" s="15" t="s">
        <v>2888</v>
      </c>
      <c r="P52" s="37" t="s">
        <v>25</v>
      </c>
    </row>
    <row r="53" spans="1:16">
      <c r="A53" s="14">
        <v>10452</v>
      </c>
      <c r="B53" s="14" t="s">
        <v>957</v>
      </c>
      <c r="C53" s="14" t="s">
        <v>689</v>
      </c>
      <c r="D53" s="4" t="s">
        <v>19</v>
      </c>
      <c r="E53" s="14">
        <v>111967</v>
      </c>
      <c r="F53" s="14">
        <v>15836284916</v>
      </c>
      <c r="G53" s="14">
        <v>515581904</v>
      </c>
      <c r="J53" s="4" t="s">
        <v>958</v>
      </c>
      <c r="K53" s="15" t="s">
        <v>959</v>
      </c>
      <c r="L53" s="25"/>
      <c r="M53" s="20" t="s">
        <v>2889</v>
      </c>
      <c r="N53" s="15" t="s">
        <v>2890</v>
      </c>
      <c r="P53" s="37" t="s">
        <v>25</v>
      </c>
    </row>
    <row r="54" spans="1:16">
      <c r="A54" s="14">
        <v>10453</v>
      </c>
      <c r="B54" s="14"/>
      <c r="C54" s="14" t="s">
        <v>689</v>
      </c>
      <c r="D54" s="14"/>
      <c r="E54" s="14"/>
      <c r="F54" s="14"/>
      <c r="G54" s="14"/>
      <c r="L54" s="25"/>
      <c r="M54" s="20"/>
    </row>
    <row r="55" spans="1:16">
      <c r="A55" s="14">
        <v>10454</v>
      </c>
      <c r="B55" s="14"/>
      <c r="C55" s="14" t="s">
        <v>689</v>
      </c>
      <c r="D55" s="14"/>
      <c r="E55" s="14"/>
      <c r="F55" s="14"/>
      <c r="G55" s="14"/>
      <c r="L55" s="25"/>
      <c r="M55" s="20"/>
    </row>
    <row r="56" spans="1:16">
      <c r="A56" s="14">
        <v>10455</v>
      </c>
      <c r="B56" s="14"/>
      <c r="C56" s="14" t="s">
        <v>689</v>
      </c>
      <c r="D56" s="14"/>
      <c r="E56" s="14"/>
      <c r="F56" s="14"/>
      <c r="G56" s="14"/>
      <c r="L56" s="25"/>
      <c r="M56" s="20"/>
    </row>
    <row r="57" spans="1:16">
      <c r="A57" s="14">
        <v>10456</v>
      </c>
      <c r="B57" s="14"/>
      <c r="C57" s="14" t="s">
        <v>689</v>
      </c>
      <c r="D57" s="14"/>
      <c r="E57" s="14"/>
      <c r="F57" s="14"/>
      <c r="G57" s="14"/>
      <c r="L57" s="25"/>
      <c r="M57" s="20"/>
    </row>
    <row r="58" spans="1:16">
      <c r="A58" s="14">
        <v>10457</v>
      </c>
      <c r="B58" s="14" t="s">
        <v>2891</v>
      </c>
      <c r="C58" s="14" t="s">
        <v>689</v>
      </c>
      <c r="D58" s="4" t="s">
        <v>19</v>
      </c>
      <c r="E58" s="14">
        <v>111969</v>
      </c>
      <c r="F58" s="14">
        <v>15836548372</v>
      </c>
      <c r="G58" s="14">
        <v>515581907</v>
      </c>
      <c r="J58" s="4" t="s">
        <v>1029</v>
      </c>
      <c r="K58" s="15" t="s">
        <v>2892</v>
      </c>
      <c r="L58" s="25"/>
      <c r="M58" s="20" t="s">
        <v>2893</v>
      </c>
      <c r="N58" s="15" t="s">
        <v>2894</v>
      </c>
      <c r="P58" s="37" t="s">
        <v>25</v>
      </c>
    </row>
    <row r="59" spans="1:16">
      <c r="A59" s="14">
        <v>10458</v>
      </c>
      <c r="B59" s="14"/>
      <c r="C59" s="14" t="s">
        <v>689</v>
      </c>
      <c r="D59" s="14"/>
      <c r="E59" s="14"/>
      <c r="F59" s="14"/>
      <c r="G59" s="14"/>
      <c r="L59" s="25"/>
      <c r="M59" s="20"/>
    </row>
    <row r="60" spans="1:16">
      <c r="A60" s="14">
        <v>10459</v>
      </c>
      <c r="B60" s="14"/>
      <c r="C60" s="14" t="s">
        <v>689</v>
      </c>
      <c r="D60" s="14"/>
      <c r="E60" s="14"/>
      <c r="F60" s="14"/>
      <c r="G60" s="14"/>
      <c r="L60" s="25"/>
      <c r="M60" s="20"/>
    </row>
    <row r="61" spans="1:16">
      <c r="A61" s="14">
        <v>10460</v>
      </c>
      <c r="B61" s="14" t="s">
        <v>1022</v>
      </c>
      <c r="C61" s="14" t="s">
        <v>689</v>
      </c>
      <c r="D61" s="4" t="s">
        <v>19</v>
      </c>
      <c r="E61" s="14">
        <v>111966</v>
      </c>
      <c r="F61" s="14">
        <v>15836283923</v>
      </c>
      <c r="G61" s="14">
        <v>515581906</v>
      </c>
      <c r="J61" s="4" t="s">
        <v>1023</v>
      </c>
      <c r="K61" s="15" t="s">
        <v>1024</v>
      </c>
      <c r="L61" s="25"/>
      <c r="M61" s="20" t="s">
        <v>2895</v>
      </c>
      <c r="N61" s="15" t="s">
        <v>2896</v>
      </c>
      <c r="P61" s="37" t="s">
        <v>25</v>
      </c>
    </row>
    <row r="62" spans="1:16">
      <c r="A62" s="14">
        <v>10461</v>
      </c>
      <c r="B62" s="14"/>
      <c r="C62" s="14" t="s">
        <v>689</v>
      </c>
      <c r="D62" s="14"/>
      <c r="E62" s="14"/>
      <c r="F62" s="14"/>
      <c r="G62" s="14"/>
      <c r="L62" s="25"/>
      <c r="M62" s="20"/>
    </row>
    <row r="63" spans="1:16">
      <c r="A63" s="14">
        <v>10462</v>
      </c>
      <c r="B63" s="14"/>
      <c r="C63" s="14" t="s">
        <v>689</v>
      </c>
      <c r="D63" s="14"/>
      <c r="E63" s="14"/>
      <c r="F63" s="14"/>
      <c r="G63" s="14"/>
      <c r="L63" s="25"/>
      <c r="M63" s="20"/>
    </row>
    <row r="64" spans="1:16">
      <c r="A64" s="14">
        <v>10463</v>
      </c>
      <c r="B64" s="14"/>
      <c r="C64" s="14" t="s">
        <v>689</v>
      </c>
      <c r="D64" s="14"/>
      <c r="E64" s="14"/>
      <c r="F64" s="14"/>
      <c r="G64" s="14"/>
      <c r="L64" s="25"/>
      <c r="M64" s="20"/>
    </row>
    <row r="65" spans="1:16">
      <c r="A65" s="14">
        <v>10464</v>
      </c>
      <c r="B65" s="14" t="s">
        <v>999</v>
      </c>
      <c r="C65" s="14" t="s">
        <v>689</v>
      </c>
      <c r="D65" s="4" t="s">
        <v>19</v>
      </c>
      <c r="E65" s="14">
        <v>111984</v>
      </c>
      <c r="F65" s="14">
        <v>15836630433</v>
      </c>
      <c r="G65" s="14">
        <v>515581909</v>
      </c>
      <c r="J65" s="4" t="s">
        <v>1000</v>
      </c>
      <c r="K65" s="15" t="s">
        <v>1001</v>
      </c>
      <c r="L65" s="25"/>
      <c r="M65" s="20" t="s">
        <v>2897</v>
      </c>
      <c r="N65" s="15" t="s">
        <v>2898</v>
      </c>
      <c r="P65" s="37" t="s">
        <v>25</v>
      </c>
    </row>
    <row r="66" spans="1:16">
      <c r="A66" s="14">
        <v>10465</v>
      </c>
      <c r="B66" s="14"/>
      <c r="C66" s="14" t="s">
        <v>689</v>
      </c>
      <c r="D66" s="14"/>
      <c r="E66" s="14"/>
      <c r="F66" s="14"/>
      <c r="G66" s="14"/>
      <c r="L66" s="25"/>
      <c r="M66" s="20"/>
    </row>
    <row r="67" spans="1:16">
      <c r="A67" s="14">
        <v>10466</v>
      </c>
      <c r="B67" s="14"/>
      <c r="C67" s="14" t="s">
        <v>689</v>
      </c>
      <c r="D67" s="14"/>
      <c r="E67" s="14"/>
      <c r="F67" s="14"/>
      <c r="G67" s="14"/>
      <c r="L67" s="25"/>
      <c r="M67" s="20"/>
    </row>
    <row r="68" spans="1:16">
      <c r="A68" s="14">
        <v>10467</v>
      </c>
      <c r="B68" s="14"/>
      <c r="C68" s="14" t="s">
        <v>689</v>
      </c>
      <c r="D68" s="14"/>
      <c r="E68" s="14"/>
      <c r="F68" s="14"/>
      <c r="G68" s="14"/>
      <c r="L68" s="25"/>
      <c r="M68" s="20"/>
    </row>
    <row r="69" spans="1:16">
      <c r="A69" s="14">
        <v>10468</v>
      </c>
      <c r="B69" s="14" t="s">
        <v>1040</v>
      </c>
      <c r="C69" s="14" t="s">
        <v>689</v>
      </c>
      <c r="D69" s="4" t="s">
        <v>19</v>
      </c>
      <c r="E69" s="14">
        <v>111970</v>
      </c>
      <c r="F69" s="14">
        <v>15836548373</v>
      </c>
      <c r="G69" s="14">
        <v>515581912</v>
      </c>
      <c r="J69" s="4" t="s">
        <v>1041</v>
      </c>
      <c r="K69" s="15" t="s">
        <v>1042</v>
      </c>
      <c r="L69" s="25"/>
      <c r="M69" s="20" t="s">
        <v>2899</v>
      </c>
      <c r="N69" s="15" t="s">
        <v>2900</v>
      </c>
      <c r="P69" s="37" t="s">
        <v>25</v>
      </c>
    </row>
    <row r="70" spans="1:16">
      <c r="A70" s="14">
        <v>10469</v>
      </c>
      <c r="B70" s="14"/>
      <c r="C70" s="14" t="s">
        <v>689</v>
      </c>
      <c r="D70" s="14"/>
      <c r="E70" s="14"/>
      <c r="F70" s="14"/>
      <c r="G70" s="14"/>
      <c r="L70" s="25"/>
      <c r="M70" s="20"/>
    </row>
    <row r="71" spans="1:16">
      <c r="A71" s="14">
        <v>10470</v>
      </c>
      <c r="B71" s="14"/>
      <c r="C71" s="14" t="s">
        <v>689</v>
      </c>
      <c r="D71" s="14"/>
      <c r="E71" s="14"/>
      <c r="F71" s="14"/>
      <c r="G71" s="14"/>
      <c r="L71" s="25"/>
      <c r="M71" s="20"/>
    </row>
    <row r="72" spans="1:16">
      <c r="A72" s="14">
        <v>10471</v>
      </c>
      <c r="B72" s="14"/>
      <c r="C72" s="14" t="s">
        <v>689</v>
      </c>
      <c r="D72" s="14"/>
      <c r="E72" s="14"/>
      <c r="F72" s="14"/>
      <c r="G72" s="14"/>
      <c r="L72" s="25"/>
      <c r="M72" s="20"/>
    </row>
    <row r="73" spans="1:16">
      <c r="A73" s="14">
        <v>10472</v>
      </c>
      <c r="B73" s="14"/>
      <c r="C73" s="14" t="s">
        <v>689</v>
      </c>
      <c r="D73" s="14"/>
      <c r="E73" s="14"/>
      <c r="F73" s="14"/>
      <c r="G73" s="14"/>
      <c r="L73" s="25"/>
      <c r="M73" s="20"/>
    </row>
    <row r="74" spans="1:16">
      <c r="A74" s="14">
        <v>10473</v>
      </c>
      <c r="B74" s="14"/>
      <c r="C74" s="14" t="s">
        <v>689</v>
      </c>
      <c r="D74" s="14"/>
      <c r="E74" s="14"/>
      <c r="F74" s="14"/>
      <c r="G74" s="14"/>
      <c r="L74" s="25"/>
      <c r="M74" s="20"/>
    </row>
    <row r="75" spans="1:16">
      <c r="A75" s="14">
        <v>10474</v>
      </c>
      <c r="B75" s="14"/>
      <c r="C75" s="14" t="s">
        <v>689</v>
      </c>
      <c r="D75" s="14"/>
      <c r="E75" s="14"/>
      <c r="F75" s="14"/>
      <c r="G75" s="14"/>
      <c r="L75" s="25"/>
      <c r="M75" s="20"/>
    </row>
    <row r="76" spans="1:16">
      <c r="A76" s="14">
        <v>10475</v>
      </c>
      <c r="B76" s="14"/>
      <c r="C76" s="14" t="s">
        <v>689</v>
      </c>
      <c r="D76" s="14"/>
      <c r="E76" s="14"/>
      <c r="F76" s="14"/>
      <c r="G76" s="14"/>
      <c r="L76" s="25"/>
      <c r="M76" s="20"/>
    </row>
    <row r="77" spans="1:16">
      <c r="A77" s="14">
        <v>10476</v>
      </c>
      <c r="B77" s="14"/>
      <c r="C77" s="14" t="s">
        <v>689</v>
      </c>
      <c r="D77" s="14"/>
      <c r="E77" s="14"/>
      <c r="F77" s="14"/>
      <c r="G77" s="14"/>
      <c r="L77" s="25"/>
      <c r="M77" s="20"/>
    </row>
    <row r="78" spans="1:16">
      <c r="A78" s="14">
        <v>10477</v>
      </c>
      <c r="B78" s="14"/>
      <c r="C78" s="14" t="s">
        <v>689</v>
      </c>
      <c r="D78" s="14"/>
      <c r="E78" s="14"/>
      <c r="F78" s="14"/>
      <c r="G78" s="14"/>
      <c r="L78" s="25"/>
      <c r="M78" s="20"/>
    </row>
    <row r="79" spans="1:16">
      <c r="A79" s="14">
        <v>10478</v>
      </c>
      <c r="B79" s="14"/>
      <c r="C79" s="14" t="s">
        <v>689</v>
      </c>
      <c r="D79" s="14"/>
      <c r="E79" s="14"/>
      <c r="F79" s="14"/>
      <c r="G79" s="14"/>
      <c r="L79" s="25"/>
      <c r="M79" s="20"/>
    </row>
    <row r="80" spans="1:16">
      <c r="A80" s="14">
        <v>10479</v>
      </c>
      <c r="B80" s="14"/>
      <c r="C80" s="14" t="s">
        <v>689</v>
      </c>
      <c r="D80" s="14"/>
      <c r="E80" s="14"/>
      <c r="F80" s="14"/>
      <c r="G80" s="14"/>
      <c r="L80" s="25"/>
      <c r="M80" s="20"/>
    </row>
    <row r="81" spans="1:16">
      <c r="A81" s="14">
        <v>10480</v>
      </c>
      <c r="B81" s="14"/>
      <c r="C81" s="14" t="s">
        <v>689</v>
      </c>
      <c r="D81" s="14"/>
      <c r="E81" s="14"/>
      <c r="F81" s="14"/>
      <c r="G81" s="14"/>
      <c r="L81" s="25"/>
      <c r="M81" s="20"/>
    </row>
    <row r="82" spans="1:16">
      <c r="A82" s="14">
        <v>10481</v>
      </c>
      <c r="B82" s="14"/>
      <c r="C82" s="14" t="s">
        <v>689</v>
      </c>
      <c r="D82" s="14"/>
      <c r="E82" s="14"/>
      <c r="F82" s="14"/>
      <c r="G82" s="14"/>
      <c r="L82" s="25"/>
      <c r="M82" s="20"/>
    </row>
    <row r="83" spans="1:16">
      <c r="A83" s="14">
        <v>10482</v>
      </c>
      <c r="B83" s="14"/>
      <c r="C83" s="14" t="s">
        <v>689</v>
      </c>
      <c r="D83" s="14"/>
      <c r="E83" s="14"/>
      <c r="F83" s="14"/>
      <c r="G83" s="14"/>
      <c r="L83" s="25"/>
      <c r="M83" s="20"/>
    </row>
    <row r="84" spans="1:16">
      <c r="A84" s="14">
        <v>10483</v>
      </c>
      <c r="B84" s="14" t="s">
        <v>1148</v>
      </c>
      <c r="C84" s="14" t="s">
        <v>689</v>
      </c>
      <c r="D84" s="4" t="s">
        <v>19</v>
      </c>
      <c r="E84" s="14">
        <v>109826</v>
      </c>
      <c r="F84" s="14">
        <v>14663760666</v>
      </c>
      <c r="G84" s="14">
        <v>500453478</v>
      </c>
      <c r="J84" s="4" t="s">
        <v>1149</v>
      </c>
      <c r="K84" s="15" t="s">
        <v>1150</v>
      </c>
      <c r="L84" s="25"/>
      <c r="M84" s="20" t="s">
        <v>2901</v>
      </c>
      <c r="N84" s="15" t="s">
        <v>2902</v>
      </c>
      <c r="P84" s="37" t="s">
        <v>25</v>
      </c>
    </row>
    <row r="85" spans="1:16">
      <c r="A85" s="14">
        <v>10484</v>
      </c>
      <c r="B85" s="14"/>
      <c r="C85" s="14" t="s">
        <v>689</v>
      </c>
      <c r="D85" s="14"/>
      <c r="E85" s="14"/>
      <c r="F85" s="14"/>
      <c r="G85" s="14"/>
      <c r="L85" s="25"/>
      <c r="M85" s="20"/>
    </row>
    <row r="86" spans="1:16">
      <c r="A86" s="14">
        <v>10485</v>
      </c>
      <c r="B86" s="14"/>
      <c r="C86" s="14" t="s">
        <v>689</v>
      </c>
      <c r="D86" s="14"/>
      <c r="E86" s="14"/>
      <c r="F86" s="14"/>
      <c r="G86" s="14"/>
      <c r="L86" s="25"/>
      <c r="M86" s="20"/>
    </row>
    <row r="87" spans="1:16">
      <c r="A87" s="14">
        <v>10486</v>
      </c>
      <c r="B87" s="14"/>
      <c r="C87" s="14" t="s">
        <v>689</v>
      </c>
      <c r="D87" s="14"/>
      <c r="E87" s="14"/>
      <c r="F87" s="14"/>
      <c r="G87" s="14"/>
      <c r="L87" s="25"/>
      <c r="M87" s="20"/>
    </row>
    <row r="88" spans="1:16">
      <c r="A88" s="14">
        <v>10487</v>
      </c>
      <c r="B88" s="14" t="s">
        <v>1154</v>
      </c>
      <c r="C88" s="14" t="s">
        <v>689</v>
      </c>
      <c r="D88" s="4" t="s">
        <v>19</v>
      </c>
      <c r="E88" s="14">
        <v>109827</v>
      </c>
      <c r="F88" s="14">
        <v>14663760667</v>
      </c>
      <c r="G88" s="14">
        <v>500453483</v>
      </c>
      <c r="J88" s="4" t="s">
        <v>1155</v>
      </c>
      <c r="K88" s="15" t="s">
        <v>1156</v>
      </c>
      <c r="L88" s="25"/>
      <c r="M88" s="20" t="s">
        <v>2903</v>
      </c>
      <c r="N88" s="15" t="s">
        <v>2904</v>
      </c>
      <c r="P88" s="37" t="s">
        <v>25</v>
      </c>
    </row>
    <row r="89" spans="1:16">
      <c r="A89" s="14">
        <v>10488</v>
      </c>
      <c r="B89" s="14"/>
      <c r="C89" s="14" t="s">
        <v>689</v>
      </c>
      <c r="D89" s="14"/>
      <c r="E89" s="14"/>
      <c r="F89" s="14"/>
      <c r="G89" s="14"/>
      <c r="L89" s="25"/>
      <c r="M89" s="20"/>
    </row>
    <row r="90" spans="1:16">
      <c r="A90" s="14">
        <v>10489</v>
      </c>
      <c r="B90" s="14"/>
      <c r="C90" s="14" t="s">
        <v>689</v>
      </c>
      <c r="D90" s="14"/>
      <c r="E90" s="14"/>
      <c r="F90" s="14"/>
      <c r="G90" s="14"/>
      <c r="L90" s="25"/>
      <c r="M90" s="20"/>
    </row>
    <row r="91" spans="1:16">
      <c r="A91" s="14">
        <v>10490</v>
      </c>
      <c r="B91" s="14"/>
      <c r="C91" s="14" t="s">
        <v>689</v>
      </c>
      <c r="D91" s="14"/>
      <c r="E91" s="14"/>
      <c r="F91" s="14"/>
      <c r="G91" s="14"/>
      <c r="L91" s="25"/>
      <c r="M91" s="20"/>
    </row>
    <row r="92" spans="1:16">
      <c r="A92" s="14">
        <v>10491</v>
      </c>
      <c r="B92" s="14" t="s">
        <v>1184</v>
      </c>
      <c r="C92" s="14" t="s">
        <v>689</v>
      </c>
      <c r="D92" s="4" t="s">
        <v>19</v>
      </c>
      <c r="E92" s="14">
        <v>109829</v>
      </c>
      <c r="F92" s="14">
        <v>14663760669</v>
      </c>
      <c r="G92" s="14">
        <v>500453479</v>
      </c>
      <c r="J92" s="4" t="s">
        <v>1185</v>
      </c>
      <c r="K92" s="15" t="s">
        <v>1186</v>
      </c>
      <c r="L92" s="25"/>
      <c r="M92" s="20" t="s">
        <v>2905</v>
      </c>
      <c r="N92" s="15" t="s">
        <v>2906</v>
      </c>
      <c r="P92" s="37" t="s">
        <v>25</v>
      </c>
    </row>
    <row r="93" spans="1:16">
      <c r="A93" s="14">
        <v>10492</v>
      </c>
      <c r="B93" s="14"/>
      <c r="C93" s="14" t="s">
        <v>689</v>
      </c>
      <c r="D93" s="14"/>
      <c r="E93" s="14"/>
      <c r="F93" s="14"/>
      <c r="G93" s="14"/>
      <c r="L93" s="25"/>
      <c r="M93" s="20"/>
    </row>
    <row r="94" spans="1:16">
      <c r="A94" s="14">
        <v>10493</v>
      </c>
      <c r="B94" s="14"/>
      <c r="C94" s="14" t="s">
        <v>689</v>
      </c>
      <c r="D94" s="14"/>
      <c r="E94" s="14"/>
      <c r="F94" s="14"/>
      <c r="G94" s="14"/>
      <c r="L94" s="25"/>
      <c r="M94" s="20"/>
    </row>
    <row r="95" spans="1:16">
      <c r="A95" s="14">
        <v>10494</v>
      </c>
      <c r="B95" s="14" t="s">
        <v>1190</v>
      </c>
      <c r="C95" s="14" t="s">
        <v>689</v>
      </c>
      <c r="D95" s="4" t="s">
        <v>19</v>
      </c>
      <c r="E95" s="14">
        <v>109834</v>
      </c>
      <c r="F95" s="14">
        <v>14663802428</v>
      </c>
      <c r="G95" s="14">
        <v>500453488</v>
      </c>
      <c r="J95" s="4" t="s">
        <v>1191</v>
      </c>
      <c r="K95" s="15" t="s">
        <v>1192</v>
      </c>
      <c r="L95" s="25"/>
      <c r="M95" s="20" t="s">
        <v>2907</v>
      </c>
      <c r="N95" s="15" t="s">
        <v>2908</v>
      </c>
      <c r="P95" s="37" t="s">
        <v>25</v>
      </c>
    </row>
    <row r="96" spans="1:16">
      <c r="A96" s="14">
        <v>10495</v>
      </c>
      <c r="B96" s="14" t="s">
        <v>1130</v>
      </c>
      <c r="C96" s="14" t="s">
        <v>689</v>
      </c>
      <c r="D96" s="4" t="s">
        <v>19</v>
      </c>
      <c r="E96" s="14">
        <v>109833</v>
      </c>
      <c r="F96" s="14">
        <v>14663800817</v>
      </c>
      <c r="G96" s="14">
        <v>500453473</v>
      </c>
      <c r="J96" s="3" t="s">
        <v>1131</v>
      </c>
      <c r="K96" s="15" t="s">
        <v>1132</v>
      </c>
      <c r="L96" s="25"/>
      <c r="M96" s="20" t="s">
        <v>2909</v>
      </c>
      <c r="N96" s="15" t="s">
        <v>2910</v>
      </c>
      <c r="P96" s="37" t="s">
        <v>25</v>
      </c>
    </row>
    <row r="97" spans="1:16" s="4" customFormat="1">
      <c r="A97" s="14">
        <v>10496</v>
      </c>
      <c r="B97" s="13"/>
      <c r="C97" s="40" t="s">
        <v>689</v>
      </c>
      <c r="D97" s="13"/>
      <c r="H97" s="10"/>
      <c r="I97" s="10"/>
      <c r="K97" s="3"/>
      <c r="L97" s="24"/>
      <c r="M97" s="23"/>
      <c r="N97" s="3"/>
    </row>
    <row r="98" spans="1:16">
      <c r="A98" s="14">
        <v>10497</v>
      </c>
      <c r="B98" s="14"/>
      <c r="C98" s="14" t="s">
        <v>689</v>
      </c>
      <c r="D98" s="14"/>
      <c r="L98" s="25"/>
      <c r="M98" s="20"/>
    </row>
    <row r="99" spans="1:16">
      <c r="A99" s="14">
        <v>10498</v>
      </c>
      <c r="B99" s="14"/>
      <c r="C99" s="14" t="s">
        <v>689</v>
      </c>
      <c r="D99" s="14"/>
      <c r="L99" s="25"/>
      <c r="M99" s="20"/>
    </row>
    <row r="100" spans="1:16">
      <c r="A100" s="14">
        <v>10499</v>
      </c>
      <c r="B100" s="14"/>
      <c r="C100" s="14" t="s">
        <v>689</v>
      </c>
      <c r="D100" s="14"/>
      <c r="L100" s="25"/>
      <c r="M100" s="20"/>
    </row>
    <row r="101" spans="1:16" s="6" customFormat="1" ht="15.75" thickBot="1">
      <c r="A101" s="17">
        <v>10500</v>
      </c>
      <c r="B101" s="17"/>
      <c r="C101" s="17" t="s">
        <v>689</v>
      </c>
      <c r="D101" s="17"/>
      <c r="H101" s="9"/>
      <c r="I101" s="9"/>
      <c r="L101" s="26"/>
      <c r="M101" s="22"/>
      <c r="N101" s="22"/>
    </row>
    <row r="102" spans="1:16" s="4" customFormat="1">
      <c r="A102" s="14">
        <v>10701</v>
      </c>
      <c r="B102" s="13"/>
      <c r="C102" s="13" t="s">
        <v>1220</v>
      </c>
      <c r="D102" s="13"/>
      <c r="E102" s="13"/>
      <c r="F102" s="13"/>
      <c r="G102" s="13"/>
      <c r="H102" s="10"/>
      <c r="I102" s="10"/>
      <c r="L102" s="24"/>
      <c r="N102" s="3"/>
    </row>
    <row r="103" spans="1:16">
      <c r="A103" s="14">
        <v>10702</v>
      </c>
      <c r="B103" s="14"/>
      <c r="C103" s="14" t="s">
        <v>1220</v>
      </c>
      <c r="D103" s="14"/>
      <c r="E103" s="14"/>
      <c r="F103" s="14"/>
      <c r="G103" s="14"/>
      <c r="L103" s="25"/>
    </row>
    <row r="104" spans="1:16">
      <c r="A104" s="14">
        <v>10703</v>
      </c>
      <c r="B104" s="14"/>
      <c r="C104" s="14" t="s">
        <v>1220</v>
      </c>
      <c r="D104" s="14"/>
      <c r="E104" s="14"/>
      <c r="F104" s="14"/>
      <c r="G104" s="14"/>
      <c r="L104" s="25"/>
    </row>
    <row r="105" spans="1:16">
      <c r="A105" s="14">
        <v>10704</v>
      </c>
      <c r="B105" s="14" t="s">
        <v>2911</v>
      </c>
      <c r="C105" s="14" t="s">
        <v>1220</v>
      </c>
      <c r="D105" s="4" t="s">
        <v>19</v>
      </c>
      <c r="E105" s="14">
        <v>111729</v>
      </c>
      <c r="F105" s="14">
        <v>15770499555</v>
      </c>
      <c r="G105" s="14">
        <v>514739739</v>
      </c>
      <c r="H105" s="28" t="s">
        <v>2912</v>
      </c>
      <c r="I105" s="28" t="s">
        <v>2912</v>
      </c>
      <c r="J105" s="3" t="s">
        <v>2913</v>
      </c>
      <c r="K105" s="16" t="s">
        <v>2914</v>
      </c>
      <c r="L105" s="25"/>
      <c r="N105" s="15" t="s">
        <v>2915</v>
      </c>
      <c r="P105" s="37" t="s">
        <v>25</v>
      </c>
    </row>
    <row r="106" spans="1:16">
      <c r="A106" s="14">
        <v>10705</v>
      </c>
      <c r="B106" s="14" t="s">
        <v>2916</v>
      </c>
      <c r="C106" s="14" t="s">
        <v>1220</v>
      </c>
      <c r="D106" s="4" t="s">
        <v>19</v>
      </c>
      <c r="E106" s="14">
        <v>110077</v>
      </c>
      <c r="F106" s="14">
        <v>14742877455</v>
      </c>
      <c r="G106" s="14">
        <v>501459312</v>
      </c>
      <c r="H106" s="28" t="s">
        <v>2917</v>
      </c>
      <c r="I106" s="28" t="s">
        <v>2917</v>
      </c>
      <c r="J106" s="3" t="s">
        <v>2918</v>
      </c>
      <c r="K106" s="16" t="s">
        <v>2919</v>
      </c>
      <c r="L106" s="25"/>
      <c r="N106" s="15" t="s">
        <v>2920</v>
      </c>
      <c r="P106" s="37" t="s">
        <v>25</v>
      </c>
    </row>
    <row r="107" spans="1:16">
      <c r="A107" s="14">
        <v>10706</v>
      </c>
      <c r="B107" s="14"/>
      <c r="C107" s="14" t="s">
        <v>1220</v>
      </c>
      <c r="D107" s="14"/>
      <c r="E107" s="14"/>
      <c r="F107" s="14"/>
      <c r="G107" s="14"/>
      <c r="H107" s="28"/>
      <c r="I107" s="28"/>
      <c r="L107" s="25"/>
    </row>
    <row r="108" spans="1:16">
      <c r="A108" s="14">
        <v>10707</v>
      </c>
      <c r="B108" s="14"/>
      <c r="C108" s="14" t="s">
        <v>1220</v>
      </c>
      <c r="D108" s="14"/>
      <c r="E108" s="14"/>
      <c r="F108" s="14"/>
      <c r="G108" s="14"/>
      <c r="H108" s="28"/>
      <c r="I108" s="28"/>
      <c r="L108" s="25"/>
    </row>
    <row r="109" spans="1:16">
      <c r="A109" s="14">
        <v>10708</v>
      </c>
      <c r="B109" s="14" t="s">
        <v>2921</v>
      </c>
      <c r="C109" s="14" t="s">
        <v>1220</v>
      </c>
      <c r="D109" s="4" t="s">
        <v>19</v>
      </c>
      <c r="E109" s="14">
        <v>111816</v>
      </c>
      <c r="F109" s="14">
        <v>15775241685</v>
      </c>
      <c r="G109" s="14">
        <v>514739857</v>
      </c>
      <c r="H109" s="28" t="s">
        <v>2922</v>
      </c>
      <c r="I109" s="28" t="s">
        <v>2922</v>
      </c>
      <c r="J109" s="3" t="s">
        <v>2923</v>
      </c>
      <c r="K109" s="15" t="s">
        <v>2924</v>
      </c>
      <c r="L109" s="25"/>
      <c r="N109" s="15" t="s">
        <v>2925</v>
      </c>
      <c r="P109" s="37" t="s">
        <v>25</v>
      </c>
    </row>
    <row r="110" spans="1:16">
      <c r="A110" s="14">
        <v>10709</v>
      </c>
      <c r="B110" s="14"/>
      <c r="C110" s="14" t="s">
        <v>1220</v>
      </c>
      <c r="D110" s="14"/>
      <c r="E110" s="14"/>
      <c r="F110" s="14"/>
      <c r="G110" s="14"/>
      <c r="H110" s="28"/>
      <c r="I110" s="28"/>
      <c r="L110" s="25"/>
    </row>
    <row r="111" spans="1:16">
      <c r="A111" s="14">
        <v>10710</v>
      </c>
      <c r="B111" s="14"/>
      <c r="C111" s="14" t="s">
        <v>1220</v>
      </c>
      <c r="D111" s="14"/>
      <c r="E111" s="14"/>
      <c r="F111" s="14"/>
      <c r="G111" s="14"/>
      <c r="H111" s="28"/>
      <c r="I111" s="28"/>
      <c r="L111" s="25"/>
    </row>
    <row r="112" spans="1:16">
      <c r="A112" s="14">
        <v>10711</v>
      </c>
      <c r="B112" s="14" t="s">
        <v>1241</v>
      </c>
      <c r="C112" s="14" t="s">
        <v>1220</v>
      </c>
      <c r="D112" s="4" t="s">
        <v>19</v>
      </c>
      <c r="E112" s="14">
        <v>109554</v>
      </c>
      <c r="F112" s="14">
        <v>14295769713</v>
      </c>
      <c r="G112" s="14">
        <v>495621087</v>
      </c>
      <c r="H112" s="28" t="s">
        <v>1242</v>
      </c>
      <c r="I112" s="28" t="s">
        <v>1242</v>
      </c>
      <c r="J112" s="3" t="s">
        <v>1243</v>
      </c>
      <c r="K112" s="15" t="s">
        <v>2926</v>
      </c>
      <c r="L112" s="25"/>
      <c r="N112" s="15" t="s">
        <v>2927</v>
      </c>
      <c r="P112" s="37" t="s">
        <v>25</v>
      </c>
    </row>
    <row r="113" spans="1:16">
      <c r="A113" s="14">
        <v>10712</v>
      </c>
      <c r="B113" s="14" t="s">
        <v>2928</v>
      </c>
      <c r="C113" s="14" t="s">
        <v>1220</v>
      </c>
      <c r="D113" s="4" t="s">
        <v>19</v>
      </c>
      <c r="E113" s="14">
        <v>109669</v>
      </c>
      <c r="F113" s="14">
        <v>14507309941</v>
      </c>
      <c r="G113" s="14">
        <v>491131479</v>
      </c>
      <c r="H113" s="28" t="s">
        <v>2929</v>
      </c>
      <c r="I113" s="28" t="s">
        <v>2929</v>
      </c>
      <c r="J113" s="3" t="s">
        <v>2930</v>
      </c>
      <c r="K113" s="15" t="s">
        <v>2931</v>
      </c>
      <c r="L113" s="25"/>
      <c r="N113" s="15" t="s">
        <v>2932</v>
      </c>
      <c r="P113" s="37" t="s">
        <v>25</v>
      </c>
    </row>
    <row r="114" spans="1:16">
      <c r="A114" s="14">
        <v>10713</v>
      </c>
      <c r="B114" s="14"/>
      <c r="C114" s="14" t="s">
        <v>1220</v>
      </c>
      <c r="D114" s="14"/>
      <c r="E114" s="14"/>
      <c r="F114" s="14"/>
      <c r="G114" s="14"/>
      <c r="H114" s="28"/>
      <c r="I114" s="28"/>
      <c r="L114" s="25"/>
    </row>
    <row r="115" spans="1:16">
      <c r="A115" s="14">
        <v>10714</v>
      </c>
      <c r="B115" s="14"/>
      <c r="C115" s="14" t="s">
        <v>1220</v>
      </c>
      <c r="D115" s="14"/>
      <c r="E115" s="14"/>
      <c r="F115" s="14"/>
      <c r="G115" s="14"/>
      <c r="H115" s="28"/>
      <c r="I115" s="28"/>
      <c r="L115" s="25"/>
    </row>
    <row r="116" spans="1:16">
      <c r="A116" s="14">
        <v>10715</v>
      </c>
      <c r="B116" s="14" t="s">
        <v>2933</v>
      </c>
      <c r="C116" s="14" t="s">
        <v>1220</v>
      </c>
      <c r="D116" s="4" t="s">
        <v>19</v>
      </c>
      <c r="E116" s="14">
        <v>111890</v>
      </c>
      <c r="F116" s="14">
        <v>15775598833</v>
      </c>
      <c r="G116" s="14">
        <v>514739859</v>
      </c>
      <c r="H116" s="28" t="s">
        <v>2934</v>
      </c>
      <c r="I116" s="28" t="s">
        <v>2934</v>
      </c>
      <c r="J116" s="3" t="s">
        <v>2935</v>
      </c>
      <c r="K116" s="15" t="s">
        <v>2936</v>
      </c>
      <c r="L116" s="25"/>
      <c r="N116" s="15" t="s">
        <v>2937</v>
      </c>
      <c r="P116" s="37" t="s">
        <v>25</v>
      </c>
    </row>
    <row r="117" spans="1:16">
      <c r="A117" s="14">
        <v>10716</v>
      </c>
      <c r="B117" s="14" t="s">
        <v>2938</v>
      </c>
      <c r="C117" s="14" t="s">
        <v>1220</v>
      </c>
      <c r="D117" s="4" t="s">
        <v>19</v>
      </c>
      <c r="E117" s="14">
        <v>111713</v>
      </c>
      <c r="F117" s="14">
        <v>15770487609</v>
      </c>
      <c r="G117" s="14">
        <v>514739744</v>
      </c>
      <c r="H117" s="28" t="s">
        <v>2939</v>
      </c>
      <c r="I117" s="28" t="s">
        <v>2939</v>
      </c>
      <c r="J117" s="3" t="s">
        <v>2940</v>
      </c>
      <c r="K117" s="15" t="s">
        <v>2941</v>
      </c>
      <c r="L117" s="25"/>
      <c r="N117" s="15" t="s">
        <v>2942</v>
      </c>
      <c r="P117" s="37" t="s">
        <v>25</v>
      </c>
    </row>
    <row r="118" spans="1:16">
      <c r="A118" s="14">
        <v>10717</v>
      </c>
      <c r="B118" s="14" t="s">
        <v>2943</v>
      </c>
      <c r="C118" s="14" t="s">
        <v>1220</v>
      </c>
      <c r="D118" s="4" t="s">
        <v>19</v>
      </c>
      <c r="E118" s="14">
        <v>99083</v>
      </c>
      <c r="F118" s="14">
        <v>8237847058</v>
      </c>
      <c r="G118" s="14">
        <v>419346821</v>
      </c>
      <c r="H118" s="28" t="s">
        <v>2944</v>
      </c>
      <c r="I118" s="28" t="s">
        <v>2944</v>
      </c>
      <c r="J118" s="3" t="s">
        <v>2945</v>
      </c>
      <c r="K118" s="15" t="s">
        <v>2946</v>
      </c>
      <c r="L118" s="25"/>
      <c r="N118" s="15" t="s">
        <v>2947</v>
      </c>
      <c r="P118" s="37" t="s">
        <v>25</v>
      </c>
    </row>
    <row r="119" spans="1:16">
      <c r="A119" s="14">
        <v>10718</v>
      </c>
      <c r="B119" s="14"/>
      <c r="C119" s="14" t="s">
        <v>1220</v>
      </c>
      <c r="D119" s="14"/>
      <c r="E119" s="14"/>
      <c r="F119" s="14"/>
      <c r="G119" s="14"/>
      <c r="H119" s="28"/>
      <c r="I119" s="28"/>
      <c r="L119" s="25"/>
    </row>
    <row r="120" spans="1:16">
      <c r="A120" s="14">
        <v>10719</v>
      </c>
      <c r="B120" s="14"/>
      <c r="C120" s="14" t="s">
        <v>1220</v>
      </c>
      <c r="D120" s="14"/>
      <c r="E120" s="14"/>
      <c r="F120" s="14"/>
      <c r="G120" s="14"/>
      <c r="H120" s="28"/>
      <c r="I120" s="28"/>
      <c r="L120" s="25"/>
    </row>
    <row r="121" spans="1:16">
      <c r="A121" s="14">
        <v>10720</v>
      </c>
      <c r="B121" s="14"/>
      <c r="C121" s="14" t="s">
        <v>1220</v>
      </c>
      <c r="D121" s="14"/>
      <c r="E121" s="14"/>
      <c r="F121" s="14"/>
      <c r="G121" s="14"/>
      <c r="H121" s="28"/>
      <c r="I121" s="28"/>
      <c r="L121" s="25"/>
    </row>
    <row r="122" spans="1:16">
      <c r="A122" s="14">
        <v>10721</v>
      </c>
      <c r="B122" s="14"/>
      <c r="C122" s="14" t="s">
        <v>1220</v>
      </c>
      <c r="D122" s="14"/>
      <c r="E122" s="14"/>
      <c r="F122" s="14"/>
      <c r="G122" s="14"/>
      <c r="H122" s="28"/>
      <c r="I122" s="28"/>
      <c r="L122" s="25"/>
    </row>
    <row r="123" spans="1:16">
      <c r="A123" s="14">
        <v>10722</v>
      </c>
      <c r="B123" s="14" t="s">
        <v>2948</v>
      </c>
      <c r="C123" s="14" t="s">
        <v>1220</v>
      </c>
      <c r="D123" s="4" t="s">
        <v>19</v>
      </c>
      <c r="E123" s="14">
        <v>111905</v>
      </c>
      <c r="F123" s="14">
        <v>15777441738</v>
      </c>
      <c r="G123" s="14">
        <v>514739866</v>
      </c>
      <c r="H123" s="28" t="s">
        <v>2949</v>
      </c>
      <c r="I123" s="28" t="s">
        <v>2949</v>
      </c>
      <c r="J123" s="3" t="s">
        <v>2950</v>
      </c>
      <c r="K123" s="16" t="s">
        <v>2951</v>
      </c>
      <c r="L123" s="25"/>
      <c r="N123" s="15" t="s">
        <v>2952</v>
      </c>
      <c r="P123" s="37" t="s">
        <v>25</v>
      </c>
    </row>
    <row r="124" spans="1:16">
      <c r="A124" s="14">
        <v>10723</v>
      </c>
      <c r="B124" s="14" t="s">
        <v>2953</v>
      </c>
      <c r="C124" s="14" t="s">
        <v>1220</v>
      </c>
      <c r="D124" s="4" t="s">
        <v>19</v>
      </c>
      <c r="E124" s="14">
        <v>110080</v>
      </c>
      <c r="F124" s="14">
        <v>14742922093</v>
      </c>
      <c r="G124" s="14">
        <v>501459328</v>
      </c>
      <c r="H124" s="28" t="s">
        <v>2954</v>
      </c>
      <c r="I124" s="28" t="s">
        <v>2954</v>
      </c>
      <c r="J124" s="3" t="s">
        <v>2955</v>
      </c>
      <c r="K124" s="16" t="s">
        <v>2956</v>
      </c>
      <c r="L124" s="25"/>
      <c r="N124" s="15" t="s">
        <v>2957</v>
      </c>
      <c r="P124" s="37" t="s">
        <v>25</v>
      </c>
    </row>
    <row r="125" spans="1:16">
      <c r="A125" s="14">
        <v>10724</v>
      </c>
      <c r="B125" s="14"/>
      <c r="C125" s="14" t="s">
        <v>1220</v>
      </c>
      <c r="D125" s="14"/>
      <c r="E125" s="14"/>
      <c r="F125" s="14"/>
      <c r="G125" s="14"/>
      <c r="H125" s="28"/>
      <c r="I125" s="28"/>
      <c r="L125" s="25"/>
    </row>
    <row r="126" spans="1:16">
      <c r="A126" s="14">
        <v>10725</v>
      </c>
      <c r="B126" s="14"/>
      <c r="C126" s="14" t="s">
        <v>1220</v>
      </c>
      <c r="D126" s="14"/>
      <c r="E126" s="14"/>
      <c r="F126" s="14"/>
      <c r="G126" s="14"/>
      <c r="H126" s="28"/>
      <c r="I126" s="28"/>
      <c r="L126" s="25"/>
    </row>
    <row r="127" spans="1:16">
      <c r="A127" s="14">
        <v>10726</v>
      </c>
      <c r="B127" s="14" t="s">
        <v>2958</v>
      </c>
      <c r="C127" s="14" t="s">
        <v>1220</v>
      </c>
      <c r="D127" s="4" t="s">
        <v>19</v>
      </c>
      <c r="E127" s="14">
        <v>111775</v>
      </c>
      <c r="F127" s="14">
        <v>15770544848</v>
      </c>
      <c r="G127" s="14">
        <v>514739830</v>
      </c>
      <c r="H127" s="28" t="s">
        <v>2959</v>
      </c>
      <c r="I127" s="28" t="s">
        <v>2959</v>
      </c>
      <c r="J127" s="3" t="s">
        <v>2960</v>
      </c>
      <c r="K127" s="15" t="s">
        <v>2961</v>
      </c>
      <c r="L127" s="25"/>
      <c r="N127" s="15" t="s">
        <v>2962</v>
      </c>
      <c r="P127" s="37" t="s">
        <v>25</v>
      </c>
    </row>
    <row r="128" spans="1:16">
      <c r="A128" s="14">
        <v>10727</v>
      </c>
      <c r="B128" s="14"/>
      <c r="C128" s="14" t="s">
        <v>1220</v>
      </c>
      <c r="D128" s="14"/>
      <c r="E128" s="14"/>
      <c r="F128" s="14"/>
      <c r="G128" s="14"/>
      <c r="H128" s="28"/>
      <c r="I128" s="28"/>
      <c r="L128" s="25"/>
    </row>
    <row r="129" spans="1:16">
      <c r="A129" s="14">
        <v>10728</v>
      </c>
      <c r="B129" s="14"/>
      <c r="C129" s="14" t="s">
        <v>1220</v>
      </c>
      <c r="D129" s="14"/>
      <c r="E129" s="14"/>
      <c r="F129" s="14"/>
      <c r="G129" s="14"/>
      <c r="H129" s="28"/>
      <c r="I129" s="28"/>
      <c r="L129" s="25"/>
    </row>
    <row r="130" spans="1:16">
      <c r="A130" s="14">
        <v>10729</v>
      </c>
      <c r="B130" s="14" t="s">
        <v>2963</v>
      </c>
      <c r="C130" s="14" t="s">
        <v>1220</v>
      </c>
      <c r="D130" s="4" t="s">
        <v>19</v>
      </c>
      <c r="E130" s="14">
        <v>110081</v>
      </c>
      <c r="F130" s="14">
        <v>14742924741</v>
      </c>
      <c r="G130" s="14">
        <v>501459297</v>
      </c>
      <c r="H130" s="28" t="s">
        <v>2964</v>
      </c>
      <c r="I130" s="28" t="s">
        <v>2964</v>
      </c>
      <c r="J130" s="3" t="s">
        <v>2965</v>
      </c>
      <c r="K130" s="15" t="s">
        <v>2966</v>
      </c>
      <c r="L130" s="25"/>
      <c r="N130" s="15" t="s">
        <v>2967</v>
      </c>
      <c r="P130" s="37" t="s">
        <v>25</v>
      </c>
    </row>
    <row r="131" spans="1:16">
      <c r="A131" s="14">
        <v>10730</v>
      </c>
      <c r="B131" s="14" t="s">
        <v>1309</v>
      </c>
      <c r="C131" s="14" t="s">
        <v>1220</v>
      </c>
      <c r="D131" s="4" t="s">
        <v>19</v>
      </c>
      <c r="E131" s="14">
        <v>108215</v>
      </c>
      <c r="F131" s="14">
        <v>13409975363</v>
      </c>
      <c r="G131" s="14">
        <v>483305710</v>
      </c>
      <c r="H131" s="28" t="s">
        <v>1310</v>
      </c>
      <c r="I131" s="28" t="s">
        <v>1310</v>
      </c>
      <c r="J131" s="3" t="s">
        <v>1311</v>
      </c>
      <c r="K131" s="15" t="s">
        <v>2968</v>
      </c>
      <c r="L131" s="25"/>
      <c r="N131" s="15" t="s">
        <v>2969</v>
      </c>
      <c r="P131" s="37" t="s">
        <v>25</v>
      </c>
    </row>
    <row r="132" spans="1:16">
      <c r="A132" s="14">
        <v>10731</v>
      </c>
      <c r="B132" s="14"/>
      <c r="C132" s="14" t="s">
        <v>1220</v>
      </c>
      <c r="D132" s="14"/>
      <c r="E132" s="14"/>
      <c r="F132" s="14"/>
      <c r="G132" s="14"/>
      <c r="H132" s="28"/>
      <c r="I132" s="28"/>
      <c r="L132" s="25"/>
    </row>
    <row r="133" spans="1:16">
      <c r="A133" s="14">
        <v>10732</v>
      </c>
      <c r="B133" s="14" t="s">
        <v>1297</v>
      </c>
      <c r="C133" s="14" t="s">
        <v>1220</v>
      </c>
      <c r="D133" s="4" t="s">
        <v>19</v>
      </c>
      <c r="E133" s="14">
        <v>110078</v>
      </c>
      <c r="F133" s="14">
        <v>14742877527</v>
      </c>
      <c r="G133" s="14">
        <v>501459307</v>
      </c>
      <c r="H133" s="28" t="s">
        <v>2970</v>
      </c>
      <c r="I133" s="28" t="s">
        <v>2970</v>
      </c>
      <c r="J133" s="3" t="s">
        <v>2971</v>
      </c>
      <c r="K133" s="15" t="s">
        <v>2972</v>
      </c>
      <c r="L133" s="25"/>
      <c r="N133" s="15" t="s">
        <v>2973</v>
      </c>
      <c r="P133" s="37" t="s">
        <v>25</v>
      </c>
    </row>
    <row r="134" spans="1:16">
      <c r="A134" s="14">
        <v>10733</v>
      </c>
      <c r="B134" s="14"/>
      <c r="C134" s="14" t="s">
        <v>1220</v>
      </c>
      <c r="D134" s="14"/>
      <c r="E134" s="14"/>
      <c r="F134" s="14"/>
      <c r="G134" s="14"/>
      <c r="H134" s="28"/>
      <c r="I134" s="28"/>
      <c r="L134" s="25"/>
    </row>
    <row r="135" spans="1:16">
      <c r="A135" s="14">
        <v>10734</v>
      </c>
      <c r="B135" s="14"/>
      <c r="C135" s="14" t="s">
        <v>1220</v>
      </c>
      <c r="D135" s="14"/>
      <c r="E135" s="14"/>
      <c r="F135" s="14"/>
      <c r="G135" s="14"/>
      <c r="H135" s="28"/>
      <c r="I135" s="28"/>
      <c r="L135" s="25"/>
    </row>
    <row r="136" spans="1:16">
      <c r="A136" s="14">
        <v>10735</v>
      </c>
      <c r="B136" s="14" t="s">
        <v>2974</v>
      </c>
      <c r="C136" s="14" t="s">
        <v>1220</v>
      </c>
      <c r="D136" s="4" t="s">
        <v>19</v>
      </c>
      <c r="E136" s="14">
        <v>111698</v>
      </c>
      <c r="F136" s="14">
        <v>15770479225</v>
      </c>
      <c r="G136" s="14">
        <v>514739837</v>
      </c>
      <c r="H136" s="28" t="s">
        <v>2975</v>
      </c>
      <c r="I136" s="28" t="s">
        <v>2975</v>
      </c>
      <c r="J136" s="3" t="s">
        <v>2976</v>
      </c>
      <c r="K136" s="15" t="s">
        <v>2977</v>
      </c>
      <c r="L136" s="25"/>
      <c r="N136" s="15" t="s">
        <v>2978</v>
      </c>
      <c r="P136" s="37" t="s">
        <v>25</v>
      </c>
    </row>
    <row r="137" spans="1:16">
      <c r="A137" s="14">
        <v>10736</v>
      </c>
      <c r="B137" s="14"/>
      <c r="C137" s="14" t="s">
        <v>1220</v>
      </c>
      <c r="D137" s="14"/>
      <c r="E137" s="14"/>
      <c r="F137" s="14"/>
      <c r="G137" s="14"/>
      <c r="H137" s="28"/>
      <c r="I137" s="28"/>
      <c r="L137" s="25"/>
    </row>
    <row r="138" spans="1:16">
      <c r="A138" s="14">
        <v>10737</v>
      </c>
      <c r="B138" s="14"/>
      <c r="C138" s="14" t="s">
        <v>1220</v>
      </c>
      <c r="D138" s="14"/>
      <c r="E138" s="14"/>
      <c r="F138" s="14"/>
      <c r="G138" s="14"/>
      <c r="H138" s="28"/>
      <c r="I138" s="28"/>
      <c r="L138" s="25"/>
    </row>
    <row r="139" spans="1:16">
      <c r="A139" s="14">
        <v>10738</v>
      </c>
      <c r="B139" s="14" t="s">
        <v>1301</v>
      </c>
      <c r="C139" s="14" t="s">
        <v>1220</v>
      </c>
      <c r="D139" s="4" t="s">
        <v>19</v>
      </c>
      <c r="E139" s="14">
        <v>109448</v>
      </c>
      <c r="F139" s="14">
        <v>14295426168</v>
      </c>
      <c r="G139" s="14">
        <v>495621186</v>
      </c>
      <c r="H139" s="28" t="s">
        <v>1302</v>
      </c>
      <c r="I139" s="28" t="s">
        <v>1302</v>
      </c>
      <c r="J139" s="3" t="s">
        <v>1303</v>
      </c>
      <c r="K139" s="15" t="s">
        <v>2979</v>
      </c>
      <c r="L139" s="25"/>
      <c r="N139" s="15" t="s">
        <v>2980</v>
      </c>
      <c r="P139" s="37" t="s">
        <v>25</v>
      </c>
    </row>
    <row r="140" spans="1:16">
      <c r="A140" s="14">
        <v>10739</v>
      </c>
      <c r="B140" s="14" t="s">
        <v>2981</v>
      </c>
      <c r="C140" s="14" t="s">
        <v>1220</v>
      </c>
      <c r="D140" s="4" t="s">
        <v>19</v>
      </c>
      <c r="E140" s="14">
        <v>111696</v>
      </c>
      <c r="F140" s="14">
        <v>15770479175</v>
      </c>
      <c r="G140" s="14">
        <v>514739829</v>
      </c>
      <c r="H140" s="28" t="s">
        <v>2982</v>
      </c>
      <c r="I140" s="28" t="s">
        <v>2982</v>
      </c>
      <c r="J140" s="3" t="s">
        <v>2983</v>
      </c>
      <c r="K140" s="15" t="s">
        <v>2984</v>
      </c>
      <c r="L140" s="25"/>
      <c r="N140" s="15" t="s">
        <v>2985</v>
      </c>
      <c r="P140" s="37" t="s">
        <v>25</v>
      </c>
    </row>
    <row r="141" spans="1:16">
      <c r="A141" s="14">
        <v>10740</v>
      </c>
      <c r="B141" s="14"/>
      <c r="C141" s="14" t="s">
        <v>1220</v>
      </c>
      <c r="D141" s="14"/>
      <c r="E141" s="14"/>
      <c r="F141" s="14"/>
      <c r="G141" s="14"/>
      <c r="H141" s="28"/>
      <c r="I141" s="28"/>
      <c r="L141" s="25"/>
    </row>
    <row r="142" spans="1:16">
      <c r="A142" s="14">
        <v>10741</v>
      </c>
      <c r="B142" s="14"/>
      <c r="C142" s="14" t="s">
        <v>1220</v>
      </c>
      <c r="D142" s="14"/>
      <c r="E142" s="14"/>
      <c r="F142" s="14"/>
      <c r="G142" s="14"/>
      <c r="H142" s="28"/>
      <c r="I142" s="28"/>
      <c r="L142" s="25"/>
    </row>
    <row r="143" spans="1:16">
      <c r="A143" s="14">
        <v>10742</v>
      </c>
      <c r="B143" s="14" t="s">
        <v>2986</v>
      </c>
      <c r="C143" s="14" t="s">
        <v>1220</v>
      </c>
      <c r="D143" s="4" t="s">
        <v>19</v>
      </c>
      <c r="E143" s="14">
        <v>111837</v>
      </c>
      <c r="F143" s="14">
        <v>15775334926</v>
      </c>
      <c r="G143" s="14">
        <v>514739840</v>
      </c>
      <c r="H143" s="28" t="s">
        <v>2987</v>
      </c>
      <c r="I143" s="28" t="s">
        <v>2987</v>
      </c>
      <c r="J143" s="3" t="s">
        <v>2988</v>
      </c>
      <c r="K143" s="15" t="s">
        <v>2989</v>
      </c>
      <c r="L143" s="25"/>
      <c r="N143" s="15" t="s">
        <v>2990</v>
      </c>
      <c r="P143" s="37" t="s">
        <v>25</v>
      </c>
    </row>
    <row r="144" spans="1:16">
      <c r="A144" s="14">
        <v>10743</v>
      </c>
      <c r="B144" s="14" t="s">
        <v>1281</v>
      </c>
      <c r="C144" s="14" t="s">
        <v>1220</v>
      </c>
      <c r="D144" s="4" t="s">
        <v>19</v>
      </c>
      <c r="E144" s="14">
        <v>109586</v>
      </c>
      <c r="F144" s="14">
        <v>14299667365</v>
      </c>
      <c r="G144" s="14">
        <v>495510545</v>
      </c>
      <c r="H144" s="28" t="s">
        <v>1282</v>
      </c>
      <c r="I144" s="28" t="s">
        <v>1282</v>
      </c>
      <c r="J144" s="3" t="s">
        <v>1283</v>
      </c>
      <c r="K144" s="15" t="s">
        <v>2991</v>
      </c>
      <c r="L144" s="25"/>
      <c r="N144" s="15" t="s">
        <v>2992</v>
      </c>
      <c r="P144" s="37" t="s">
        <v>25</v>
      </c>
    </row>
    <row r="145" spans="1:16">
      <c r="A145" s="14">
        <v>10744</v>
      </c>
      <c r="B145" s="14"/>
      <c r="C145" s="14" t="s">
        <v>1220</v>
      </c>
      <c r="D145" s="14"/>
      <c r="E145" s="14"/>
      <c r="F145" s="14"/>
      <c r="G145" s="14"/>
      <c r="H145" s="28"/>
      <c r="I145" s="28"/>
      <c r="L145" s="25"/>
    </row>
    <row r="146" spans="1:16">
      <c r="A146" s="14">
        <v>10745</v>
      </c>
      <c r="B146" s="14" t="s">
        <v>1313</v>
      </c>
      <c r="C146" s="14" t="s">
        <v>1220</v>
      </c>
      <c r="D146" s="4" t="s">
        <v>19</v>
      </c>
      <c r="E146" s="14">
        <v>111845</v>
      </c>
      <c r="F146" s="14">
        <v>15775357188</v>
      </c>
      <c r="G146" s="14">
        <v>514739818</v>
      </c>
      <c r="H146" s="28" t="s">
        <v>2993</v>
      </c>
      <c r="I146" s="28" t="s">
        <v>2993</v>
      </c>
      <c r="J146" s="3" t="s">
        <v>2994</v>
      </c>
      <c r="K146" s="15" t="s">
        <v>2995</v>
      </c>
      <c r="L146" s="25"/>
      <c r="N146" s="15" t="s">
        <v>2996</v>
      </c>
      <c r="P146" s="37" t="s">
        <v>25</v>
      </c>
    </row>
    <row r="147" spans="1:16">
      <c r="A147" s="14">
        <v>10746</v>
      </c>
      <c r="B147" s="14" t="s">
        <v>2997</v>
      </c>
      <c r="C147" s="14" t="s">
        <v>1220</v>
      </c>
      <c r="D147" s="4" t="s">
        <v>19</v>
      </c>
      <c r="E147" s="14">
        <v>110086</v>
      </c>
      <c r="F147" s="14">
        <v>14742925265</v>
      </c>
      <c r="G147" s="14">
        <v>501459318</v>
      </c>
      <c r="H147" s="28" t="s">
        <v>2998</v>
      </c>
      <c r="I147" s="28" t="s">
        <v>2998</v>
      </c>
      <c r="J147" s="3" t="s">
        <v>2999</v>
      </c>
      <c r="K147" s="15" t="s">
        <v>3000</v>
      </c>
      <c r="L147" s="25"/>
      <c r="N147" s="15" t="s">
        <v>3001</v>
      </c>
      <c r="P147" s="37" t="s">
        <v>25</v>
      </c>
    </row>
    <row r="148" spans="1:16">
      <c r="A148" s="14">
        <v>10747</v>
      </c>
      <c r="B148" s="14"/>
      <c r="C148" s="14" t="s">
        <v>1220</v>
      </c>
      <c r="D148" s="14"/>
      <c r="E148" s="14"/>
      <c r="F148" s="14"/>
      <c r="G148" s="14"/>
      <c r="H148" s="28"/>
      <c r="I148" s="28"/>
      <c r="L148" s="25"/>
    </row>
    <row r="149" spans="1:16">
      <c r="A149" s="14">
        <v>10748</v>
      </c>
      <c r="B149" s="14"/>
      <c r="C149" s="14" t="s">
        <v>1220</v>
      </c>
      <c r="D149" s="14"/>
      <c r="E149" s="14"/>
      <c r="F149" s="14"/>
      <c r="G149" s="14"/>
      <c r="H149" s="28"/>
      <c r="I149" s="28"/>
      <c r="L149" s="25"/>
    </row>
    <row r="150" spans="1:16">
      <c r="A150" s="14">
        <v>10749</v>
      </c>
      <c r="B150" s="14" t="s">
        <v>1321</v>
      </c>
      <c r="C150" s="14" t="s">
        <v>1220</v>
      </c>
      <c r="D150" s="4" t="s">
        <v>19</v>
      </c>
      <c r="E150" s="14">
        <v>109588</v>
      </c>
      <c r="F150" s="14">
        <v>14299667367</v>
      </c>
      <c r="G150" s="14">
        <v>495621064</v>
      </c>
      <c r="H150" s="28" t="s">
        <v>3002</v>
      </c>
      <c r="I150" s="28" t="s">
        <v>3002</v>
      </c>
      <c r="J150" s="3" t="s">
        <v>1323</v>
      </c>
      <c r="K150" s="15" t="s">
        <v>3003</v>
      </c>
      <c r="L150" s="25"/>
      <c r="N150" s="15" t="s">
        <v>3004</v>
      </c>
      <c r="P150" s="37" t="s">
        <v>25</v>
      </c>
    </row>
    <row r="151" spans="1:16">
      <c r="A151" s="14">
        <v>10750</v>
      </c>
      <c r="B151" s="14"/>
      <c r="C151" s="14" t="s">
        <v>1220</v>
      </c>
      <c r="D151" s="14"/>
      <c r="E151" s="14"/>
      <c r="F151" s="14"/>
      <c r="G151" s="14"/>
      <c r="H151" s="28"/>
      <c r="I151" s="28"/>
      <c r="K151" s="15"/>
      <c r="L151" s="25"/>
      <c r="N151" s="15" t="s">
        <v>3005</v>
      </c>
    </row>
    <row r="152" spans="1:16">
      <c r="A152" s="14">
        <v>10751</v>
      </c>
      <c r="B152" s="14"/>
      <c r="C152" s="14" t="s">
        <v>1220</v>
      </c>
      <c r="D152" s="14"/>
      <c r="E152" s="14"/>
      <c r="F152" s="14"/>
      <c r="G152" s="14"/>
      <c r="H152" s="28"/>
      <c r="I152" s="28"/>
      <c r="L152" s="25"/>
    </row>
    <row r="153" spans="1:16">
      <c r="A153" s="14">
        <v>10752</v>
      </c>
      <c r="B153" s="14"/>
      <c r="C153" s="14" t="s">
        <v>1220</v>
      </c>
      <c r="D153" s="14"/>
      <c r="E153" s="14"/>
      <c r="F153" s="14"/>
      <c r="G153" s="14"/>
      <c r="H153" s="28"/>
      <c r="I153" s="28"/>
      <c r="L153" s="25"/>
    </row>
    <row r="154" spans="1:16">
      <c r="A154" s="14">
        <v>10753</v>
      </c>
      <c r="B154" s="14" t="s">
        <v>3006</v>
      </c>
      <c r="C154" s="14" t="s">
        <v>1220</v>
      </c>
      <c r="D154" s="4" t="s">
        <v>19</v>
      </c>
      <c r="E154" s="14">
        <v>111833</v>
      </c>
      <c r="F154" s="14">
        <v>15775328384</v>
      </c>
      <c r="G154" s="14">
        <v>514739880</v>
      </c>
      <c r="H154" s="28" t="s">
        <v>3007</v>
      </c>
      <c r="I154" s="28" t="s">
        <v>3007</v>
      </c>
      <c r="J154" s="3" t="s">
        <v>3008</v>
      </c>
      <c r="K154" s="16" t="s">
        <v>3009</v>
      </c>
      <c r="L154" s="25"/>
      <c r="N154" s="15" t="s">
        <v>3010</v>
      </c>
      <c r="P154" s="37" t="s">
        <v>25</v>
      </c>
    </row>
    <row r="155" spans="1:16">
      <c r="A155" s="14">
        <v>10754</v>
      </c>
      <c r="B155" s="14"/>
      <c r="C155" s="14" t="s">
        <v>1220</v>
      </c>
      <c r="D155" s="14"/>
      <c r="E155" s="14"/>
      <c r="F155" s="14"/>
      <c r="G155" s="14"/>
      <c r="H155" s="28"/>
      <c r="I155" s="28"/>
      <c r="L155" s="25"/>
    </row>
    <row r="156" spans="1:16">
      <c r="A156" s="14">
        <v>10755</v>
      </c>
      <c r="B156" s="14"/>
      <c r="C156" s="14" t="s">
        <v>1220</v>
      </c>
      <c r="D156" s="14"/>
      <c r="E156" s="14"/>
      <c r="F156" s="14"/>
      <c r="G156" s="14"/>
      <c r="H156" s="28"/>
      <c r="I156" s="28"/>
      <c r="L156" s="25"/>
    </row>
    <row r="157" spans="1:16">
      <c r="A157" s="14">
        <v>10756</v>
      </c>
      <c r="B157" s="14" t="s">
        <v>3011</v>
      </c>
      <c r="C157" s="14" t="s">
        <v>1220</v>
      </c>
      <c r="D157" s="4" t="s">
        <v>19</v>
      </c>
      <c r="E157" s="14">
        <v>109496</v>
      </c>
      <c r="F157" s="14">
        <v>14295552330</v>
      </c>
      <c r="G157" s="14">
        <v>495621163</v>
      </c>
      <c r="H157" s="28" t="s">
        <v>1338</v>
      </c>
      <c r="I157" s="28" t="s">
        <v>1338</v>
      </c>
      <c r="J157" s="3" t="s">
        <v>1339</v>
      </c>
      <c r="K157" s="16" t="s">
        <v>3012</v>
      </c>
      <c r="L157" s="25"/>
      <c r="N157" s="15" t="s">
        <v>3013</v>
      </c>
      <c r="P157" s="37" t="s">
        <v>25</v>
      </c>
    </row>
    <row r="158" spans="1:16">
      <c r="A158" s="14">
        <v>10757</v>
      </c>
      <c r="B158" s="14" t="s">
        <v>3014</v>
      </c>
      <c r="C158" s="14" t="s">
        <v>1220</v>
      </c>
      <c r="D158" s="4" t="s">
        <v>19</v>
      </c>
      <c r="E158" s="14">
        <v>111863</v>
      </c>
      <c r="F158" s="14">
        <v>15775421057</v>
      </c>
      <c r="G158" s="14">
        <v>514739808</v>
      </c>
      <c r="H158" s="28" t="s">
        <v>3015</v>
      </c>
      <c r="I158" s="28" t="s">
        <v>3015</v>
      </c>
      <c r="J158" s="3" t="s">
        <v>3016</v>
      </c>
      <c r="K158" s="16" t="s">
        <v>3017</v>
      </c>
      <c r="L158" s="25"/>
      <c r="N158" s="15" t="s">
        <v>3018</v>
      </c>
      <c r="P158" s="37" t="s">
        <v>25</v>
      </c>
    </row>
    <row r="159" spans="1:16">
      <c r="A159" s="14">
        <v>10758</v>
      </c>
      <c r="B159" s="14"/>
      <c r="C159" s="14" t="s">
        <v>1220</v>
      </c>
      <c r="D159" s="14"/>
      <c r="E159" s="14"/>
      <c r="F159" s="14"/>
      <c r="G159" s="14"/>
      <c r="H159" s="28"/>
      <c r="I159" s="28"/>
      <c r="L159" s="25"/>
    </row>
    <row r="160" spans="1:16">
      <c r="A160" s="14">
        <v>10759</v>
      </c>
      <c r="B160" s="14"/>
      <c r="C160" s="14" t="s">
        <v>1220</v>
      </c>
      <c r="D160" s="14"/>
      <c r="E160" s="14"/>
      <c r="F160" s="14"/>
      <c r="G160" s="14"/>
      <c r="H160" s="28"/>
      <c r="I160" s="28"/>
      <c r="L160" s="25"/>
    </row>
    <row r="161" spans="1:16">
      <c r="A161" s="14">
        <v>10760</v>
      </c>
      <c r="B161" s="14" t="s">
        <v>3019</v>
      </c>
      <c r="C161" s="14" t="s">
        <v>1220</v>
      </c>
      <c r="D161" s="4" t="s">
        <v>19</v>
      </c>
      <c r="E161" s="14">
        <v>108214</v>
      </c>
      <c r="F161" s="14">
        <v>13409967520</v>
      </c>
      <c r="G161" s="14">
        <v>483305702</v>
      </c>
      <c r="H161" s="28" t="s">
        <v>3020</v>
      </c>
      <c r="I161" s="28" t="s">
        <v>3020</v>
      </c>
      <c r="J161" s="3" t="s">
        <v>3021</v>
      </c>
      <c r="K161" s="15" t="s">
        <v>3022</v>
      </c>
      <c r="L161" s="25"/>
      <c r="N161" s="15" t="s">
        <v>3023</v>
      </c>
      <c r="P161" s="37" t="s">
        <v>25</v>
      </c>
    </row>
    <row r="162" spans="1:16">
      <c r="A162" s="14">
        <v>10761</v>
      </c>
      <c r="B162" s="14" t="s">
        <v>3024</v>
      </c>
      <c r="C162" s="14" t="s">
        <v>1220</v>
      </c>
      <c r="D162" s="4" t="s">
        <v>19</v>
      </c>
      <c r="E162" s="14">
        <v>108208</v>
      </c>
      <c r="F162" s="14">
        <v>13409964905</v>
      </c>
      <c r="G162" s="14">
        <v>483305714</v>
      </c>
      <c r="H162" s="28" t="s">
        <v>3025</v>
      </c>
      <c r="I162" s="28" t="s">
        <v>3025</v>
      </c>
      <c r="J162" s="3" t="s">
        <v>3026</v>
      </c>
      <c r="K162" s="15" t="s">
        <v>3027</v>
      </c>
      <c r="L162" s="25"/>
      <c r="N162" s="15" t="s">
        <v>3028</v>
      </c>
      <c r="P162" s="37" t="s">
        <v>25</v>
      </c>
    </row>
    <row r="163" spans="1:16">
      <c r="A163" s="14">
        <v>10762</v>
      </c>
      <c r="B163" s="14" t="s">
        <v>3029</v>
      </c>
      <c r="C163" s="14" t="s">
        <v>1220</v>
      </c>
      <c r="D163" s="4" t="s">
        <v>19</v>
      </c>
      <c r="E163" s="14">
        <v>111819</v>
      </c>
      <c r="F163" s="14">
        <v>15775251692</v>
      </c>
      <c r="G163" s="14">
        <v>514739761</v>
      </c>
      <c r="H163" s="28" t="s">
        <v>3030</v>
      </c>
      <c r="I163" s="28" t="s">
        <v>3030</v>
      </c>
      <c r="J163" s="3" t="s">
        <v>3031</v>
      </c>
      <c r="K163" s="15" t="s">
        <v>3032</v>
      </c>
      <c r="L163" s="25"/>
      <c r="N163" s="15" t="s">
        <v>3033</v>
      </c>
      <c r="P163" s="37" t="s">
        <v>25</v>
      </c>
    </row>
    <row r="164" spans="1:16">
      <c r="A164" s="14">
        <v>10763</v>
      </c>
      <c r="B164" s="14" t="s">
        <v>3034</v>
      </c>
      <c r="C164" s="14" t="s">
        <v>1220</v>
      </c>
      <c r="D164" s="4" t="s">
        <v>19</v>
      </c>
      <c r="E164" s="14">
        <v>111813</v>
      </c>
      <c r="F164" s="14">
        <v>15775218698</v>
      </c>
      <c r="G164" s="14">
        <v>514739751</v>
      </c>
      <c r="H164" s="28" t="s">
        <v>3035</v>
      </c>
      <c r="I164" s="28" t="s">
        <v>3035</v>
      </c>
      <c r="J164" s="3" t="s">
        <v>3036</v>
      </c>
      <c r="K164" s="15" t="s">
        <v>3037</v>
      </c>
      <c r="L164" s="25"/>
      <c r="N164" s="15" t="s">
        <v>3038</v>
      </c>
      <c r="P164" s="37" t="s">
        <v>25</v>
      </c>
    </row>
    <row r="165" spans="1:16">
      <c r="A165" s="14">
        <v>10764</v>
      </c>
      <c r="B165" s="14" t="s">
        <v>3039</v>
      </c>
      <c r="C165" s="14" t="s">
        <v>1220</v>
      </c>
      <c r="D165" s="4" t="s">
        <v>19</v>
      </c>
      <c r="E165" s="14">
        <v>110040</v>
      </c>
      <c r="F165" s="14">
        <v>14738341461</v>
      </c>
      <c r="G165" s="14">
        <v>501459316</v>
      </c>
      <c r="H165" s="28" t="s">
        <v>3040</v>
      </c>
      <c r="I165" s="28" t="s">
        <v>3040</v>
      </c>
      <c r="J165" s="3" t="s">
        <v>3041</v>
      </c>
      <c r="K165" s="15" t="s">
        <v>3042</v>
      </c>
      <c r="L165" s="25"/>
      <c r="N165" s="15" t="s">
        <v>3043</v>
      </c>
      <c r="P165" s="37" t="s">
        <v>25</v>
      </c>
    </row>
    <row r="166" spans="1:16">
      <c r="A166" s="14">
        <v>10765</v>
      </c>
      <c r="B166" s="14" t="s">
        <v>1333</v>
      </c>
      <c r="C166" s="14" t="s">
        <v>1220</v>
      </c>
      <c r="D166" s="4" t="s">
        <v>19</v>
      </c>
      <c r="E166" s="14">
        <v>109473</v>
      </c>
      <c r="F166" s="14">
        <v>14295525110</v>
      </c>
      <c r="G166" s="14">
        <v>495621108</v>
      </c>
      <c r="H166" s="28" t="s">
        <v>1334</v>
      </c>
      <c r="I166" s="28" t="s">
        <v>1334</v>
      </c>
      <c r="J166" s="3" t="s">
        <v>1335</v>
      </c>
      <c r="K166" s="15" t="s">
        <v>3044</v>
      </c>
      <c r="L166" s="25"/>
      <c r="N166" s="15" t="s">
        <v>3045</v>
      </c>
      <c r="P166" s="37" t="s">
        <v>25</v>
      </c>
    </row>
    <row r="167" spans="1:16">
      <c r="A167" s="14">
        <v>10766</v>
      </c>
      <c r="B167" s="14"/>
      <c r="C167" s="14" t="s">
        <v>1220</v>
      </c>
      <c r="D167" s="14"/>
      <c r="E167" s="14"/>
      <c r="F167" s="14"/>
      <c r="G167" s="14"/>
      <c r="H167" s="28"/>
      <c r="I167" s="28"/>
      <c r="L167" s="25"/>
    </row>
    <row r="168" spans="1:16">
      <c r="A168" s="14">
        <v>10767</v>
      </c>
      <c r="B168" s="14"/>
      <c r="C168" s="14" t="s">
        <v>1220</v>
      </c>
      <c r="D168" s="14"/>
      <c r="E168" s="14"/>
      <c r="F168" s="14"/>
      <c r="G168" s="14"/>
      <c r="H168" s="28"/>
      <c r="I168" s="28"/>
      <c r="L168" s="25"/>
    </row>
    <row r="169" spans="1:16">
      <c r="A169" s="14">
        <v>10768</v>
      </c>
      <c r="B169" s="14" t="s">
        <v>3046</v>
      </c>
      <c r="C169" s="14" t="s">
        <v>1220</v>
      </c>
      <c r="D169" s="4" t="s">
        <v>19</v>
      </c>
      <c r="E169" s="14">
        <v>111876</v>
      </c>
      <c r="F169" s="14">
        <v>15775498441</v>
      </c>
      <c r="G169" s="14">
        <v>514739885</v>
      </c>
      <c r="H169" s="28" t="s">
        <v>3047</v>
      </c>
      <c r="I169" s="28" t="s">
        <v>3047</v>
      </c>
      <c r="J169" s="3" t="s">
        <v>3048</v>
      </c>
      <c r="K169" s="15" t="s">
        <v>3049</v>
      </c>
      <c r="L169" s="25"/>
      <c r="N169" s="15" t="s">
        <v>3050</v>
      </c>
      <c r="P169" s="37" t="s">
        <v>25</v>
      </c>
    </row>
    <row r="170" spans="1:16">
      <c r="A170" s="14">
        <v>10769</v>
      </c>
      <c r="B170" s="14"/>
      <c r="C170" s="14" t="s">
        <v>1220</v>
      </c>
      <c r="D170" s="14"/>
      <c r="E170" s="14"/>
      <c r="F170" s="14"/>
      <c r="G170" s="14"/>
      <c r="H170" s="28"/>
      <c r="I170" s="28"/>
      <c r="L170" s="25"/>
    </row>
    <row r="171" spans="1:16">
      <c r="A171" s="14">
        <v>10770</v>
      </c>
      <c r="B171" s="14"/>
      <c r="C171" s="14" t="s">
        <v>1220</v>
      </c>
      <c r="D171" s="14"/>
      <c r="E171" s="14"/>
      <c r="F171" s="14"/>
      <c r="G171" s="14"/>
      <c r="H171" s="28"/>
      <c r="I171" s="28"/>
      <c r="L171" s="25"/>
    </row>
    <row r="172" spans="1:16">
      <c r="A172" s="14">
        <v>10771</v>
      </c>
      <c r="B172" s="14" t="s">
        <v>3051</v>
      </c>
      <c r="C172" s="14" t="s">
        <v>1220</v>
      </c>
      <c r="D172" s="4" t="s">
        <v>19</v>
      </c>
      <c r="E172" s="14">
        <v>111832</v>
      </c>
      <c r="F172" s="14">
        <v>15775317969</v>
      </c>
      <c r="G172" s="14">
        <v>514739847</v>
      </c>
      <c r="H172" s="28" t="s">
        <v>3052</v>
      </c>
      <c r="I172" s="28" t="s">
        <v>3052</v>
      </c>
      <c r="J172" s="3" t="s">
        <v>3053</v>
      </c>
      <c r="K172" s="15" t="s">
        <v>3054</v>
      </c>
      <c r="L172" s="25"/>
      <c r="N172" s="15" t="s">
        <v>3055</v>
      </c>
      <c r="P172" s="37" t="s">
        <v>25</v>
      </c>
    </row>
    <row r="173" spans="1:16">
      <c r="A173" s="14">
        <v>10772</v>
      </c>
      <c r="B173" s="14" t="s">
        <v>3056</v>
      </c>
      <c r="C173" s="14" t="s">
        <v>1220</v>
      </c>
      <c r="D173" s="4" t="s">
        <v>19</v>
      </c>
      <c r="E173" s="14">
        <v>111783</v>
      </c>
      <c r="F173" s="14">
        <v>15770689517</v>
      </c>
      <c r="G173" s="14">
        <v>514739922</v>
      </c>
      <c r="H173" s="28" t="s">
        <v>3057</v>
      </c>
      <c r="I173" s="28" t="s">
        <v>3057</v>
      </c>
      <c r="J173" s="3" t="s">
        <v>3058</v>
      </c>
      <c r="K173" s="15" t="s">
        <v>3059</v>
      </c>
      <c r="L173" s="25"/>
      <c r="N173" s="15" t="s">
        <v>3060</v>
      </c>
      <c r="P173" s="37" t="s">
        <v>25</v>
      </c>
    </row>
    <row r="174" spans="1:16">
      <c r="A174" s="14">
        <v>10773</v>
      </c>
      <c r="B174" s="14" t="s">
        <v>3061</v>
      </c>
      <c r="C174" s="14" t="s">
        <v>1220</v>
      </c>
      <c r="D174" s="4" t="s">
        <v>19</v>
      </c>
      <c r="E174" s="14">
        <v>110059</v>
      </c>
      <c r="F174" s="14">
        <v>14742707060</v>
      </c>
      <c r="G174" s="14">
        <v>501459308</v>
      </c>
      <c r="H174" s="28" t="s">
        <v>3062</v>
      </c>
      <c r="I174" s="28" t="s">
        <v>3062</v>
      </c>
      <c r="J174" s="3" t="s">
        <v>3063</v>
      </c>
      <c r="K174" s="15" t="s">
        <v>3064</v>
      </c>
      <c r="L174" s="25"/>
      <c r="N174" s="15" t="s">
        <v>3065</v>
      </c>
      <c r="P174" s="37" t="s">
        <v>25</v>
      </c>
    </row>
    <row r="175" spans="1:16">
      <c r="A175" s="14">
        <v>10774</v>
      </c>
      <c r="B175" s="14" t="s">
        <v>3066</v>
      </c>
      <c r="C175" s="14" t="s">
        <v>1220</v>
      </c>
      <c r="D175" s="4" t="s">
        <v>19</v>
      </c>
      <c r="E175" s="14">
        <v>111811</v>
      </c>
      <c r="F175" s="14">
        <v>15771909877</v>
      </c>
      <c r="G175" s="14">
        <v>514739919</v>
      </c>
      <c r="H175" s="28" t="s">
        <v>3067</v>
      </c>
      <c r="I175" s="28" t="s">
        <v>3067</v>
      </c>
      <c r="J175" s="3" t="s">
        <v>3068</v>
      </c>
      <c r="K175" s="15" t="s">
        <v>3069</v>
      </c>
      <c r="L175" s="25"/>
      <c r="N175" s="15" t="s">
        <v>3070</v>
      </c>
      <c r="P175" s="37" t="s">
        <v>25</v>
      </c>
    </row>
    <row r="176" spans="1:16">
      <c r="A176" s="14">
        <v>10775</v>
      </c>
      <c r="B176" s="14"/>
      <c r="C176" s="14" t="s">
        <v>1220</v>
      </c>
      <c r="D176" s="14"/>
      <c r="E176" s="14"/>
      <c r="F176" s="14"/>
      <c r="G176" s="14"/>
      <c r="H176" s="28"/>
      <c r="I176" s="28"/>
      <c r="L176" s="25"/>
    </row>
    <row r="177" spans="1:16">
      <c r="A177" s="14">
        <v>10776</v>
      </c>
      <c r="B177" s="14"/>
      <c r="C177" s="14" t="s">
        <v>1220</v>
      </c>
      <c r="D177" s="14"/>
      <c r="E177" s="14"/>
      <c r="F177" s="14"/>
      <c r="G177" s="14"/>
      <c r="H177" s="28"/>
      <c r="I177" s="28"/>
      <c r="L177" s="25"/>
    </row>
    <row r="178" spans="1:16">
      <c r="A178" s="14">
        <v>10777</v>
      </c>
      <c r="B178" s="14" t="s">
        <v>1357</v>
      </c>
      <c r="C178" s="14" t="s">
        <v>1220</v>
      </c>
      <c r="D178" s="4" t="s">
        <v>19</v>
      </c>
      <c r="E178" s="14">
        <v>109509</v>
      </c>
      <c r="F178" s="14">
        <v>14295558595</v>
      </c>
      <c r="G178" s="14">
        <v>495621131</v>
      </c>
      <c r="H178" s="28" t="s">
        <v>1358</v>
      </c>
      <c r="I178" s="28" t="s">
        <v>1358</v>
      </c>
      <c r="J178" s="3" t="s">
        <v>1359</v>
      </c>
      <c r="K178" s="15" t="s">
        <v>3071</v>
      </c>
      <c r="L178" s="25"/>
      <c r="N178" s="15" t="s">
        <v>3072</v>
      </c>
      <c r="P178" s="37" t="s">
        <v>25</v>
      </c>
    </row>
    <row r="179" spans="1:16">
      <c r="A179" s="14">
        <v>10778</v>
      </c>
      <c r="B179" s="14" t="s">
        <v>1361</v>
      </c>
      <c r="C179" s="14" t="s">
        <v>1220</v>
      </c>
      <c r="D179" s="4" t="s">
        <v>19</v>
      </c>
      <c r="E179" s="14">
        <v>109581</v>
      </c>
      <c r="F179" s="14">
        <v>14299454173</v>
      </c>
      <c r="G179" s="14">
        <v>495621209</v>
      </c>
      <c r="H179" s="28" t="s">
        <v>1362</v>
      </c>
      <c r="I179" s="28" t="s">
        <v>1362</v>
      </c>
      <c r="J179" s="3" t="s">
        <v>1363</v>
      </c>
      <c r="K179" s="15" t="s">
        <v>3073</v>
      </c>
      <c r="L179" s="25"/>
      <c r="N179" s="15" t="s">
        <v>3074</v>
      </c>
      <c r="P179" s="37" t="s">
        <v>25</v>
      </c>
    </row>
    <row r="180" spans="1:16">
      <c r="A180" s="14">
        <v>10779</v>
      </c>
      <c r="B180" s="14" t="s">
        <v>1365</v>
      </c>
      <c r="C180" s="14" t="s">
        <v>1220</v>
      </c>
      <c r="D180" s="4" t="s">
        <v>19</v>
      </c>
      <c r="E180" s="14">
        <v>109582</v>
      </c>
      <c r="F180" s="14">
        <v>14299454174</v>
      </c>
      <c r="G180" s="14">
        <v>495621095</v>
      </c>
      <c r="H180" s="28" t="s">
        <v>1366</v>
      </c>
      <c r="I180" s="28" t="s">
        <v>1366</v>
      </c>
      <c r="J180" s="3" t="s">
        <v>1367</v>
      </c>
      <c r="K180" s="15" t="s">
        <v>3075</v>
      </c>
      <c r="L180" s="25"/>
      <c r="N180" s="15" t="s">
        <v>3076</v>
      </c>
      <c r="P180" s="37" t="s">
        <v>25</v>
      </c>
    </row>
    <row r="181" spans="1:16">
      <c r="A181" s="14">
        <v>10780</v>
      </c>
      <c r="B181" s="14"/>
      <c r="C181" s="14" t="s">
        <v>1220</v>
      </c>
      <c r="D181" s="14"/>
      <c r="E181" s="14"/>
      <c r="F181" s="14"/>
      <c r="G181" s="14"/>
      <c r="H181" s="28"/>
      <c r="I181" s="28"/>
      <c r="L181" s="25"/>
    </row>
    <row r="182" spans="1:16">
      <c r="A182" s="14">
        <v>10781</v>
      </c>
      <c r="B182" s="14"/>
      <c r="C182" s="14" t="s">
        <v>1220</v>
      </c>
      <c r="D182" s="14"/>
      <c r="E182" s="14"/>
      <c r="F182" s="14"/>
      <c r="G182" s="14"/>
      <c r="H182" s="28"/>
      <c r="I182" s="28"/>
      <c r="L182" s="25"/>
    </row>
    <row r="183" spans="1:16">
      <c r="A183" s="14">
        <v>10782</v>
      </c>
      <c r="B183" s="14" t="s">
        <v>3077</v>
      </c>
      <c r="C183" s="14" t="s">
        <v>1220</v>
      </c>
      <c r="D183" s="4" t="s">
        <v>19</v>
      </c>
      <c r="E183" s="14">
        <v>111761</v>
      </c>
      <c r="F183" s="14">
        <v>15770538749</v>
      </c>
      <c r="G183" s="14">
        <v>514739916</v>
      </c>
      <c r="H183" s="28" t="s">
        <v>3078</v>
      </c>
      <c r="I183" s="28" t="s">
        <v>3078</v>
      </c>
      <c r="J183" s="3" t="s">
        <v>3079</v>
      </c>
      <c r="K183" s="15" t="s">
        <v>3080</v>
      </c>
      <c r="L183" s="25"/>
      <c r="N183" s="15" t="s">
        <v>3081</v>
      </c>
      <c r="P183" s="37" t="s">
        <v>25</v>
      </c>
    </row>
    <row r="184" spans="1:16">
      <c r="A184" s="14">
        <v>10783</v>
      </c>
      <c r="B184" s="14" t="s">
        <v>3082</v>
      </c>
      <c r="C184" s="14" t="s">
        <v>1220</v>
      </c>
      <c r="D184" s="4" t="s">
        <v>19</v>
      </c>
      <c r="E184" s="14">
        <v>111759</v>
      </c>
      <c r="F184" s="14">
        <v>15770538263</v>
      </c>
      <c r="G184" s="14">
        <v>514739742</v>
      </c>
      <c r="H184" s="28" t="s">
        <v>3083</v>
      </c>
      <c r="I184" s="28" t="s">
        <v>3083</v>
      </c>
      <c r="J184" s="3" t="s">
        <v>3084</v>
      </c>
      <c r="K184" s="15" t="s">
        <v>3085</v>
      </c>
      <c r="L184" s="25"/>
      <c r="N184" s="15" t="s">
        <v>3086</v>
      </c>
      <c r="P184" s="37" t="s">
        <v>25</v>
      </c>
    </row>
    <row r="185" spans="1:16">
      <c r="A185" s="14">
        <v>10784</v>
      </c>
      <c r="B185" s="14"/>
      <c r="C185" s="14" t="s">
        <v>1220</v>
      </c>
      <c r="D185" s="14"/>
      <c r="E185" s="14"/>
      <c r="F185" s="14"/>
      <c r="G185" s="14"/>
      <c r="H185" s="28"/>
      <c r="I185" s="28"/>
      <c r="L185" s="25"/>
    </row>
    <row r="186" spans="1:16">
      <c r="A186" s="14">
        <v>10785</v>
      </c>
      <c r="B186" s="14"/>
      <c r="C186" s="14" t="s">
        <v>1220</v>
      </c>
      <c r="D186" s="14"/>
      <c r="E186" s="14"/>
      <c r="F186" s="14"/>
      <c r="G186" s="14"/>
      <c r="H186" s="28"/>
      <c r="I186" s="28"/>
      <c r="L186" s="25"/>
    </row>
    <row r="187" spans="1:16">
      <c r="A187" s="14">
        <v>10786</v>
      </c>
      <c r="B187" s="14" t="s">
        <v>178</v>
      </c>
      <c r="C187" s="14" t="s">
        <v>1220</v>
      </c>
      <c r="D187" s="4" t="s">
        <v>19</v>
      </c>
      <c r="E187" s="14">
        <v>111801</v>
      </c>
      <c r="F187" s="14">
        <v>15771694467</v>
      </c>
      <c r="G187" s="14">
        <v>514739800</v>
      </c>
      <c r="H187" s="28" t="s">
        <v>3087</v>
      </c>
      <c r="I187" s="28" t="s">
        <v>3087</v>
      </c>
      <c r="J187" s="3" t="s">
        <v>3088</v>
      </c>
      <c r="K187" s="15" t="s">
        <v>3089</v>
      </c>
      <c r="L187" s="25"/>
      <c r="N187" s="3">
        <v>98000044</v>
      </c>
      <c r="P187" s="37" t="s">
        <v>25</v>
      </c>
    </row>
    <row r="188" spans="1:16">
      <c r="A188" s="14">
        <v>10787</v>
      </c>
      <c r="B188" s="14"/>
      <c r="C188" s="14" t="s">
        <v>1220</v>
      </c>
      <c r="D188" s="14"/>
      <c r="E188" s="14"/>
      <c r="F188" s="14"/>
      <c r="G188" s="14"/>
      <c r="H188" s="28"/>
      <c r="I188" s="28"/>
      <c r="L188" s="25"/>
    </row>
    <row r="189" spans="1:16">
      <c r="A189" s="14">
        <v>10788</v>
      </c>
      <c r="B189" s="14"/>
      <c r="C189" s="14" t="s">
        <v>1220</v>
      </c>
      <c r="D189" s="14"/>
      <c r="E189" s="14"/>
      <c r="F189" s="14"/>
      <c r="G189" s="14"/>
      <c r="H189" s="28"/>
      <c r="I189" s="28"/>
      <c r="L189" s="25"/>
    </row>
    <row r="190" spans="1:16">
      <c r="A190" s="14">
        <v>10789</v>
      </c>
      <c r="B190" s="14" t="s">
        <v>3090</v>
      </c>
      <c r="C190" s="14" t="s">
        <v>1220</v>
      </c>
      <c r="D190" s="4" t="s">
        <v>19</v>
      </c>
      <c r="E190" s="14">
        <v>110085</v>
      </c>
      <c r="F190" s="14">
        <v>14742925264</v>
      </c>
      <c r="G190" s="14">
        <v>501459299</v>
      </c>
      <c r="H190" s="28" t="s">
        <v>3091</v>
      </c>
      <c r="I190" s="28" t="s">
        <v>3091</v>
      </c>
      <c r="J190" s="3" t="s">
        <v>3092</v>
      </c>
      <c r="K190" s="15" t="s">
        <v>3093</v>
      </c>
      <c r="L190" s="25"/>
      <c r="N190" s="15" t="s">
        <v>3094</v>
      </c>
      <c r="P190" s="37" t="s">
        <v>25</v>
      </c>
    </row>
    <row r="191" spans="1:16">
      <c r="A191" s="14">
        <v>10790</v>
      </c>
      <c r="B191" s="14"/>
      <c r="C191" s="14" t="s">
        <v>1220</v>
      </c>
      <c r="D191" s="14"/>
      <c r="E191" s="14"/>
      <c r="F191" s="14"/>
      <c r="G191" s="14"/>
      <c r="H191" s="28"/>
      <c r="I191" s="28"/>
      <c r="L191" s="25"/>
    </row>
    <row r="192" spans="1:16">
      <c r="A192" s="14">
        <v>10791</v>
      </c>
      <c r="B192" s="14"/>
      <c r="C192" s="14" t="s">
        <v>1220</v>
      </c>
      <c r="D192" s="14"/>
      <c r="E192" s="14"/>
      <c r="F192" s="14"/>
      <c r="G192" s="14"/>
      <c r="H192" s="28"/>
      <c r="I192" s="28"/>
      <c r="L192" s="25"/>
    </row>
    <row r="193" spans="1:16">
      <c r="A193" s="14">
        <v>10792</v>
      </c>
      <c r="B193" s="14"/>
      <c r="C193" s="14" t="s">
        <v>1220</v>
      </c>
      <c r="D193" s="14"/>
      <c r="E193" s="14"/>
      <c r="F193" s="14"/>
      <c r="G193" s="14"/>
      <c r="H193" s="28"/>
      <c r="I193" s="28"/>
      <c r="L193" s="25"/>
    </row>
    <row r="194" spans="1:16">
      <c r="A194" s="14">
        <v>10793</v>
      </c>
      <c r="B194" s="14"/>
      <c r="C194" s="14" t="s">
        <v>1220</v>
      </c>
      <c r="D194" s="14"/>
      <c r="E194" s="14"/>
      <c r="F194" s="14"/>
      <c r="G194" s="14"/>
      <c r="H194" s="28"/>
      <c r="I194" s="28"/>
      <c r="L194" s="25"/>
    </row>
    <row r="195" spans="1:16">
      <c r="A195" s="14">
        <v>10794</v>
      </c>
      <c r="B195" s="14" t="s">
        <v>127</v>
      </c>
      <c r="C195" s="14" t="s">
        <v>1220</v>
      </c>
      <c r="D195" s="4" t="s">
        <v>19</v>
      </c>
      <c r="E195" s="14">
        <v>109679</v>
      </c>
      <c r="F195" s="14">
        <v>14507325719</v>
      </c>
      <c r="G195" s="14">
        <v>498373743</v>
      </c>
      <c r="H195" s="28" t="s">
        <v>3095</v>
      </c>
      <c r="I195" s="28" t="s">
        <v>3095</v>
      </c>
      <c r="J195" s="3" t="s">
        <v>3096</v>
      </c>
      <c r="K195" s="15" t="s">
        <v>3097</v>
      </c>
      <c r="L195" s="25"/>
      <c r="N195" s="15" t="s">
        <v>3098</v>
      </c>
      <c r="P195" s="37" t="s">
        <v>25</v>
      </c>
    </row>
    <row r="196" spans="1:16">
      <c r="A196" s="14">
        <v>10795</v>
      </c>
      <c r="B196" s="14"/>
      <c r="C196" s="14" t="s">
        <v>1220</v>
      </c>
      <c r="D196" s="14"/>
      <c r="E196" s="14"/>
      <c r="F196" s="14"/>
      <c r="G196" s="14"/>
      <c r="H196" s="28"/>
      <c r="I196" s="28"/>
      <c r="L196" s="25"/>
    </row>
    <row r="197" spans="1:16">
      <c r="A197" s="14">
        <v>10796</v>
      </c>
      <c r="B197" s="14"/>
      <c r="C197" s="14" t="s">
        <v>1220</v>
      </c>
      <c r="D197" s="14"/>
      <c r="E197" s="14"/>
      <c r="F197" s="14"/>
      <c r="G197" s="14"/>
      <c r="H197" s="28"/>
      <c r="I197" s="28"/>
      <c r="L197" s="25"/>
    </row>
    <row r="198" spans="1:16">
      <c r="A198" s="14">
        <v>10797</v>
      </c>
      <c r="B198" s="14" t="s">
        <v>1404</v>
      </c>
      <c r="C198" s="14" t="s">
        <v>1220</v>
      </c>
      <c r="D198" s="4" t="s">
        <v>19</v>
      </c>
      <c r="E198" s="14">
        <v>109522</v>
      </c>
      <c r="F198" s="14">
        <v>14295603740</v>
      </c>
      <c r="G198" s="14">
        <v>495621152</v>
      </c>
      <c r="H198" s="28" t="s">
        <v>1405</v>
      </c>
      <c r="I198" s="28" t="s">
        <v>1405</v>
      </c>
      <c r="J198" s="3" t="s">
        <v>1406</v>
      </c>
      <c r="K198" s="15" t="s">
        <v>3099</v>
      </c>
      <c r="L198" s="25"/>
      <c r="N198" s="15" t="s">
        <v>3100</v>
      </c>
      <c r="P198" s="37" t="s">
        <v>25</v>
      </c>
    </row>
    <row r="199" spans="1:16">
      <c r="A199" s="14">
        <v>10798</v>
      </c>
      <c r="B199" s="14" t="s">
        <v>3101</v>
      </c>
      <c r="C199" s="14" t="s">
        <v>1220</v>
      </c>
      <c r="D199" s="4" t="s">
        <v>19</v>
      </c>
      <c r="E199" s="14">
        <v>111841</v>
      </c>
      <c r="F199" s="14">
        <v>15775357184</v>
      </c>
      <c r="G199" s="14">
        <v>514739904</v>
      </c>
      <c r="H199" s="28" t="s">
        <v>3102</v>
      </c>
      <c r="I199" s="28" t="s">
        <v>3102</v>
      </c>
      <c r="J199" s="3" t="s">
        <v>3103</v>
      </c>
      <c r="K199" s="15" t="s">
        <v>3104</v>
      </c>
      <c r="L199" s="25"/>
      <c r="N199" s="15" t="s">
        <v>3105</v>
      </c>
      <c r="P199" s="37" t="s">
        <v>25</v>
      </c>
    </row>
    <row r="200" spans="1:16">
      <c r="A200" s="14">
        <v>10799</v>
      </c>
      <c r="B200" s="14" t="s">
        <v>1408</v>
      </c>
      <c r="C200" s="14" t="s">
        <v>1220</v>
      </c>
      <c r="D200" s="4" t="s">
        <v>19</v>
      </c>
      <c r="E200" s="14">
        <v>109480</v>
      </c>
      <c r="F200" s="14">
        <v>14295535825</v>
      </c>
      <c r="G200" s="14">
        <v>495621171</v>
      </c>
      <c r="H200" s="28" t="s">
        <v>1409</v>
      </c>
      <c r="I200" s="28" t="s">
        <v>1409</v>
      </c>
      <c r="J200" s="3" t="s">
        <v>1410</v>
      </c>
      <c r="K200" s="15" t="s">
        <v>3106</v>
      </c>
      <c r="L200" s="25"/>
      <c r="N200" s="15" t="s">
        <v>3107</v>
      </c>
      <c r="P200" s="37" t="s">
        <v>25</v>
      </c>
    </row>
    <row r="201" spans="1:16">
      <c r="A201" s="14">
        <v>10800</v>
      </c>
      <c r="B201" s="14" t="s">
        <v>1412</v>
      </c>
      <c r="C201" s="14" t="s">
        <v>1220</v>
      </c>
      <c r="D201" s="4" t="s">
        <v>19</v>
      </c>
      <c r="E201" s="14">
        <v>111734</v>
      </c>
      <c r="F201" s="14">
        <v>15770500091</v>
      </c>
      <c r="G201" s="14">
        <v>514739758</v>
      </c>
      <c r="H201" s="28" t="s">
        <v>3108</v>
      </c>
      <c r="I201" s="28" t="s">
        <v>3108</v>
      </c>
      <c r="J201" s="3" t="s">
        <v>3109</v>
      </c>
      <c r="K201" s="15" t="s">
        <v>3110</v>
      </c>
      <c r="L201" s="25"/>
      <c r="N201" s="15" t="s">
        <v>3111</v>
      </c>
      <c r="P201" s="37" t="s">
        <v>25</v>
      </c>
    </row>
    <row r="202" spans="1:16">
      <c r="A202" s="14">
        <v>10801</v>
      </c>
      <c r="B202" s="14"/>
      <c r="C202" s="14" t="s">
        <v>1220</v>
      </c>
      <c r="D202" s="14"/>
      <c r="E202" s="14"/>
      <c r="F202" s="14"/>
      <c r="G202" s="14"/>
      <c r="H202" s="28"/>
      <c r="I202" s="28"/>
      <c r="L202" s="25"/>
    </row>
    <row r="203" spans="1:16">
      <c r="A203" s="14">
        <v>10802</v>
      </c>
      <c r="B203" s="14" t="s">
        <v>3112</v>
      </c>
      <c r="C203" s="14" t="s">
        <v>1220</v>
      </c>
      <c r="D203" s="4" t="s">
        <v>19</v>
      </c>
      <c r="E203" s="14">
        <v>111866</v>
      </c>
      <c r="F203" s="14">
        <v>15775465149</v>
      </c>
      <c r="G203" s="14">
        <v>514739771</v>
      </c>
      <c r="H203" s="28" t="s">
        <v>3113</v>
      </c>
      <c r="I203" s="28" t="s">
        <v>3113</v>
      </c>
      <c r="J203" s="3" t="s">
        <v>3114</v>
      </c>
      <c r="K203" s="15" t="s">
        <v>3115</v>
      </c>
      <c r="L203" s="25"/>
      <c r="N203" s="15" t="s">
        <v>3116</v>
      </c>
      <c r="P203" s="37" t="s">
        <v>25</v>
      </c>
    </row>
    <row r="204" spans="1:16">
      <c r="A204" s="14">
        <v>10803</v>
      </c>
      <c r="B204" s="14"/>
      <c r="C204" s="14" t="s">
        <v>1220</v>
      </c>
      <c r="D204" s="14"/>
      <c r="E204" s="14"/>
      <c r="F204" s="14"/>
      <c r="G204" s="14"/>
      <c r="H204" s="28"/>
      <c r="I204" s="28"/>
      <c r="L204" s="25"/>
    </row>
    <row r="205" spans="1:16">
      <c r="A205" s="14">
        <v>10804</v>
      </c>
      <c r="B205" s="14"/>
      <c r="C205" s="14" t="s">
        <v>1220</v>
      </c>
      <c r="D205" s="14"/>
      <c r="E205" s="14"/>
      <c r="F205" s="14"/>
      <c r="G205" s="14"/>
      <c r="H205" s="28"/>
      <c r="I205" s="28"/>
      <c r="L205" s="25"/>
    </row>
    <row r="206" spans="1:16">
      <c r="A206" s="14">
        <v>10805</v>
      </c>
      <c r="B206" s="14" t="s">
        <v>3117</v>
      </c>
      <c r="C206" s="14" t="s">
        <v>1220</v>
      </c>
      <c r="D206" s="4" t="s">
        <v>19</v>
      </c>
      <c r="E206" s="14">
        <v>110073</v>
      </c>
      <c r="F206" s="14">
        <v>14742749552</v>
      </c>
      <c r="G206" s="14">
        <v>501459311</v>
      </c>
      <c r="H206" s="28" t="s">
        <v>3118</v>
      </c>
      <c r="I206" s="28" t="s">
        <v>3118</v>
      </c>
      <c r="J206" s="3" t="s">
        <v>3119</v>
      </c>
      <c r="K206" s="15" t="s">
        <v>3120</v>
      </c>
      <c r="L206" s="25"/>
      <c r="N206" s="15" t="s">
        <v>3121</v>
      </c>
      <c r="P206" s="37" t="s">
        <v>25</v>
      </c>
    </row>
    <row r="207" spans="1:16">
      <c r="A207" s="14">
        <v>10806</v>
      </c>
      <c r="B207" s="14" t="s">
        <v>3122</v>
      </c>
      <c r="C207" s="14" t="s">
        <v>1220</v>
      </c>
      <c r="D207" s="4" t="s">
        <v>19</v>
      </c>
      <c r="E207" s="14">
        <v>111724</v>
      </c>
      <c r="F207" s="14">
        <v>15770496214</v>
      </c>
      <c r="G207" s="14">
        <v>514739902</v>
      </c>
      <c r="H207" s="28" t="s">
        <v>3123</v>
      </c>
      <c r="I207" s="28" t="s">
        <v>3123</v>
      </c>
      <c r="J207" s="3" t="s">
        <v>3124</v>
      </c>
      <c r="K207" s="15" t="s">
        <v>3125</v>
      </c>
      <c r="L207" s="25"/>
      <c r="N207" s="15" t="s">
        <v>3126</v>
      </c>
      <c r="P207" s="37" t="s">
        <v>25</v>
      </c>
    </row>
    <row r="208" spans="1:16">
      <c r="A208" s="14">
        <v>10807</v>
      </c>
      <c r="B208" s="14" t="s">
        <v>3127</v>
      </c>
      <c r="C208" s="14" t="s">
        <v>1220</v>
      </c>
      <c r="D208" s="4" t="s">
        <v>19</v>
      </c>
      <c r="E208" s="14">
        <v>110067</v>
      </c>
      <c r="F208" s="14">
        <v>14742734826</v>
      </c>
      <c r="G208" s="14">
        <v>501459320</v>
      </c>
      <c r="H208" s="28" t="s">
        <v>3128</v>
      </c>
      <c r="I208" s="28" t="s">
        <v>3128</v>
      </c>
      <c r="J208" s="3" t="s">
        <v>3129</v>
      </c>
      <c r="K208" s="15" t="s">
        <v>3130</v>
      </c>
      <c r="L208" s="25"/>
      <c r="N208" s="15" t="s">
        <v>3131</v>
      </c>
      <c r="P208" s="37" t="s">
        <v>25</v>
      </c>
    </row>
    <row r="209" spans="1:16">
      <c r="A209" s="14">
        <v>10808</v>
      </c>
      <c r="B209" s="14"/>
      <c r="C209" s="14" t="s">
        <v>1220</v>
      </c>
      <c r="D209" s="14"/>
      <c r="E209" s="14"/>
      <c r="F209" s="14"/>
      <c r="G209" s="14"/>
      <c r="H209" s="28"/>
      <c r="I209" s="28"/>
      <c r="L209" s="25"/>
    </row>
    <row r="210" spans="1:16">
      <c r="A210" s="14">
        <v>10809</v>
      </c>
      <c r="B210" s="14"/>
      <c r="C210" s="14" t="s">
        <v>1220</v>
      </c>
      <c r="D210" s="14"/>
      <c r="E210" s="14"/>
      <c r="F210" s="14"/>
      <c r="G210" s="14"/>
      <c r="H210" s="28"/>
      <c r="I210" s="28"/>
      <c r="L210" s="25"/>
    </row>
    <row r="211" spans="1:16">
      <c r="A211" s="14">
        <v>10810</v>
      </c>
      <c r="B211" s="14" t="s">
        <v>3132</v>
      </c>
      <c r="C211" s="14" t="s">
        <v>1220</v>
      </c>
      <c r="D211" s="4" t="s">
        <v>19</v>
      </c>
      <c r="E211" s="14">
        <v>111878</v>
      </c>
      <c r="F211" s="14">
        <v>15775513408</v>
      </c>
      <c r="G211" s="14">
        <v>514739814</v>
      </c>
      <c r="H211" s="28" t="s">
        <v>3133</v>
      </c>
      <c r="I211" s="28" t="s">
        <v>3133</v>
      </c>
      <c r="J211" s="3" t="s">
        <v>3134</v>
      </c>
      <c r="K211" s="15" t="s">
        <v>3135</v>
      </c>
      <c r="L211" s="25"/>
      <c r="N211" s="15" t="s">
        <v>3136</v>
      </c>
      <c r="P211" s="37" t="s">
        <v>25</v>
      </c>
    </row>
    <row r="212" spans="1:16">
      <c r="A212" s="14">
        <v>10811</v>
      </c>
      <c r="B212" s="14" t="s">
        <v>1424</v>
      </c>
      <c r="C212" s="14" t="s">
        <v>1220</v>
      </c>
      <c r="D212" s="4" t="s">
        <v>19</v>
      </c>
      <c r="E212" s="14">
        <v>110092</v>
      </c>
      <c r="F212" s="14">
        <v>14742926839</v>
      </c>
      <c r="G212" s="14">
        <v>501459337</v>
      </c>
      <c r="H212" s="28" t="s">
        <v>3137</v>
      </c>
      <c r="I212" s="28" t="s">
        <v>3137</v>
      </c>
      <c r="J212" s="3" t="s">
        <v>3138</v>
      </c>
      <c r="K212" s="15" t="s">
        <v>3139</v>
      </c>
      <c r="L212" s="25"/>
      <c r="N212" s="15" t="s">
        <v>3140</v>
      </c>
      <c r="P212" s="37" t="s">
        <v>25</v>
      </c>
    </row>
    <row r="213" spans="1:16">
      <c r="A213" s="14">
        <v>10812</v>
      </c>
      <c r="B213" s="14" t="s">
        <v>3141</v>
      </c>
      <c r="C213" s="14" t="s">
        <v>1220</v>
      </c>
      <c r="D213" s="4" t="s">
        <v>19</v>
      </c>
      <c r="E213" s="14">
        <v>110087</v>
      </c>
      <c r="F213" s="14">
        <v>14742925573</v>
      </c>
      <c r="G213" s="14">
        <v>501459324</v>
      </c>
      <c r="H213" s="28" t="s">
        <v>3142</v>
      </c>
      <c r="I213" s="28" t="s">
        <v>3142</v>
      </c>
      <c r="J213" s="3" t="s">
        <v>3143</v>
      </c>
      <c r="K213" s="15" t="s">
        <v>3144</v>
      </c>
      <c r="L213" s="25"/>
      <c r="N213" s="15" t="s">
        <v>3145</v>
      </c>
      <c r="P213" s="37" t="s">
        <v>25</v>
      </c>
    </row>
    <row r="214" spans="1:16">
      <c r="A214" s="14">
        <v>10813</v>
      </c>
      <c r="B214" s="14"/>
      <c r="C214" s="14" t="s">
        <v>1220</v>
      </c>
      <c r="D214" s="14"/>
      <c r="E214" s="14"/>
      <c r="F214" s="14"/>
      <c r="G214" s="14"/>
      <c r="H214" s="28"/>
      <c r="I214" s="28"/>
      <c r="L214" s="25"/>
    </row>
    <row r="215" spans="1:16">
      <c r="A215" s="14">
        <v>10814</v>
      </c>
      <c r="B215" s="14"/>
      <c r="C215" s="14" t="s">
        <v>1220</v>
      </c>
      <c r="D215" s="14"/>
      <c r="E215" s="14"/>
      <c r="F215" s="14"/>
      <c r="G215" s="14"/>
      <c r="H215" s="28"/>
      <c r="I215" s="28"/>
      <c r="L215" s="25"/>
    </row>
    <row r="216" spans="1:16">
      <c r="A216" s="14">
        <v>10815</v>
      </c>
      <c r="B216" s="14"/>
      <c r="C216" s="14" t="s">
        <v>1220</v>
      </c>
      <c r="D216" s="14"/>
      <c r="E216" s="14"/>
      <c r="F216" s="14"/>
      <c r="G216" s="14"/>
      <c r="H216" s="28"/>
      <c r="I216" s="28"/>
      <c r="L216" s="25"/>
    </row>
    <row r="217" spans="1:16">
      <c r="A217" s="14">
        <v>10816</v>
      </c>
      <c r="B217" s="14" t="s">
        <v>1524</v>
      </c>
      <c r="C217" s="14" t="s">
        <v>1220</v>
      </c>
      <c r="D217" s="4" t="s">
        <v>19</v>
      </c>
      <c r="E217" s="14">
        <v>111753</v>
      </c>
      <c r="F217" s="14">
        <v>15770533780</v>
      </c>
      <c r="G217" s="14">
        <v>514739816</v>
      </c>
      <c r="H217" s="28" t="s">
        <v>3146</v>
      </c>
      <c r="I217" s="28" t="s">
        <v>3146</v>
      </c>
      <c r="J217" s="3" t="s">
        <v>3147</v>
      </c>
      <c r="K217" s="15" t="s">
        <v>3148</v>
      </c>
      <c r="L217" s="25"/>
      <c r="N217" s="15" t="s">
        <v>3149</v>
      </c>
      <c r="P217" s="37" t="s">
        <v>25</v>
      </c>
    </row>
    <row r="218" spans="1:16">
      <c r="A218" s="14">
        <v>10817</v>
      </c>
      <c r="B218" s="14"/>
      <c r="C218" s="14" t="s">
        <v>1220</v>
      </c>
      <c r="D218" s="14"/>
      <c r="E218" s="14"/>
      <c r="F218" s="14"/>
      <c r="G218" s="14"/>
      <c r="H218" s="28"/>
      <c r="I218" s="28"/>
      <c r="L218" s="25"/>
    </row>
    <row r="219" spans="1:16">
      <c r="A219" s="14">
        <v>10818</v>
      </c>
      <c r="B219" s="14"/>
      <c r="C219" s="14" t="s">
        <v>1220</v>
      </c>
      <c r="D219" s="14"/>
      <c r="E219" s="14"/>
      <c r="F219" s="14"/>
      <c r="G219" s="14"/>
      <c r="H219" s="28"/>
      <c r="I219" s="28"/>
      <c r="L219" s="25"/>
    </row>
    <row r="220" spans="1:16">
      <c r="A220" s="14">
        <v>10819</v>
      </c>
      <c r="B220" s="14" t="s">
        <v>1512</v>
      </c>
      <c r="C220" s="14" t="s">
        <v>1220</v>
      </c>
      <c r="D220" s="4" t="s">
        <v>19</v>
      </c>
      <c r="E220" s="14">
        <v>109514</v>
      </c>
      <c r="F220" s="14">
        <v>14295566308</v>
      </c>
      <c r="G220" s="14">
        <v>495621084</v>
      </c>
      <c r="H220" s="28" t="s">
        <v>1513</v>
      </c>
      <c r="I220" s="28" t="s">
        <v>1513</v>
      </c>
      <c r="J220" s="3" t="s">
        <v>1514</v>
      </c>
      <c r="K220" s="15" t="s">
        <v>3150</v>
      </c>
      <c r="L220" s="25"/>
      <c r="N220" s="15" t="s">
        <v>3151</v>
      </c>
      <c r="P220" s="37" t="s">
        <v>25</v>
      </c>
    </row>
    <row r="221" spans="1:16">
      <c r="A221" s="14">
        <v>10820</v>
      </c>
      <c r="B221" s="14" t="s">
        <v>1508</v>
      </c>
      <c r="C221" s="14" t="s">
        <v>1220</v>
      </c>
      <c r="D221" s="4" t="s">
        <v>19</v>
      </c>
      <c r="E221" s="14">
        <v>109460</v>
      </c>
      <c r="F221" s="14">
        <v>14295502213</v>
      </c>
      <c r="G221" s="14">
        <v>495621157</v>
      </c>
      <c r="H221" s="28" t="s">
        <v>1509</v>
      </c>
      <c r="I221" s="28" t="s">
        <v>1509</v>
      </c>
      <c r="J221" s="3" t="s">
        <v>1510</v>
      </c>
      <c r="K221" s="15" t="s">
        <v>3152</v>
      </c>
      <c r="L221" s="25"/>
      <c r="N221" s="15" t="s">
        <v>3153</v>
      </c>
      <c r="P221" s="37" t="s">
        <v>25</v>
      </c>
    </row>
    <row r="222" spans="1:16">
      <c r="A222" s="14">
        <v>10821</v>
      </c>
      <c r="B222" s="14"/>
      <c r="C222" s="14" t="s">
        <v>1220</v>
      </c>
      <c r="D222" s="14"/>
      <c r="E222" s="14"/>
      <c r="F222" s="14"/>
      <c r="G222" s="14"/>
      <c r="H222" s="28"/>
      <c r="I222" s="28"/>
      <c r="L222" s="25"/>
    </row>
    <row r="223" spans="1:16">
      <c r="A223" s="14">
        <v>10822</v>
      </c>
      <c r="B223" s="14"/>
      <c r="C223" s="14" t="s">
        <v>1220</v>
      </c>
      <c r="D223" s="14"/>
      <c r="E223" s="14"/>
      <c r="F223" s="14"/>
      <c r="G223" s="14"/>
      <c r="H223" s="28"/>
      <c r="I223" s="28"/>
      <c r="L223" s="25"/>
    </row>
    <row r="224" spans="1:16">
      <c r="A224" s="14">
        <v>10823</v>
      </c>
      <c r="B224" s="14" t="s">
        <v>1528</v>
      </c>
      <c r="C224" s="14" t="s">
        <v>1220</v>
      </c>
      <c r="D224" s="4" t="s">
        <v>19</v>
      </c>
      <c r="E224" s="14">
        <v>109445</v>
      </c>
      <c r="F224" s="14">
        <v>14295410180</v>
      </c>
      <c r="G224" s="14">
        <v>495621135</v>
      </c>
      <c r="H224" s="28" t="s">
        <v>1529</v>
      </c>
      <c r="I224" s="28" t="s">
        <v>1529</v>
      </c>
      <c r="J224" s="3" t="s">
        <v>1530</v>
      </c>
      <c r="K224" s="15" t="s">
        <v>3154</v>
      </c>
      <c r="L224" s="25"/>
      <c r="N224" s="15" t="s">
        <v>3155</v>
      </c>
      <c r="P224" s="37" t="s">
        <v>25</v>
      </c>
    </row>
    <row r="225" spans="1:16">
      <c r="A225" s="14">
        <v>10824</v>
      </c>
      <c r="B225" s="14" t="s">
        <v>1293</v>
      </c>
      <c r="C225" s="14" t="s">
        <v>1220</v>
      </c>
      <c r="D225" s="4" t="s">
        <v>19</v>
      </c>
      <c r="E225" s="14">
        <v>109557</v>
      </c>
      <c r="F225" s="14">
        <v>14295773996</v>
      </c>
      <c r="G225" s="14">
        <v>495621071</v>
      </c>
      <c r="H225" s="28" t="s">
        <v>1294</v>
      </c>
      <c r="I225" s="28" t="s">
        <v>1294</v>
      </c>
      <c r="J225" s="3" t="s">
        <v>1295</v>
      </c>
      <c r="K225" s="15" t="s">
        <v>3156</v>
      </c>
      <c r="L225" s="25"/>
      <c r="N225" s="15" t="s">
        <v>3157</v>
      </c>
      <c r="P225" s="37" t="s">
        <v>25</v>
      </c>
    </row>
    <row r="226" spans="1:16">
      <c r="A226" s="14">
        <v>10825</v>
      </c>
      <c r="B226" s="14" t="s">
        <v>3158</v>
      </c>
      <c r="C226" s="14" t="s">
        <v>1220</v>
      </c>
      <c r="D226" s="4" t="s">
        <v>19</v>
      </c>
      <c r="E226" s="14">
        <v>95945</v>
      </c>
      <c r="F226" s="14">
        <v>8011826044</v>
      </c>
      <c r="G226" s="14">
        <v>495621150</v>
      </c>
      <c r="H226" s="28" t="s">
        <v>1533</v>
      </c>
      <c r="I226" s="28" t="s">
        <v>1533</v>
      </c>
      <c r="J226" s="3" t="s">
        <v>1534</v>
      </c>
      <c r="K226" s="15" t="s">
        <v>3159</v>
      </c>
      <c r="L226" s="25"/>
      <c r="N226" s="15" t="s">
        <v>3160</v>
      </c>
      <c r="P226" s="37" t="s">
        <v>25</v>
      </c>
    </row>
    <row r="227" spans="1:16">
      <c r="A227" s="14">
        <v>10826</v>
      </c>
      <c r="B227" s="14" t="s">
        <v>3161</v>
      </c>
      <c r="C227" s="14" t="s">
        <v>1220</v>
      </c>
      <c r="D227" s="4" t="s">
        <v>19</v>
      </c>
      <c r="E227" s="14">
        <v>111880</v>
      </c>
      <c r="F227" s="14">
        <v>15775513410</v>
      </c>
      <c r="G227" s="14">
        <v>514739921</v>
      </c>
      <c r="H227" s="28" t="s">
        <v>3162</v>
      </c>
      <c r="I227" s="28" t="s">
        <v>3162</v>
      </c>
      <c r="J227" s="3" t="s">
        <v>3163</v>
      </c>
      <c r="K227" s="15" t="s">
        <v>3164</v>
      </c>
      <c r="L227" s="25"/>
      <c r="N227" s="15" t="s">
        <v>3165</v>
      </c>
      <c r="P227" s="37" t="s">
        <v>25</v>
      </c>
    </row>
    <row r="228" spans="1:16">
      <c r="A228" s="14">
        <v>10827</v>
      </c>
      <c r="B228" s="14"/>
      <c r="C228" s="14" t="s">
        <v>1220</v>
      </c>
      <c r="D228" s="14"/>
      <c r="E228" s="14"/>
      <c r="F228" s="14"/>
      <c r="G228" s="14"/>
      <c r="H228" s="28"/>
      <c r="I228" s="28"/>
      <c r="L228" s="25"/>
    </row>
    <row r="229" spans="1:16">
      <c r="A229" s="14">
        <v>10828</v>
      </c>
      <c r="B229" s="14"/>
      <c r="C229" s="14" t="s">
        <v>1220</v>
      </c>
      <c r="D229" s="14"/>
      <c r="E229" s="14"/>
      <c r="F229" s="14"/>
      <c r="G229" s="14"/>
      <c r="H229" s="28"/>
      <c r="I229" s="28"/>
      <c r="L229" s="25"/>
    </row>
    <row r="230" spans="1:16">
      <c r="A230" s="14">
        <v>10829</v>
      </c>
      <c r="B230" s="14" t="s">
        <v>3166</v>
      </c>
      <c r="C230" s="14" t="s">
        <v>1220</v>
      </c>
      <c r="D230" s="4" t="s">
        <v>19</v>
      </c>
      <c r="E230" s="14">
        <v>111719</v>
      </c>
      <c r="F230" s="14">
        <v>15770496209</v>
      </c>
      <c r="G230" s="14">
        <v>514739844</v>
      </c>
      <c r="H230" s="28" t="s">
        <v>3167</v>
      </c>
      <c r="I230" s="28" t="s">
        <v>3167</v>
      </c>
      <c r="J230" s="3" t="s">
        <v>3168</v>
      </c>
      <c r="K230" s="16" t="s">
        <v>3169</v>
      </c>
      <c r="L230" s="25"/>
      <c r="N230" s="15" t="s">
        <v>3170</v>
      </c>
      <c r="P230" s="37" t="s">
        <v>25</v>
      </c>
    </row>
    <row r="231" spans="1:16">
      <c r="A231" s="14">
        <v>10830</v>
      </c>
      <c r="B231" s="14"/>
      <c r="C231" s="14" t="s">
        <v>1220</v>
      </c>
      <c r="D231" s="14"/>
      <c r="E231" s="14"/>
      <c r="F231" s="14"/>
      <c r="G231" s="14"/>
      <c r="H231" s="28"/>
      <c r="I231" s="28"/>
      <c r="L231" s="25"/>
    </row>
    <row r="232" spans="1:16">
      <c r="A232" s="14">
        <v>10831</v>
      </c>
      <c r="B232" s="14"/>
      <c r="C232" s="14" t="s">
        <v>1220</v>
      </c>
      <c r="D232" s="14"/>
      <c r="E232" s="14"/>
      <c r="F232" s="14"/>
      <c r="G232" s="14"/>
      <c r="H232" s="28"/>
      <c r="I232" s="28"/>
      <c r="L232" s="25"/>
    </row>
    <row r="233" spans="1:16">
      <c r="A233" s="14">
        <v>10832</v>
      </c>
      <c r="B233" s="14" t="s">
        <v>1548</v>
      </c>
      <c r="C233" s="14" t="s">
        <v>1220</v>
      </c>
      <c r="D233" s="4" t="s">
        <v>19</v>
      </c>
      <c r="E233" s="14">
        <v>109543</v>
      </c>
      <c r="F233" s="14">
        <v>14295673282</v>
      </c>
      <c r="G233" s="14">
        <v>495621229</v>
      </c>
      <c r="H233" s="28" t="s">
        <v>1549</v>
      </c>
      <c r="I233" s="28" t="s">
        <v>1549</v>
      </c>
      <c r="J233" s="3" t="s">
        <v>1550</v>
      </c>
      <c r="K233" s="15" t="s">
        <v>3171</v>
      </c>
      <c r="L233" s="25"/>
      <c r="N233" s="15" t="s">
        <v>3172</v>
      </c>
      <c r="P233" s="37" t="s">
        <v>25</v>
      </c>
    </row>
    <row r="234" spans="1:16">
      <c r="A234" s="14">
        <v>10833</v>
      </c>
      <c r="B234" s="14"/>
      <c r="C234" s="14" t="s">
        <v>1220</v>
      </c>
      <c r="D234" s="14"/>
      <c r="E234" s="14"/>
      <c r="F234" s="14"/>
      <c r="G234" s="14"/>
      <c r="H234" s="28"/>
      <c r="I234" s="28"/>
      <c r="L234" s="25"/>
    </row>
    <row r="235" spans="1:16">
      <c r="A235" s="14">
        <v>10834</v>
      </c>
      <c r="B235" s="14"/>
      <c r="C235" s="14" t="s">
        <v>1220</v>
      </c>
      <c r="D235" s="14"/>
      <c r="E235" s="14"/>
      <c r="F235" s="14"/>
      <c r="G235" s="14"/>
      <c r="H235" s="28"/>
      <c r="I235" s="28"/>
      <c r="L235" s="25"/>
    </row>
    <row r="236" spans="1:16">
      <c r="A236" s="14">
        <v>10835</v>
      </c>
      <c r="B236" s="14" t="s">
        <v>1544</v>
      </c>
      <c r="C236" s="14" t="s">
        <v>1220</v>
      </c>
      <c r="D236" s="4" t="s">
        <v>19</v>
      </c>
      <c r="E236" s="14">
        <v>109485</v>
      </c>
      <c r="F236" s="14">
        <v>14295541152</v>
      </c>
      <c r="G236" s="14">
        <v>495621188</v>
      </c>
      <c r="H236" s="28" t="s">
        <v>1545</v>
      </c>
      <c r="I236" s="28" t="s">
        <v>1545</v>
      </c>
      <c r="J236" s="3" t="s">
        <v>1546</v>
      </c>
      <c r="K236" s="15" t="s">
        <v>3173</v>
      </c>
      <c r="L236" s="25"/>
      <c r="N236" s="15" t="s">
        <v>3174</v>
      </c>
      <c r="P236" s="37" t="s">
        <v>25</v>
      </c>
    </row>
    <row r="237" spans="1:16">
      <c r="A237" s="14">
        <v>10836</v>
      </c>
      <c r="B237" s="14" t="s">
        <v>3175</v>
      </c>
      <c r="C237" s="14" t="s">
        <v>1220</v>
      </c>
      <c r="D237" s="4" t="s">
        <v>19</v>
      </c>
      <c r="E237" s="14">
        <v>111901</v>
      </c>
      <c r="F237" s="14">
        <v>15775628881</v>
      </c>
      <c r="G237" s="14">
        <v>514739778</v>
      </c>
      <c r="H237" s="28" t="s">
        <v>3176</v>
      </c>
      <c r="I237" s="28" t="s">
        <v>3176</v>
      </c>
      <c r="J237" s="3" t="s">
        <v>3177</v>
      </c>
      <c r="K237" s="15" t="s">
        <v>3178</v>
      </c>
      <c r="L237" s="25"/>
      <c r="N237" s="15" t="s">
        <v>3179</v>
      </c>
      <c r="P237" s="37" t="s">
        <v>25</v>
      </c>
    </row>
    <row r="238" spans="1:16">
      <c r="A238" s="14">
        <v>10837</v>
      </c>
      <c r="B238" s="14" t="s">
        <v>1536</v>
      </c>
      <c r="C238" s="14" t="s">
        <v>1220</v>
      </c>
      <c r="D238" s="4" t="s">
        <v>19</v>
      </c>
      <c r="E238" s="14">
        <v>111869</v>
      </c>
      <c r="F238" s="14">
        <v>15775465152</v>
      </c>
      <c r="G238" s="14">
        <v>514739933</v>
      </c>
      <c r="H238" s="28" t="s">
        <v>3180</v>
      </c>
      <c r="I238" s="28" t="s">
        <v>3180</v>
      </c>
      <c r="J238" s="3" t="s">
        <v>3181</v>
      </c>
      <c r="K238" s="15" t="s">
        <v>3182</v>
      </c>
      <c r="L238" s="25"/>
      <c r="N238" s="15" t="s">
        <v>3183</v>
      </c>
      <c r="P238" s="37" t="s">
        <v>25</v>
      </c>
    </row>
    <row r="239" spans="1:16">
      <c r="A239" s="14">
        <v>10838</v>
      </c>
      <c r="B239" s="14"/>
      <c r="C239" s="14" t="s">
        <v>1220</v>
      </c>
      <c r="D239" s="14"/>
      <c r="E239" s="14"/>
      <c r="F239" s="14"/>
      <c r="G239" s="14"/>
      <c r="H239" s="28"/>
      <c r="I239" s="28"/>
      <c r="L239" s="25"/>
    </row>
    <row r="240" spans="1:16">
      <c r="A240" s="14">
        <v>10839</v>
      </c>
      <c r="B240" s="14"/>
      <c r="C240" s="14" t="s">
        <v>1220</v>
      </c>
      <c r="D240" s="14"/>
      <c r="E240" s="14"/>
      <c r="F240" s="14"/>
      <c r="G240" s="14"/>
      <c r="H240" s="28"/>
      <c r="I240" s="28"/>
      <c r="L240" s="25"/>
    </row>
    <row r="241" spans="1:16">
      <c r="A241" s="14">
        <v>10840</v>
      </c>
      <c r="B241" s="14" t="s">
        <v>3184</v>
      </c>
      <c r="C241" s="14" t="s">
        <v>1220</v>
      </c>
      <c r="D241" s="4" t="s">
        <v>19</v>
      </c>
      <c r="E241" s="14">
        <v>109469</v>
      </c>
      <c r="F241" s="14">
        <v>14295521367</v>
      </c>
      <c r="G241" s="14">
        <v>495621124</v>
      </c>
      <c r="H241" s="28" t="s">
        <v>1557</v>
      </c>
      <c r="I241" s="28" t="s">
        <v>1557</v>
      </c>
      <c r="J241" s="3" t="s">
        <v>1558</v>
      </c>
      <c r="K241" s="15" t="s">
        <v>3185</v>
      </c>
      <c r="L241" s="25"/>
      <c r="N241" s="15" t="s">
        <v>3186</v>
      </c>
      <c r="P241" s="37" t="s">
        <v>25</v>
      </c>
    </row>
    <row r="242" spans="1:16">
      <c r="A242" s="14">
        <v>10841</v>
      </c>
      <c r="B242" s="14"/>
      <c r="C242" s="14" t="s">
        <v>1220</v>
      </c>
      <c r="D242" s="14"/>
      <c r="E242" s="14"/>
      <c r="F242" s="14"/>
      <c r="G242" s="14"/>
      <c r="H242" s="28"/>
      <c r="I242" s="28"/>
      <c r="L242" s="25"/>
    </row>
    <row r="243" spans="1:16">
      <c r="A243" s="14">
        <v>10842</v>
      </c>
      <c r="B243" s="14" t="s">
        <v>3187</v>
      </c>
      <c r="C243" s="14" t="s">
        <v>1220</v>
      </c>
      <c r="D243" s="4" t="s">
        <v>19</v>
      </c>
      <c r="E243" s="14">
        <v>111716</v>
      </c>
      <c r="F243" s="14">
        <v>15770496206</v>
      </c>
      <c r="G243" s="14">
        <v>514739906</v>
      </c>
      <c r="H243" s="28" t="s">
        <v>3188</v>
      </c>
      <c r="I243" s="28" t="s">
        <v>3188</v>
      </c>
      <c r="J243" s="3" t="s">
        <v>3189</v>
      </c>
      <c r="K243" s="15" t="s">
        <v>3190</v>
      </c>
      <c r="L243" s="25"/>
      <c r="N243" s="15" t="s">
        <v>3191</v>
      </c>
      <c r="P243" s="37" t="s">
        <v>25</v>
      </c>
    </row>
    <row r="244" spans="1:16">
      <c r="A244" s="14">
        <v>10843</v>
      </c>
      <c r="B244" s="14"/>
      <c r="C244" s="14" t="s">
        <v>1220</v>
      </c>
      <c r="D244" s="14"/>
      <c r="E244" s="14"/>
      <c r="F244" s="14"/>
      <c r="G244" s="14"/>
      <c r="H244" s="28"/>
      <c r="I244" s="28"/>
      <c r="L244" s="25"/>
    </row>
    <row r="245" spans="1:16">
      <c r="A245" s="14">
        <v>10844</v>
      </c>
      <c r="B245" s="14"/>
      <c r="C245" s="14" t="s">
        <v>1220</v>
      </c>
      <c r="D245" s="14"/>
      <c r="E245" s="14"/>
      <c r="F245" s="14"/>
      <c r="G245" s="14"/>
      <c r="H245" s="28"/>
      <c r="I245" s="28"/>
      <c r="L245" s="25"/>
    </row>
    <row r="246" spans="1:16">
      <c r="A246" s="14">
        <v>10845</v>
      </c>
      <c r="B246" s="14" t="s">
        <v>3192</v>
      </c>
      <c r="C246" s="14" t="s">
        <v>1220</v>
      </c>
      <c r="D246" s="4" t="s">
        <v>19</v>
      </c>
      <c r="E246" s="14">
        <v>109462</v>
      </c>
      <c r="F246" s="14">
        <v>14295512097</v>
      </c>
      <c r="G246" s="14">
        <v>495621082</v>
      </c>
      <c r="H246" s="28" t="s">
        <v>3193</v>
      </c>
      <c r="I246" s="28" t="s">
        <v>3193</v>
      </c>
      <c r="J246" s="3" t="s">
        <v>3194</v>
      </c>
      <c r="K246" s="15" t="s">
        <v>3195</v>
      </c>
      <c r="L246" s="25"/>
      <c r="N246" s="15" t="s">
        <v>3196</v>
      </c>
      <c r="P246" s="37" t="s">
        <v>25</v>
      </c>
    </row>
    <row r="247" spans="1:16">
      <c r="A247" s="14">
        <v>10846</v>
      </c>
      <c r="B247" s="14"/>
      <c r="C247" s="14" t="s">
        <v>1220</v>
      </c>
      <c r="D247" s="14"/>
      <c r="E247" s="14"/>
      <c r="F247" s="14"/>
      <c r="G247" s="14"/>
      <c r="H247" s="28"/>
      <c r="I247" s="28"/>
      <c r="L247" s="25"/>
    </row>
    <row r="248" spans="1:16">
      <c r="A248" s="14">
        <v>10847</v>
      </c>
      <c r="B248" s="14"/>
      <c r="C248" s="14" t="s">
        <v>1220</v>
      </c>
      <c r="D248" s="14"/>
      <c r="E248" s="14"/>
      <c r="F248" s="14"/>
      <c r="G248" s="14"/>
      <c r="H248" s="28"/>
      <c r="I248" s="28"/>
      <c r="L248" s="25"/>
    </row>
    <row r="249" spans="1:16">
      <c r="A249" s="14">
        <v>10848</v>
      </c>
      <c r="B249" s="14"/>
      <c r="C249" s="14" t="s">
        <v>1220</v>
      </c>
      <c r="D249" s="14"/>
      <c r="E249" s="14"/>
      <c r="F249" s="14"/>
      <c r="G249" s="14"/>
      <c r="H249" s="28"/>
      <c r="I249" s="28"/>
      <c r="L249" s="25"/>
    </row>
    <row r="250" spans="1:16">
      <c r="A250" s="14">
        <v>10849</v>
      </c>
      <c r="B250" s="14" t="s">
        <v>3197</v>
      </c>
      <c r="C250" s="14" t="s">
        <v>1220</v>
      </c>
      <c r="D250" s="4" t="s">
        <v>19</v>
      </c>
      <c r="E250" s="14">
        <v>111778</v>
      </c>
      <c r="F250" s="14">
        <v>15770544851</v>
      </c>
      <c r="G250" s="14">
        <v>514739832</v>
      </c>
      <c r="H250" s="28" t="s">
        <v>3198</v>
      </c>
      <c r="I250" s="28" t="s">
        <v>3198</v>
      </c>
      <c r="J250" s="3" t="s">
        <v>3199</v>
      </c>
      <c r="K250" s="15" t="s">
        <v>3200</v>
      </c>
      <c r="L250" s="25"/>
      <c r="N250" s="15" t="s">
        <v>3201</v>
      </c>
      <c r="P250" s="37" t="s">
        <v>25</v>
      </c>
    </row>
    <row r="251" spans="1:16">
      <c r="A251" s="14">
        <v>10850</v>
      </c>
      <c r="B251" s="14"/>
      <c r="C251" s="14" t="s">
        <v>1220</v>
      </c>
      <c r="D251" s="14"/>
      <c r="E251" s="14"/>
      <c r="F251" s="14"/>
      <c r="G251" s="14"/>
      <c r="H251" s="28"/>
      <c r="I251" s="28"/>
      <c r="L251" s="25"/>
    </row>
    <row r="252" spans="1:16">
      <c r="A252" s="14">
        <v>10851</v>
      </c>
      <c r="B252" s="14"/>
      <c r="C252" s="14" t="s">
        <v>1220</v>
      </c>
      <c r="D252" s="14"/>
      <c r="E252" s="14"/>
      <c r="F252" s="14"/>
      <c r="G252" s="14"/>
      <c r="H252" s="28"/>
      <c r="I252" s="28"/>
      <c r="L252" s="25"/>
    </row>
    <row r="253" spans="1:16">
      <c r="A253" s="14">
        <v>10852</v>
      </c>
      <c r="B253" s="14" t="s">
        <v>3202</v>
      </c>
      <c r="C253" s="14" t="s">
        <v>1220</v>
      </c>
      <c r="D253" s="4" t="s">
        <v>19</v>
      </c>
      <c r="E253" s="14">
        <v>109459</v>
      </c>
      <c r="F253" s="14">
        <v>14295464873</v>
      </c>
      <c r="G253" s="14">
        <v>495621181</v>
      </c>
      <c r="H253" s="28" t="s">
        <v>3203</v>
      </c>
      <c r="I253" s="28" t="s">
        <v>3203</v>
      </c>
      <c r="J253" s="3" t="s">
        <v>3204</v>
      </c>
      <c r="K253" s="15" t="s">
        <v>3205</v>
      </c>
      <c r="L253" s="25"/>
      <c r="N253" s="16" t="s">
        <v>3206</v>
      </c>
      <c r="P253" s="37" t="s">
        <v>25</v>
      </c>
    </row>
    <row r="254" spans="1:16">
      <c r="A254" s="14">
        <v>10853</v>
      </c>
      <c r="B254" s="14" t="s">
        <v>3207</v>
      </c>
      <c r="C254" s="14" t="s">
        <v>1220</v>
      </c>
      <c r="D254" s="4" t="s">
        <v>19</v>
      </c>
      <c r="E254" s="14">
        <v>109444</v>
      </c>
      <c r="F254" s="14">
        <v>14295403366</v>
      </c>
      <c r="G254" s="14">
        <v>495621210</v>
      </c>
      <c r="H254" s="28" t="s">
        <v>3208</v>
      </c>
      <c r="I254" s="28" t="s">
        <v>3208</v>
      </c>
      <c r="J254" s="3" t="s">
        <v>3209</v>
      </c>
      <c r="K254" s="15" t="s">
        <v>3210</v>
      </c>
      <c r="L254" s="25"/>
      <c r="N254" s="16" t="s">
        <v>3211</v>
      </c>
      <c r="P254" s="37" t="s">
        <v>25</v>
      </c>
    </row>
    <row r="255" spans="1:16">
      <c r="A255" s="14">
        <v>10854</v>
      </c>
      <c r="B255" s="14"/>
      <c r="C255" s="14" t="s">
        <v>1220</v>
      </c>
      <c r="D255" s="14"/>
      <c r="E255" s="14"/>
      <c r="F255" s="14"/>
      <c r="G255" s="14"/>
      <c r="H255" s="28"/>
      <c r="I255" s="28"/>
      <c r="L255" s="25"/>
    </row>
    <row r="256" spans="1:16">
      <c r="A256" s="14">
        <v>10855</v>
      </c>
      <c r="B256" s="14"/>
      <c r="C256" s="14" t="s">
        <v>1220</v>
      </c>
      <c r="D256" s="14"/>
      <c r="E256" s="14"/>
      <c r="F256" s="14"/>
      <c r="G256" s="14"/>
      <c r="H256" s="28"/>
      <c r="I256" s="28"/>
      <c r="L256" s="25"/>
    </row>
    <row r="257" spans="1:16">
      <c r="A257" s="14">
        <v>10856</v>
      </c>
      <c r="B257" s="14" t="s">
        <v>1564</v>
      </c>
      <c r="C257" s="14" t="s">
        <v>1220</v>
      </c>
      <c r="D257" s="4" t="s">
        <v>19</v>
      </c>
      <c r="E257" s="14">
        <v>109515</v>
      </c>
      <c r="F257" s="14">
        <v>14295567136</v>
      </c>
      <c r="G257" s="14">
        <v>495621116</v>
      </c>
      <c r="H257" s="28" t="s">
        <v>3212</v>
      </c>
      <c r="I257" s="28" t="s">
        <v>3212</v>
      </c>
      <c r="J257" s="3" t="s">
        <v>1566</v>
      </c>
      <c r="K257" s="15" t="s">
        <v>3213</v>
      </c>
      <c r="L257" s="25"/>
      <c r="N257" s="15" t="s">
        <v>3214</v>
      </c>
      <c r="P257" s="37" t="s">
        <v>25</v>
      </c>
    </row>
    <row r="258" spans="1:16">
      <c r="A258" s="14">
        <v>10857</v>
      </c>
      <c r="B258" s="14" t="s">
        <v>1568</v>
      </c>
      <c r="C258" s="14" t="s">
        <v>1220</v>
      </c>
      <c r="D258" s="4" t="s">
        <v>19</v>
      </c>
      <c r="E258" s="14">
        <v>109447</v>
      </c>
      <c r="F258" s="14">
        <v>14295420576</v>
      </c>
      <c r="G258" s="14">
        <v>495621201</v>
      </c>
      <c r="H258" s="28" t="s">
        <v>1569</v>
      </c>
      <c r="I258" s="28" t="s">
        <v>1569</v>
      </c>
      <c r="J258" s="3" t="s">
        <v>1570</v>
      </c>
      <c r="K258" s="15" t="s">
        <v>3215</v>
      </c>
      <c r="L258" s="25"/>
      <c r="N258" s="15" t="s">
        <v>3216</v>
      </c>
      <c r="P258" s="37" t="s">
        <v>25</v>
      </c>
    </row>
    <row r="259" spans="1:16">
      <c r="A259" s="14">
        <v>10858</v>
      </c>
      <c r="B259" s="14"/>
      <c r="C259" s="14" t="s">
        <v>1220</v>
      </c>
      <c r="D259" s="14"/>
      <c r="E259" s="14"/>
      <c r="F259" s="14"/>
      <c r="G259" s="14"/>
      <c r="H259" s="28"/>
      <c r="I259" s="28"/>
      <c r="L259" s="25"/>
    </row>
    <row r="260" spans="1:16">
      <c r="A260" s="14">
        <v>10859</v>
      </c>
      <c r="B260" s="14"/>
      <c r="C260" s="14" t="s">
        <v>1220</v>
      </c>
      <c r="D260" s="14"/>
      <c r="E260" s="14"/>
      <c r="F260" s="14"/>
      <c r="G260" s="14"/>
      <c r="H260" s="28"/>
      <c r="I260" s="28"/>
      <c r="L260" s="25"/>
    </row>
    <row r="261" spans="1:16">
      <c r="A261" s="14">
        <v>10860</v>
      </c>
      <c r="B261" s="14"/>
      <c r="C261" s="14" t="s">
        <v>1220</v>
      </c>
      <c r="D261" s="14"/>
      <c r="E261" s="14"/>
      <c r="F261" s="14"/>
      <c r="G261" s="14"/>
      <c r="H261" s="28"/>
      <c r="I261" s="28"/>
      <c r="L261" s="25"/>
    </row>
    <row r="262" spans="1:16">
      <c r="A262" s="14">
        <v>10861</v>
      </c>
      <c r="B262" s="14" t="s">
        <v>3217</v>
      </c>
      <c r="C262" s="14" t="s">
        <v>1220</v>
      </c>
      <c r="D262" s="4" t="s">
        <v>19</v>
      </c>
      <c r="E262" s="14">
        <v>111893</v>
      </c>
      <c r="F262" s="14">
        <v>15775598836</v>
      </c>
      <c r="G262" s="14">
        <v>514739858</v>
      </c>
      <c r="H262" s="28" t="s">
        <v>3218</v>
      </c>
      <c r="I262" s="28" t="s">
        <v>3218</v>
      </c>
      <c r="J262" s="3" t="s">
        <v>3219</v>
      </c>
      <c r="K262" s="15" t="s">
        <v>3220</v>
      </c>
      <c r="L262" s="25"/>
      <c r="N262" s="15" t="s">
        <v>3221</v>
      </c>
      <c r="P262" s="37" t="s">
        <v>25</v>
      </c>
    </row>
    <row r="263" spans="1:16">
      <c r="A263" s="14">
        <v>10862</v>
      </c>
      <c r="B263" s="14" t="s">
        <v>1396</v>
      </c>
      <c r="C263" s="14" t="s">
        <v>1220</v>
      </c>
      <c r="D263" s="4" t="s">
        <v>19</v>
      </c>
      <c r="E263" s="14">
        <v>111892</v>
      </c>
      <c r="F263" s="14">
        <v>15775598835</v>
      </c>
      <c r="G263" s="14">
        <v>514739890</v>
      </c>
      <c r="H263" s="28" t="s">
        <v>3222</v>
      </c>
      <c r="I263" s="28" t="s">
        <v>3222</v>
      </c>
      <c r="J263" s="3" t="s">
        <v>3223</v>
      </c>
      <c r="K263" s="15" t="s">
        <v>3224</v>
      </c>
      <c r="L263" s="25"/>
      <c r="N263" s="15" t="s">
        <v>3225</v>
      </c>
      <c r="P263" s="37" t="s">
        <v>25</v>
      </c>
    </row>
    <row r="264" spans="1:16">
      <c r="A264" s="14">
        <v>10863</v>
      </c>
      <c r="B264" s="14"/>
      <c r="C264" s="14" t="s">
        <v>1220</v>
      </c>
      <c r="D264" s="14"/>
      <c r="E264" s="14"/>
      <c r="F264" s="14"/>
      <c r="G264" s="14"/>
      <c r="H264" s="28"/>
      <c r="I264" s="28"/>
      <c r="L264" s="25"/>
    </row>
    <row r="265" spans="1:16">
      <c r="A265" s="14">
        <v>10864</v>
      </c>
      <c r="B265" s="14"/>
      <c r="C265" s="14" t="s">
        <v>1220</v>
      </c>
      <c r="D265" s="14"/>
      <c r="E265" s="14"/>
      <c r="F265" s="14"/>
      <c r="G265" s="14"/>
      <c r="H265" s="28"/>
      <c r="I265" s="28"/>
      <c r="L265" s="25"/>
    </row>
    <row r="266" spans="1:16">
      <c r="A266" s="14">
        <v>10865</v>
      </c>
      <c r="B266" s="14" t="s">
        <v>1381</v>
      </c>
      <c r="C266" s="14" t="s">
        <v>1220</v>
      </c>
      <c r="D266" s="4" t="s">
        <v>19</v>
      </c>
      <c r="E266" s="14">
        <v>109477</v>
      </c>
      <c r="F266" s="14">
        <v>14295529893</v>
      </c>
      <c r="G266" s="14">
        <v>495621178</v>
      </c>
      <c r="H266" s="28" t="s">
        <v>1382</v>
      </c>
      <c r="I266" s="28" t="s">
        <v>1382</v>
      </c>
      <c r="J266" s="3" t="s">
        <v>1383</v>
      </c>
      <c r="K266" s="15" t="s">
        <v>3226</v>
      </c>
      <c r="L266" s="25"/>
      <c r="N266" s="15" t="s">
        <v>3227</v>
      </c>
      <c r="P266" s="37" t="s">
        <v>25</v>
      </c>
    </row>
    <row r="267" spans="1:16">
      <c r="A267" s="14">
        <v>10866</v>
      </c>
      <c r="B267" s="14" t="s">
        <v>3228</v>
      </c>
      <c r="C267" s="14" t="s">
        <v>1220</v>
      </c>
      <c r="D267" s="4" t="s">
        <v>19</v>
      </c>
      <c r="E267" s="14">
        <v>111732</v>
      </c>
      <c r="F267" s="14">
        <v>15770500089</v>
      </c>
      <c r="G267" s="14">
        <v>514739736</v>
      </c>
      <c r="H267" s="28" t="s">
        <v>3229</v>
      </c>
      <c r="I267" s="28" t="s">
        <v>3229</v>
      </c>
      <c r="J267" s="3" t="s">
        <v>3230</v>
      </c>
      <c r="K267" s="15" t="s">
        <v>3231</v>
      </c>
      <c r="L267" s="25"/>
      <c r="N267" s="15" t="s">
        <v>3232</v>
      </c>
      <c r="P267" s="37" t="s">
        <v>25</v>
      </c>
    </row>
    <row r="268" spans="1:16">
      <c r="A268" s="14">
        <v>10867</v>
      </c>
      <c r="B268" s="14" t="s">
        <v>3233</v>
      </c>
      <c r="C268" s="14" t="s">
        <v>1220</v>
      </c>
      <c r="D268" s="4" t="s">
        <v>19</v>
      </c>
      <c r="E268" s="14">
        <v>109442</v>
      </c>
      <c r="F268" s="14">
        <v>14295331570</v>
      </c>
      <c r="G268" s="14">
        <v>495621180</v>
      </c>
      <c r="H268" s="28" t="s">
        <v>3234</v>
      </c>
      <c r="I268" s="28" t="s">
        <v>3234</v>
      </c>
      <c r="J268" s="3" t="s">
        <v>3235</v>
      </c>
      <c r="K268" s="15" t="s">
        <v>3236</v>
      </c>
      <c r="L268" s="25"/>
      <c r="N268" s="15" t="s">
        <v>3237</v>
      </c>
      <c r="P268" s="37" t="s">
        <v>25</v>
      </c>
    </row>
    <row r="269" spans="1:16">
      <c r="A269" s="14">
        <v>10868</v>
      </c>
      <c r="B269" s="14" t="s">
        <v>3238</v>
      </c>
      <c r="C269" s="14" t="s">
        <v>1220</v>
      </c>
      <c r="D269" s="4" t="s">
        <v>19</v>
      </c>
      <c r="E269" s="14">
        <v>109592</v>
      </c>
      <c r="F269" s="14">
        <v>14299667371</v>
      </c>
      <c r="G269" s="14">
        <v>495621114</v>
      </c>
      <c r="H269" s="28" t="s">
        <v>1386</v>
      </c>
      <c r="I269" s="28" t="s">
        <v>1386</v>
      </c>
      <c r="J269" s="3" t="s">
        <v>1387</v>
      </c>
      <c r="K269" s="15" t="s">
        <v>3239</v>
      </c>
      <c r="L269" s="25"/>
      <c r="N269" s="15" t="s">
        <v>3240</v>
      </c>
      <c r="P269" s="37" t="s">
        <v>25</v>
      </c>
    </row>
    <row r="270" spans="1:16">
      <c r="A270" s="14">
        <v>10869</v>
      </c>
      <c r="B270" s="14"/>
      <c r="C270" s="14" t="s">
        <v>1220</v>
      </c>
      <c r="D270" s="14"/>
      <c r="E270" s="14"/>
      <c r="F270" s="14"/>
      <c r="G270" s="14"/>
      <c r="H270" s="28"/>
      <c r="I270" s="28"/>
      <c r="L270" s="25"/>
    </row>
    <row r="271" spans="1:16">
      <c r="A271" s="14">
        <v>10870</v>
      </c>
      <c r="B271" s="14"/>
      <c r="C271" s="14" t="s">
        <v>1220</v>
      </c>
      <c r="D271" s="14"/>
      <c r="E271" s="14"/>
      <c r="F271" s="14"/>
      <c r="G271" s="14"/>
      <c r="H271" s="28"/>
      <c r="I271" s="28"/>
      <c r="L271" s="25"/>
    </row>
    <row r="272" spans="1:16">
      <c r="A272" s="14">
        <v>10871</v>
      </c>
      <c r="B272" s="14"/>
      <c r="C272" s="14" t="s">
        <v>1220</v>
      </c>
      <c r="D272" s="14"/>
      <c r="E272" s="14"/>
      <c r="F272" s="14"/>
      <c r="G272" s="14"/>
      <c r="H272" s="28"/>
      <c r="I272" s="28"/>
      <c r="L272" s="25"/>
    </row>
    <row r="273" spans="1:16">
      <c r="A273" s="14">
        <v>10872</v>
      </c>
      <c r="B273" s="14"/>
      <c r="C273" s="14" t="s">
        <v>1220</v>
      </c>
      <c r="D273" s="14"/>
      <c r="E273" s="14"/>
      <c r="F273" s="14"/>
      <c r="G273" s="14"/>
      <c r="H273" s="28"/>
      <c r="I273" s="28"/>
      <c r="L273" s="25"/>
    </row>
    <row r="274" spans="1:16">
      <c r="A274" s="14">
        <v>10873</v>
      </c>
      <c r="B274" s="14" t="s">
        <v>844</v>
      </c>
      <c r="C274" s="14" t="s">
        <v>1220</v>
      </c>
      <c r="D274" s="4" t="s">
        <v>19</v>
      </c>
      <c r="E274" s="14">
        <v>109667</v>
      </c>
      <c r="F274" s="14">
        <v>14507304763</v>
      </c>
      <c r="G274" s="14">
        <v>498373749</v>
      </c>
      <c r="H274" s="28" t="s">
        <v>3241</v>
      </c>
      <c r="I274" s="28" t="s">
        <v>3241</v>
      </c>
      <c r="J274" s="3" t="s">
        <v>3242</v>
      </c>
      <c r="K274" s="15" t="s">
        <v>3243</v>
      </c>
      <c r="L274" s="25"/>
      <c r="N274" s="15" t="s">
        <v>3244</v>
      </c>
      <c r="P274" s="37" t="s">
        <v>25</v>
      </c>
    </row>
    <row r="275" spans="1:16">
      <c r="A275" s="14">
        <v>10874</v>
      </c>
      <c r="B275" s="14"/>
      <c r="C275" s="14" t="s">
        <v>1220</v>
      </c>
      <c r="D275" s="14"/>
      <c r="E275" s="14"/>
      <c r="F275" s="14"/>
      <c r="G275" s="14"/>
      <c r="H275" s="28"/>
      <c r="I275" s="28"/>
      <c r="L275" s="25"/>
    </row>
    <row r="276" spans="1:16">
      <c r="A276" s="14">
        <v>10875</v>
      </c>
      <c r="B276" s="14"/>
      <c r="C276" s="14" t="s">
        <v>1220</v>
      </c>
      <c r="D276" s="14"/>
      <c r="E276" s="14"/>
      <c r="F276" s="14"/>
      <c r="G276" s="14"/>
      <c r="H276" s="28"/>
      <c r="I276" s="28"/>
      <c r="L276" s="25"/>
    </row>
    <row r="277" spans="1:16">
      <c r="A277" s="14">
        <v>10876</v>
      </c>
      <c r="B277" s="14" t="s">
        <v>1632</v>
      </c>
      <c r="C277" s="14" t="s">
        <v>1220</v>
      </c>
      <c r="D277" s="4" t="s">
        <v>19</v>
      </c>
      <c r="E277" s="14">
        <v>111703</v>
      </c>
      <c r="F277" s="14">
        <v>15770479305</v>
      </c>
      <c r="G277" s="14">
        <v>514739895</v>
      </c>
      <c r="H277" s="28" t="s">
        <v>3245</v>
      </c>
      <c r="I277" s="28" t="s">
        <v>3245</v>
      </c>
      <c r="J277" s="3" t="s">
        <v>3246</v>
      </c>
      <c r="K277" s="15" t="s">
        <v>3247</v>
      </c>
      <c r="L277" s="25"/>
      <c r="N277" s="15" t="s">
        <v>3248</v>
      </c>
      <c r="P277" s="37" t="s">
        <v>25</v>
      </c>
    </row>
    <row r="278" spans="1:16">
      <c r="A278" s="14">
        <v>10877</v>
      </c>
      <c r="B278" s="14"/>
      <c r="C278" s="14" t="s">
        <v>1220</v>
      </c>
      <c r="D278" s="14"/>
      <c r="E278" s="14"/>
      <c r="F278" s="14"/>
      <c r="G278" s="14"/>
      <c r="H278" s="28"/>
      <c r="I278" s="28"/>
      <c r="L278" s="25"/>
    </row>
    <row r="279" spans="1:16">
      <c r="A279" s="14">
        <v>10878</v>
      </c>
      <c r="B279" s="14"/>
      <c r="C279" s="14" t="s">
        <v>1220</v>
      </c>
      <c r="D279" s="14"/>
      <c r="E279" s="14"/>
      <c r="F279" s="14"/>
      <c r="G279" s="14"/>
      <c r="H279" s="28"/>
      <c r="I279" s="28"/>
      <c r="L279" s="25"/>
    </row>
    <row r="280" spans="1:16">
      <c r="A280" s="14">
        <v>10879</v>
      </c>
      <c r="B280" s="14" t="s">
        <v>855</v>
      </c>
      <c r="C280" s="14" t="s">
        <v>1220</v>
      </c>
      <c r="D280" s="4" t="s">
        <v>19</v>
      </c>
      <c r="E280" s="14">
        <v>99976</v>
      </c>
      <c r="F280" s="14">
        <v>8750617679</v>
      </c>
      <c r="G280" s="14">
        <v>424579023</v>
      </c>
      <c r="H280" s="28" t="s">
        <v>3249</v>
      </c>
      <c r="I280" s="28" t="s">
        <v>3249</v>
      </c>
      <c r="J280" s="3" t="s">
        <v>856</v>
      </c>
      <c r="K280" s="15" t="s">
        <v>3250</v>
      </c>
      <c r="L280" s="25"/>
      <c r="N280" s="15" t="s">
        <v>3251</v>
      </c>
      <c r="P280" s="37" t="s">
        <v>25</v>
      </c>
    </row>
    <row r="281" spans="1:16">
      <c r="A281" s="14">
        <v>10880</v>
      </c>
      <c r="B281" s="14"/>
      <c r="C281" s="14" t="s">
        <v>1220</v>
      </c>
      <c r="D281" s="14"/>
      <c r="E281" s="14"/>
      <c r="F281" s="14"/>
      <c r="G281" s="14"/>
      <c r="H281" s="28"/>
      <c r="I281" s="28"/>
      <c r="K281" s="15"/>
      <c r="L281" s="25"/>
      <c r="N281" s="15"/>
    </row>
    <row r="282" spans="1:16">
      <c r="A282" s="14">
        <v>10881</v>
      </c>
      <c r="B282" s="14"/>
      <c r="C282" s="14" t="s">
        <v>1220</v>
      </c>
      <c r="D282" s="14"/>
      <c r="E282" s="14"/>
      <c r="F282" s="14"/>
      <c r="G282" s="14"/>
      <c r="H282" s="28"/>
      <c r="I282" s="28"/>
      <c r="L282" s="25"/>
    </row>
    <row r="283" spans="1:16">
      <c r="A283" s="14">
        <v>10882</v>
      </c>
      <c r="B283" s="14"/>
      <c r="C283" s="14" t="s">
        <v>1220</v>
      </c>
      <c r="D283" s="14"/>
      <c r="E283" s="14"/>
      <c r="F283" s="14"/>
      <c r="G283" s="14"/>
      <c r="H283" s="28"/>
      <c r="I283" s="28"/>
      <c r="L283" s="25"/>
    </row>
    <row r="284" spans="1:16">
      <c r="A284" s="14">
        <v>10883</v>
      </c>
      <c r="B284" s="14" t="s">
        <v>860</v>
      </c>
      <c r="C284" s="14" t="s">
        <v>1220</v>
      </c>
      <c r="D284" s="4" t="s">
        <v>19</v>
      </c>
      <c r="E284" s="14">
        <v>109455</v>
      </c>
      <c r="F284" s="14">
        <v>14295459045</v>
      </c>
      <c r="G284" s="14">
        <v>495621236</v>
      </c>
      <c r="H284" s="28" t="s">
        <v>1757</v>
      </c>
      <c r="I284" s="28" t="s">
        <v>1757</v>
      </c>
      <c r="J284" s="3" t="s">
        <v>1758</v>
      </c>
      <c r="K284" s="15" t="s">
        <v>3252</v>
      </c>
      <c r="L284" s="25"/>
      <c r="N284" s="15" t="s">
        <v>3253</v>
      </c>
      <c r="P284" s="37" t="s">
        <v>25</v>
      </c>
    </row>
    <row r="285" spans="1:16">
      <c r="A285" s="14">
        <v>10884</v>
      </c>
      <c r="B285" s="14" t="s">
        <v>3254</v>
      </c>
      <c r="C285" s="14" t="s">
        <v>1220</v>
      </c>
      <c r="D285" s="4" t="s">
        <v>19</v>
      </c>
      <c r="E285" s="14">
        <v>111714</v>
      </c>
      <c r="F285" s="14">
        <v>15770487610</v>
      </c>
      <c r="G285" s="14">
        <v>514739754</v>
      </c>
      <c r="H285" s="28" t="s">
        <v>3255</v>
      </c>
      <c r="I285" s="28" t="s">
        <v>3255</v>
      </c>
      <c r="J285" s="3" t="s">
        <v>3256</v>
      </c>
      <c r="K285" s="15" t="s">
        <v>3257</v>
      </c>
      <c r="L285" s="25"/>
      <c r="N285" s="15" t="s">
        <v>3258</v>
      </c>
      <c r="P285" s="37" t="s">
        <v>25</v>
      </c>
    </row>
    <row r="286" spans="1:16">
      <c r="A286" s="14">
        <v>10885</v>
      </c>
      <c r="B286" s="14"/>
      <c r="C286" s="14" t="s">
        <v>1220</v>
      </c>
      <c r="D286" s="14"/>
      <c r="E286" s="14"/>
      <c r="F286" s="14"/>
      <c r="G286" s="14"/>
      <c r="H286" s="28"/>
      <c r="I286" s="28"/>
      <c r="L286" s="25"/>
    </row>
    <row r="287" spans="1:16">
      <c r="A287" s="14">
        <v>10886</v>
      </c>
      <c r="B287" s="14"/>
      <c r="C287" s="14" t="s">
        <v>1220</v>
      </c>
      <c r="D287" s="14"/>
      <c r="E287" s="14"/>
      <c r="F287" s="14"/>
      <c r="G287" s="14"/>
      <c r="H287" s="28"/>
      <c r="I287" s="28"/>
      <c r="L287" s="25"/>
    </row>
    <row r="288" spans="1:16">
      <c r="A288" s="14">
        <v>10887</v>
      </c>
      <c r="B288" s="14"/>
      <c r="C288" s="14" t="s">
        <v>1220</v>
      </c>
      <c r="D288" s="14"/>
      <c r="E288" s="14"/>
      <c r="F288" s="14"/>
      <c r="G288" s="14"/>
      <c r="H288" s="28"/>
      <c r="I288" s="28"/>
      <c r="L288" s="25"/>
    </row>
    <row r="289" spans="1:16">
      <c r="A289" s="14">
        <v>10888</v>
      </c>
      <c r="B289" s="14" t="s">
        <v>3259</v>
      </c>
      <c r="C289" s="14" t="s">
        <v>1220</v>
      </c>
      <c r="D289" s="4" t="s">
        <v>19</v>
      </c>
      <c r="E289" s="14">
        <v>110076</v>
      </c>
      <c r="F289" s="14">
        <v>14742877348</v>
      </c>
      <c r="G289" s="14">
        <v>501459306</v>
      </c>
      <c r="H289" s="28" t="s">
        <v>3260</v>
      </c>
      <c r="I289" s="28" t="s">
        <v>3260</v>
      </c>
      <c r="J289" s="3" t="s">
        <v>3261</v>
      </c>
      <c r="K289" s="15" t="s">
        <v>3262</v>
      </c>
      <c r="L289" s="25"/>
      <c r="N289" s="3">
        <v>98000093</v>
      </c>
      <c r="P289" s="37" t="s">
        <v>25</v>
      </c>
    </row>
    <row r="290" spans="1:16">
      <c r="A290" s="14">
        <v>10889</v>
      </c>
      <c r="B290" s="14"/>
      <c r="C290" s="14" t="s">
        <v>1220</v>
      </c>
      <c r="D290" s="14"/>
      <c r="E290" s="14"/>
      <c r="F290" s="14"/>
      <c r="G290" s="14"/>
      <c r="H290" s="28"/>
      <c r="I290" s="28"/>
      <c r="L290" s="25"/>
    </row>
    <row r="291" spans="1:16">
      <c r="A291" s="14">
        <v>10890</v>
      </c>
      <c r="B291" s="14"/>
      <c r="C291" s="14" t="s">
        <v>1220</v>
      </c>
      <c r="D291" s="14"/>
      <c r="E291" s="14"/>
      <c r="F291" s="14"/>
      <c r="G291" s="14"/>
      <c r="H291" s="28"/>
      <c r="I291" s="28"/>
      <c r="L291" s="25"/>
    </row>
    <row r="292" spans="1:16">
      <c r="A292" s="14">
        <v>10891</v>
      </c>
      <c r="B292" s="14" t="s">
        <v>3263</v>
      </c>
      <c r="C292" s="14" t="s">
        <v>1220</v>
      </c>
      <c r="D292" s="4" t="s">
        <v>19</v>
      </c>
      <c r="E292" s="14">
        <v>111781</v>
      </c>
      <c r="F292" s="14">
        <v>15770546352</v>
      </c>
      <c r="G292" s="14">
        <v>514739925</v>
      </c>
      <c r="H292" s="28" t="s">
        <v>3264</v>
      </c>
      <c r="I292" s="28" t="s">
        <v>3264</v>
      </c>
      <c r="J292" s="3" t="s">
        <v>3265</v>
      </c>
      <c r="K292" s="15" t="s">
        <v>3266</v>
      </c>
      <c r="L292" s="25"/>
      <c r="N292" s="15" t="s">
        <v>3267</v>
      </c>
      <c r="P292" s="37" t="s">
        <v>25</v>
      </c>
    </row>
    <row r="293" spans="1:16">
      <c r="A293" s="14">
        <v>10892</v>
      </c>
      <c r="B293" s="14"/>
      <c r="C293" s="14" t="s">
        <v>1220</v>
      </c>
      <c r="D293" s="14"/>
      <c r="E293" s="14"/>
      <c r="F293" s="14"/>
      <c r="G293" s="14"/>
      <c r="H293" s="28"/>
      <c r="I293" s="28"/>
      <c r="L293" s="25"/>
    </row>
    <row r="294" spans="1:16">
      <c r="A294" s="14">
        <v>10893</v>
      </c>
      <c r="B294" s="14"/>
      <c r="C294" s="14" t="s">
        <v>1220</v>
      </c>
      <c r="D294" s="14"/>
      <c r="E294" s="14"/>
      <c r="F294" s="14"/>
      <c r="G294" s="14"/>
      <c r="H294" s="28"/>
      <c r="I294" s="28"/>
      <c r="L294" s="25"/>
    </row>
    <row r="295" spans="1:16">
      <c r="A295" s="14">
        <v>10894</v>
      </c>
      <c r="B295" s="14" t="s">
        <v>1584</v>
      </c>
      <c r="C295" s="14" t="s">
        <v>1220</v>
      </c>
      <c r="D295" s="4" t="s">
        <v>19</v>
      </c>
      <c r="E295" s="14">
        <v>111721</v>
      </c>
      <c r="F295" s="14">
        <v>15770496211</v>
      </c>
      <c r="G295" s="14">
        <v>514739848</v>
      </c>
      <c r="H295" s="28" t="s">
        <v>3268</v>
      </c>
      <c r="I295" s="28" t="s">
        <v>3268</v>
      </c>
      <c r="J295" s="3" t="s">
        <v>3269</v>
      </c>
      <c r="K295" s="15" t="s">
        <v>3270</v>
      </c>
      <c r="L295" s="25"/>
      <c r="N295" s="15" t="s">
        <v>3271</v>
      </c>
      <c r="P295" s="37" t="s">
        <v>25</v>
      </c>
    </row>
    <row r="296" spans="1:16">
      <c r="A296" s="14">
        <v>10895</v>
      </c>
      <c r="B296" s="14" t="s">
        <v>3272</v>
      </c>
      <c r="C296" s="14" t="s">
        <v>1220</v>
      </c>
      <c r="D296" s="4" t="s">
        <v>19</v>
      </c>
      <c r="E296" s="14">
        <v>111728</v>
      </c>
      <c r="F296" s="14">
        <v>15770499554</v>
      </c>
      <c r="G296" s="14">
        <v>514739760</v>
      </c>
      <c r="H296" s="28" t="s">
        <v>3273</v>
      </c>
      <c r="I296" s="28" t="s">
        <v>3273</v>
      </c>
      <c r="J296" s="3" t="s">
        <v>3274</v>
      </c>
      <c r="K296" s="15" t="s">
        <v>3275</v>
      </c>
      <c r="L296" s="25"/>
      <c r="N296" s="15" t="s">
        <v>3276</v>
      </c>
      <c r="P296" s="37" t="s">
        <v>25</v>
      </c>
    </row>
    <row r="297" spans="1:16">
      <c r="A297" s="14">
        <v>10896</v>
      </c>
      <c r="B297" s="14"/>
      <c r="C297" s="14" t="s">
        <v>1220</v>
      </c>
      <c r="D297" s="14"/>
      <c r="E297" s="14"/>
      <c r="F297" s="14"/>
      <c r="G297" s="14"/>
      <c r="H297" s="28"/>
      <c r="I297" s="28"/>
      <c r="L297" s="25"/>
    </row>
    <row r="298" spans="1:16">
      <c r="A298" s="14">
        <v>10897</v>
      </c>
      <c r="B298" s="14"/>
      <c r="C298" s="14" t="s">
        <v>1220</v>
      </c>
      <c r="D298" s="14"/>
      <c r="E298" s="14"/>
      <c r="F298" s="14"/>
      <c r="G298" s="14"/>
      <c r="H298" s="28"/>
      <c r="I298" s="28"/>
      <c r="L298" s="25"/>
    </row>
    <row r="299" spans="1:16">
      <c r="A299" s="14">
        <v>10898</v>
      </c>
      <c r="B299" s="14" t="s">
        <v>3277</v>
      </c>
      <c r="C299" s="14" t="s">
        <v>1220</v>
      </c>
      <c r="D299" s="4" t="s">
        <v>19</v>
      </c>
      <c r="E299" s="14">
        <v>109587</v>
      </c>
      <c r="F299" s="14">
        <v>14299667366</v>
      </c>
      <c r="G299" s="14">
        <v>495621142</v>
      </c>
      <c r="H299" s="28" t="s">
        <v>3278</v>
      </c>
      <c r="I299" s="28" t="s">
        <v>3278</v>
      </c>
      <c r="J299" s="3" t="s">
        <v>3279</v>
      </c>
      <c r="K299" s="15" t="s">
        <v>3280</v>
      </c>
      <c r="L299" s="25"/>
      <c r="N299" s="15" t="s">
        <v>3281</v>
      </c>
      <c r="P299" s="37" t="s">
        <v>25</v>
      </c>
    </row>
    <row r="300" spans="1:16">
      <c r="A300" s="14">
        <v>10899</v>
      </c>
      <c r="B300" s="14" t="s">
        <v>3282</v>
      </c>
      <c r="C300" s="14" t="s">
        <v>1220</v>
      </c>
      <c r="D300" s="4" t="s">
        <v>19</v>
      </c>
      <c r="E300" s="14">
        <v>110042</v>
      </c>
      <c r="F300" s="14">
        <v>14738346249</v>
      </c>
      <c r="G300" s="14">
        <v>501459296</v>
      </c>
      <c r="H300" s="28" t="s">
        <v>3283</v>
      </c>
      <c r="I300" s="28" t="s">
        <v>3283</v>
      </c>
      <c r="J300" s="3" t="s">
        <v>3284</v>
      </c>
      <c r="K300" s="15" t="s">
        <v>3285</v>
      </c>
      <c r="L300" s="25"/>
      <c r="N300" s="15" t="s">
        <v>3286</v>
      </c>
      <c r="P300" s="37" t="s">
        <v>25</v>
      </c>
    </row>
    <row r="301" spans="1:16">
      <c r="A301" s="14">
        <v>10900</v>
      </c>
      <c r="B301" s="14"/>
      <c r="C301" s="14" t="s">
        <v>1220</v>
      </c>
      <c r="D301" s="14"/>
      <c r="E301" s="14"/>
      <c r="F301" s="14"/>
      <c r="G301" s="14"/>
      <c r="H301" s="28"/>
      <c r="I301" s="28"/>
      <c r="L301" s="25"/>
    </row>
    <row r="302" spans="1:16">
      <c r="A302" s="14">
        <v>10901</v>
      </c>
      <c r="B302" s="14"/>
      <c r="C302" s="14" t="s">
        <v>1220</v>
      </c>
      <c r="D302" s="14"/>
      <c r="E302" s="14"/>
      <c r="F302" s="14"/>
      <c r="G302" s="14"/>
      <c r="H302" s="28"/>
      <c r="I302" s="28"/>
      <c r="L302" s="25"/>
    </row>
    <row r="303" spans="1:16">
      <c r="A303" s="14">
        <v>10902</v>
      </c>
      <c r="B303" s="14" t="s">
        <v>1596</v>
      </c>
      <c r="C303" s="14" t="s">
        <v>1220</v>
      </c>
      <c r="D303" s="4" t="s">
        <v>19</v>
      </c>
      <c r="E303" s="14">
        <v>109546</v>
      </c>
      <c r="F303" s="14">
        <v>14295682279</v>
      </c>
      <c r="G303" s="14">
        <v>495621077</v>
      </c>
      <c r="H303" s="28" t="s">
        <v>1597</v>
      </c>
      <c r="I303" s="28" t="s">
        <v>1597</v>
      </c>
      <c r="J303" s="3" t="s">
        <v>1598</v>
      </c>
      <c r="K303" s="15" t="s">
        <v>3287</v>
      </c>
      <c r="L303" s="25"/>
      <c r="N303" s="15" t="s">
        <v>3288</v>
      </c>
      <c r="P303" s="37" t="s">
        <v>25</v>
      </c>
    </row>
    <row r="304" spans="1:16">
      <c r="A304" s="14">
        <v>10903</v>
      </c>
      <c r="B304" s="14" t="s">
        <v>1588</v>
      </c>
      <c r="C304" s="14" t="s">
        <v>1220</v>
      </c>
      <c r="D304" s="4" t="s">
        <v>19</v>
      </c>
      <c r="E304" s="14">
        <v>109504</v>
      </c>
      <c r="F304" s="14">
        <v>14295555257</v>
      </c>
      <c r="G304" s="14">
        <v>495621144</v>
      </c>
      <c r="H304" s="28" t="s">
        <v>1589</v>
      </c>
      <c r="I304" s="28" t="s">
        <v>1589</v>
      </c>
      <c r="J304" s="3" t="s">
        <v>1590</v>
      </c>
      <c r="K304" s="15" t="s">
        <v>3289</v>
      </c>
      <c r="L304" s="25"/>
      <c r="N304" s="15" t="s">
        <v>3290</v>
      </c>
      <c r="P304" s="37" t="s">
        <v>25</v>
      </c>
    </row>
    <row r="305" spans="1:16">
      <c r="A305" s="14">
        <v>10904</v>
      </c>
      <c r="B305" s="14" t="s">
        <v>1592</v>
      </c>
      <c r="C305" s="14" t="s">
        <v>1220</v>
      </c>
      <c r="D305" s="4" t="s">
        <v>19</v>
      </c>
      <c r="E305" s="14">
        <v>109548</v>
      </c>
      <c r="F305" s="14">
        <v>14295692609</v>
      </c>
      <c r="G305" s="14">
        <v>495621220</v>
      </c>
      <c r="H305" s="28" t="s">
        <v>1593</v>
      </c>
      <c r="I305" s="28" t="s">
        <v>1593</v>
      </c>
      <c r="J305" s="3" t="s">
        <v>1594</v>
      </c>
      <c r="K305" s="15" t="s">
        <v>3291</v>
      </c>
      <c r="L305" s="25"/>
      <c r="N305" s="15" t="s">
        <v>3292</v>
      </c>
      <c r="P305" s="37" t="s">
        <v>25</v>
      </c>
    </row>
    <row r="306" spans="1:16">
      <c r="A306" s="14">
        <v>10905</v>
      </c>
      <c r="B306" s="14"/>
      <c r="C306" s="14" t="s">
        <v>1220</v>
      </c>
      <c r="D306" s="14"/>
      <c r="E306" s="14"/>
      <c r="F306" s="14"/>
      <c r="G306" s="14"/>
      <c r="H306" s="28"/>
      <c r="I306" s="28"/>
      <c r="L306" s="25"/>
    </row>
    <row r="307" spans="1:16">
      <c r="A307" s="14">
        <v>10906</v>
      </c>
      <c r="B307" s="14"/>
      <c r="C307" s="14" t="s">
        <v>1220</v>
      </c>
      <c r="D307" s="14"/>
      <c r="E307" s="14"/>
      <c r="F307" s="14"/>
      <c r="G307" s="14"/>
      <c r="H307" s="28"/>
      <c r="I307" s="28"/>
      <c r="L307" s="25"/>
    </row>
    <row r="308" spans="1:16">
      <c r="A308" s="14">
        <v>10907</v>
      </c>
      <c r="B308" s="14" t="s">
        <v>1353</v>
      </c>
      <c r="C308" s="14" t="s">
        <v>1220</v>
      </c>
      <c r="D308" s="4" t="s">
        <v>19</v>
      </c>
      <c r="E308" s="14">
        <v>109595</v>
      </c>
      <c r="F308" s="14">
        <v>14305342947</v>
      </c>
      <c r="G308" s="14">
        <v>495621185</v>
      </c>
      <c r="H308" s="28" t="s">
        <v>1354</v>
      </c>
      <c r="I308" s="28" t="s">
        <v>1354</v>
      </c>
      <c r="J308" s="3" t="s">
        <v>1355</v>
      </c>
      <c r="K308" s="15" t="s">
        <v>3293</v>
      </c>
      <c r="L308" s="25"/>
      <c r="N308" s="15" t="s">
        <v>3294</v>
      </c>
      <c r="P308" s="37" t="s">
        <v>25</v>
      </c>
    </row>
    <row r="309" spans="1:16">
      <c r="A309" s="14">
        <v>10908</v>
      </c>
      <c r="B309" s="14" t="s">
        <v>1604</v>
      </c>
      <c r="C309" s="14" t="s">
        <v>1220</v>
      </c>
      <c r="D309" s="4" t="s">
        <v>19</v>
      </c>
      <c r="E309" s="14">
        <v>95979</v>
      </c>
      <c r="F309" s="14">
        <v>8011941731</v>
      </c>
      <c r="G309" s="14">
        <v>495621147</v>
      </c>
      <c r="H309" s="28" t="s">
        <v>1605</v>
      </c>
      <c r="I309" s="28" t="s">
        <v>1605</v>
      </c>
      <c r="J309" s="3" t="s">
        <v>1606</v>
      </c>
      <c r="K309" s="15" t="s">
        <v>3295</v>
      </c>
      <c r="L309" s="25"/>
      <c r="N309" s="15" t="s">
        <v>3296</v>
      </c>
      <c r="P309" s="37" t="s">
        <v>25</v>
      </c>
    </row>
    <row r="310" spans="1:16">
      <c r="A310" s="14">
        <v>10909</v>
      </c>
      <c r="B310" s="14"/>
      <c r="C310" s="14" t="s">
        <v>1220</v>
      </c>
      <c r="D310" s="14"/>
      <c r="E310" s="14"/>
      <c r="F310" s="14"/>
      <c r="G310" s="14"/>
      <c r="H310" s="28"/>
      <c r="I310" s="28"/>
      <c r="L310" s="25"/>
    </row>
    <row r="311" spans="1:16">
      <c r="A311" s="14">
        <v>10910</v>
      </c>
      <c r="B311" s="14"/>
      <c r="C311" s="14" t="s">
        <v>1220</v>
      </c>
      <c r="D311" s="14"/>
      <c r="E311" s="14"/>
      <c r="F311" s="14"/>
      <c r="G311" s="14"/>
      <c r="H311" s="28"/>
      <c r="I311" s="28"/>
      <c r="L311" s="25"/>
    </row>
    <row r="312" spans="1:16">
      <c r="A312" s="14">
        <v>10911</v>
      </c>
      <c r="B312" s="14" t="s">
        <v>1612</v>
      </c>
      <c r="C312" s="14" t="s">
        <v>1220</v>
      </c>
      <c r="D312" s="4" t="s">
        <v>19</v>
      </c>
      <c r="E312" s="14">
        <v>109570</v>
      </c>
      <c r="F312" s="14">
        <v>14295824880</v>
      </c>
      <c r="G312" s="14">
        <v>495621133</v>
      </c>
      <c r="H312" s="28" t="s">
        <v>1613</v>
      </c>
      <c r="I312" s="28" t="s">
        <v>1613</v>
      </c>
      <c r="J312" s="3" t="s">
        <v>1614</v>
      </c>
      <c r="K312" s="15" t="s">
        <v>3297</v>
      </c>
      <c r="L312" s="25"/>
      <c r="N312" s="15" t="s">
        <v>3298</v>
      </c>
      <c r="P312" s="37" t="s">
        <v>25</v>
      </c>
    </row>
    <row r="313" spans="1:16">
      <c r="A313" s="14">
        <v>10912</v>
      </c>
      <c r="B313" s="14" t="s">
        <v>1608</v>
      </c>
      <c r="C313" s="14" t="s">
        <v>1220</v>
      </c>
      <c r="D313" s="4" t="s">
        <v>19</v>
      </c>
      <c r="E313" s="14">
        <v>109555</v>
      </c>
      <c r="F313" s="14">
        <v>14295772031</v>
      </c>
      <c r="G313" s="14">
        <v>495621225</v>
      </c>
      <c r="H313" s="28" t="s">
        <v>1609</v>
      </c>
      <c r="I313" s="28" t="s">
        <v>1609</v>
      </c>
      <c r="J313" s="3" t="s">
        <v>1610</v>
      </c>
      <c r="K313" s="15" t="s">
        <v>3299</v>
      </c>
      <c r="L313" s="25"/>
      <c r="N313" s="15" t="s">
        <v>3300</v>
      </c>
      <c r="P313" s="37" t="s">
        <v>25</v>
      </c>
    </row>
    <row r="314" spans="1:16">
      <c r="A314" s="14">
        <v>10913</v>
      </c>
      <c r="B314" s="14" t="s">
        <v>883</v>
      </c>
      <c r="C314" s="14" t="s">
        <v>1220</v>
      </c>
      <c r="D314" s="4" t="s">
        <v>19</v>
      </c>
      <c r="E314" s="14">
        <v>111749</v>
      </c>
      <c r="F314" s="14">
        <v>15770533478</v>
      </c>
      <c r="G314" s="14">
        <v>514739843</v>
      </c>
      <c r="H314" s="28" t="s">
        <v>3301</v>
      </c>
      <c r="I314" s="28" t="s">
        <v>3301</v>
      </c>
      <c r="J314" s="3" t="s">
        <v>3302</v>
      </c>
      <c r="K314" s="15" t="s">
        <v>3303</v>
      </c>
      <c r="L314" s="25"/>
      <c r="N314" s="15" t="s">
        <v>3304</v>
      </c>
      <c r="P314" s="37" t="s">
        <v>25</v>
      </c>
    </row>
    <row r="315" spans="1:16">
      <c r="A315" s="14">
        <v>10914</v>
      </c>
      <c r="B315" s="14"/>
      <c r="C315" s="14" t="s">
        <v>1220</v>
      </c>
      <c r="D315" s="14"/>
      <c r="E315" s="14"/>
      <c r="F315" s="14"/>
      <c r="G315" s="14"/>
      <c r="H315" s="28"/>
      <c r="I315" s="28"/>
      <c r="L315" s="25"/>
    </row>
    <row r="316" spans="1:16">
      <c r="A316" s="14">
        <v>10915</v>
      </c>
      <c r="B316" s="14"/>
      <c r="C316" s="14" t="s">
        <v>1220</v>
      </c>
      <c r="D316" s="14"/>
      <c r="E316" s="14"/>
      <c r="F316" s="14"/>
      <c r="G316" s="14"/>
      <c r="H316" s="28"/>
      <c r="I316" s="28"/>
      <c r="L316" s="25"/>
    </row>
    <row r="317" spans="1:16">
      <c r="A317" s="14">
        <v>10916</v>
      </c>
      <c r="B317" s="14" t="s">
        <v>3305</v>
      </c>
      <c r="C317" s="14" t="s">
        <v>1220</v>
      </c>
      <c r="D317" s="4" t="s">
        <v>19</v>
      </c>
      <c r="E317" s="14">
        <v>111766</v>
      </c>
      <c r="F317" s="14">
        <v>15770541371</v>
      </c>
      <c r="G317" s="14">
        <v>514739842</v>
      </c>
      <c r="H317" s="28" t="s">
        <v>3306</v>
      </c>
      <c r="I317" s="28" t="s">
        <v>3306</v>
      </c>
      <c r="J317" s="3" t="s">
        <v>3307</v>
      </c>
      <c r="K317" s="15" t="s">
        <v>3308</v>
      </c>
      <c r="L317" s="25"/>
      <c r="N317" s="15" t="s">
        <v>3309</v>
      </c>
      <c r="P317" s="37" t="s">
        <v>25</v>
      </c>
    </row>
    <row r="318" spans="1:16">
      <c r="A318" s="14">
        <v>10917</v>
      </c>
      <c r="B318" s="14"/>
      <c r="C318" s="14" t="s">
        <v>1220</v>
      </c>
      <c r="D318" s="14"/>
      <c r="E318" s="14"/>
      <c r="F318" s="14"/>
      <c r="G318" s="14"/>
      <c r="H318" s="28"/>
      <c r="I318" s="28"/>
      <c r="L318" s="25"/>
    </row>
    <row r="319" spans="1:16">
      <c r="A319" s="14">
        <v>10918</v>
      </c>
      <c r="B319" s="14"/>
      <c r="C319" s="14" t="s">
        <v>1220</v>
      </c>
      <c r="D319" s="14"/>
      <c r="E319" s="14"/>
      <c r="F319" s="14"/>
      <c r="G319" s="14"/>
      <c r="H319" s="28"/>
      <c r="I319" s="28"/>
      <c r="L319" s="25"/>
    </row>
    <row r="320" spans="1:16">
      <c r="A320" s="14">
        <v>10919</v>
      </c>
      <c r="B320" s="14" t="s">
        <v>3310</v>
      </c>
      <c r="C320" s="14" t="s">
        <v>1220</v>
      </c>
      <c r="D320" s="4" t="s">
        <v>19</v>
      </c>
      <c r="E320" s="14">
        <v>111888</v>
      </c>
      <c r="F320" s="14">
        <v>15775565272</v>
      </c>
      <c r="G320" s="14">
        <v>514739849</v>
      </c>
      <c r="H320" s="28" t="s">
        <v>3311</v>
      </c>
      <c r="I320" s="28" t="s">
        <v>3311</v>
      </c>
      <c r="J320" s="3" t="s">
        <v>3312</v>
      </c>
      <c r="K320" s="15" t="s">
        <v>3313</v>
      </c>
      <c r="L320" s="25"/>
      <c r="N320" s="15" t="s">
        <v>3314</v>
      </c>
      <c r="P320" s="37" t="s">
        <v>25</v>
      </c>
    </row>
    <row r="321" spans="1:16">
      <c r="A321" s="14">
        <v>10920</v>
      </c>
      <c r="B321" s="14" t="s">
        <v>3315</v>
      </c>
      <c r="C321" s="14" t="s">
        <v>1220</v>
      </c>
      <c r="D321" s="4" t="s">
        <v>19</v>
      </c>
      <c r="E321" s="14">
        <v>111722</v>
      </c>
      <c r="F321" s="14">
        <v>15770496212</v>
      </c>
      <c r="G321" s="14">
        <v>514739918</v>
      </c>
      <c r="H321" s="28" t="s">
        <v>3316</v>
      </c>
      <c r="I321" s="28" t="s">
        <v>3316</v>
      </c>
      <c r="J321" s="3" t="s">
        <v>3317</v>
      </c>
      <c r="K321" s="15" t="s">
        <v>3318</v>
      </c>
      <c r="L321" s="25"/>
      <c r="N321" s="15" t="s">
        <v>3319</v>
      </c>
      <c r="P321" s="37" t="s">
        <v>25</v>
      </c>
    </row>
    <row r="322" spans="1:16">
      <c r="A322" s="14">
        <v>10921</v>
      </c>
      <c r="B322" s="14" t="s">
        <v>3320</v>
      </c>
      <c r="C322" s="14" t="s">
        <v>1220</v>
      </c>
      <c r="D322" s="4" t="s">
        <v>19</v>
      </c>
      <c r="E322" s="14">
        <v>111812</v>
      </c>
      <c r="F322" s="14">
        <v>15775196297</v>
      </c>
      <c r="G322" s="14">
        <v>514739828</v>
      </c>
      <c r="H322" s="28" t="s">
        <v>3321</v>
      </c>
      <c r="I322" s="28" t="s">
        <v>3321</v>
      </c>
      <c r="J322" s="3" t="s">
        <v>3320</v>
      </c>
      <c r="K322" s="15" t="s">
        <v>3322</v>
      </c>
      <c r="L322" s="25"/>
      <c r="N322" s="15" t="s">
        <v>3323</v>
      </c>
      <c r="P322" s="37" t="s">
        <v>25</v>
      </c>
    </row>
    <row r="323" spans="1:16">
      <c r="A323" s="14">
        <v>10922</v>
      </c>
      <c r="B323" s="14" t="s">
        <v>3324</v>
      </c>
      <c r="C323" s="14" t="s">
        <v>1220</v>
      </c>
      <c r="D323" s="4" t="s">
        <v>19</v>
      </c>
      <c r="E323" s="14">
        <v>110058</v>
      </c>
      <c r="F323" s="14">
        <v>14742706717</v>
      </c>
      <c r="G323" s="14">
        <v>501459304</v>
      </c>
      <c r="H323" s="28" t="s">
        <v>3325</v>
      </c>
      <c r="I323" s="28" t="s">
        <v>3325</v>
      </c>
      <c r="J323" s="3" t="s">
        <v>3326</v>
      </c>
      <c r="K323" s="15" t="s">
        <v>3327</v>
      </c>
      <c r="L323" s="25"/>
      <c r="N323" s="15" t="s">
        <v>3328</v>
      </c>
      <c r="P323" s="37" t="s">
        <v>25</v>
      </c>
    </row>
    <row r="324" spans="1:16">
      <c r="A324" s="14">
        <v>10923</v>
      </c>
      <c r="B324" s="14"/>
      <c r="C324" s="14" t="s">
        <v>1220</v>
      </c>
      <c r="D324" s="14"/>
      <c r="E324" s="14"/>
      <c r="F324" s="14"/>
      <c r="G324" s="14"/>
      <c r="H324" s="28"/>
      <c r="I324" s="28"/>
      <c r="L324" s="25"/>
    </row>
    <row r="325" spans="1:16">
      <c r="A325" s="14">
        <v>10924</v>
      </c>
      <c r="B325" s="14"/>
      <c r="C325" s="14" t="s">
        <v>1220</v>
      </c>
      <c r="D325" s="14"/>
      <c r="E325" s="14"/>
      <c r="F325" s="14"/>
      <c r="G325" s="14"/>
      <c r="H325" s="28"/>
      <c r="I325" s="28"/>
      <c r="L325" s="25"/>
    </row>
    <row r="326" spans="1:16">
      <c r="A326" s="14">
        <v>10925</v>
      </c>
      <c r="B326" s="14"/>
      <c r="C326" s="14" t="s">
        <v>1220</v>
      </c>
      <c r="D326" s="14"/>
      <c r="E326" s="14"/>
      <c r="F326" s="14"/>
      <c r="G326" s="14"/>
      <c r="H326" s="28"/>
      <c r="I326" s="28"/>
      <c r="L326" s="25"/>
    </row>
    <row r="327" spans="1:16">
      <c r="A327" s="14">
        <v>10926</v>
      </c>
      <c r="B327" s="14"/>
      <c r="C327" s="14" t="s">
        <v>1220</v>
      </c>
      <c r="D327" s="14"/>
      <c r="E327" s="14"/>
      <c r="F327" s="14"/>
      <c r="G327" s="14"/>
      <c r="H327" s="28"/>
      <c r="I327" s="28"/>
      <c r="L327" s="25"/>
    </row>
    <row r="328" spans="1:16">
      <c r="A328" s="14">
        <v>10927</v>
      </c>
      <c r="B328" s="14" t="s">
        <v>3329</v>
      </c>
      <c r="C328" s="14" t="s">
        <v>1220</v>
      </c>
      <c r="D328" s="4" t="s">
        <v>19</v>
      </c>
      <c r="E328" s="14">
        <v>111738</v>
      </c>
      <c r="F328" s="14">
        <v>15770501101</v>
      </c>
      <c r="G328" s="14">
        <v>514739763</v>
      </c>
      <c r="H328" s="28" t="s">
        <v>3330</v>
      </c>
      <c r="I328" s="28" t="s">
        <v>3330</v>
      </c>
      <c r="J328" s="3" t="s">
        <v>3331</v>
      </c>
      <c r="K328" s="15" t="s">
        <v>3332</v>
      </c>
      <c r="L328" s="25"/>
      <c r="N328" s="15" t="s">
        <v>3333</v>
      </c>
      <c r="P328" s="37" t="s">
        <v>25</v>
      </c>
    </row>
    <row r="329" spans="1:16">
      <c r="A329" s="14">
        <v>10928</v>
      </c>
      <c r="B329" s="14"/>
      <c r="C329" s="14" t="s">
        <v>1220</v>
      </c>
      <c r="D329" s="14"/>
      <c r="E329" s="14"/>
      <c r="F329" s="14"/>
      <c r="G329" s="14"/>
      <c r="H329" s="28"/>
      <c r="I329" s="28"/>
      <c r="L329" s="25"/>
    </row>
    <row r="330" spans="1:16">
      <c r="A330" s="14">
        <v>10929</v>
      </c>
      <c r="B330" s="14"/>
      <c r="C330" s="14" t="s">
        <v>1220</v>
      </c>
      <c r="D330" s="14"/>
      <c r="E330" s="14"/>
      <c r="F330" s="14"/>
      <c r="G330" s="14"/>
      <c r="H330" s="28"/>
      <c r="I330" s="28"/>
      <c r="L330" s="25"/>
    </row>
    <row r="331" spans="1:16">
      <c r="A331" s="14">
        <v>10930</v>
      </c>
      <c r="B331" s="14" t="s">
        <v>1674</v>
      </c>
      <c r="C331" s="14" t="s">
        <v>1220</v>
      </c>
      <c r="D331" s="4" t="s">
        <v>19</v>
      </c>
      <c r="E331" s="14">
        <v>109562</v>
      </c>
      <c r="F331" s="14">
        <v>14295783132</v>
      </c>
      <c r="G331" s="14">
        <v>495621141</v>
      </c>
      <c r="H331" s="28" t="s">
        <v>1675</v>
      </c>
      <c r="I331" s="28" t="s">
        <v>1675</v>
      </c>
      <c r="J331" s="3" t="s">
        <v>1676</v>
      </c>
      <c r="K331" s="16" t="s">
        <v>3334</v>
      </c>
      <c r="L331" s="25"/>
      <c r="N331" s="15" t="s">
        <v>3335</v>
      </c>
      <c r="P331" s="37" t="s">
        <v>25</v>
      </c>
    </row>
    <row r="332" spans="1:16">
      <c r="A332" s="14">
        <v>10931</v>
      </c>
      <c r="B332" s="14" t="s">
        <v>1662</v>
      </c>
      <c r="C332" s="14" t="s">
        <v>1220</v>
      </c>
      <c r="D332" s="4" t="s">
        <v>19</v>
      </c>
      <c r="E332" s="14">
        <v>109563</v>
      </c>
      <c r="F332" s="14">
        <v>14295785437</v>
      </c>
      <c r="G332" s="14">
        <v>495621250</v>
      </c>
      <c r="H332" s="28" t="s">
        <v>1663</v>
      </c>
      <c r="I332" s="28" t="s">
        <v>1663</v>
      </c>
      <c r="J332" s="3" t="s">
        <v>1664</v>
      </c>
      <c r="K332" s="16" t="s">
        <v>3336</v>
      </c>
      <c r="L332" s="25"/>
      <c r="N332" s="15" t="s">
        <v>3337</v>
      </c>
      <c r="P332" s="37" t="s">
        <v>25</v>
      </c>
    </row>
    <row r="333" spans="1:16">
      <c r="A333" s="14">
        <v>10932</v>
      </c>
      <c r="B333" s="14" t="s">
        <v>1666</v>
      </c>
      <c r="C333" s="14" t="s">
        <v>1220</v>
      </c>
      <c r="D333" s="4" t="s">
        <v>19</v>
      </c>
      <c r="E333" s="14">
        <v>109564</v>
      </c>
      <c r="F333" s="14">
        <v>14295788260</v>
      </c>
      <c r="G333" s="14">
        <v>495621107</v>
      </c>
      <c r="H333" s="28" t="s">
        <v>1667</v>
      </c>
      <c r="I333" s="28" t="s">
        <v>1667</v>
      </c>
      <c r="J333" s="3" t="s">
        <v>1668</v>
      </c>
      <c r="K333" s="16" t="s">
        <v>3338</v>
      </c>
      <c r="L333" s="25"/>
      <c r="N333" s="15" t="s">
        <v>3339</v>
      </c>
      <c r="P333" s="37" t="s">
        <v>25</v>
      </c>
    </row>
    <row r="334" spans="1:16">
      <c r="A334" s="14">
        <v>10933</v>
      </c>
      <c r="B334" s="14"/>
      <c r="C334" s="14" t="s">
        <v>1220</v>
      </c>
      <c r="D334" s="14"/>
      <c r="E334" s="14"/>
      <c r="F334" s="14"/>
      <c r="G334" s="14"/>
      <c r="H334" s="28"/>
      <c r="I334" s="28"/>
      <c r="L334" s="25"/>
    </row>
    <row r="335" spans="1:16">
      <c r="A335" s="14">
        <v>10934</v>
      </c>
      <c r="B335" s="14"/>
      <c r="C335" s="14" t="s">
        <v>1220</v>
      </c>
      <c r="D335" s="14"/>
      <c r="E335" s="14"/>
      <c r="F335" s="14"/>
      <c r="G335" s="14"/>
      <c r="H335" s="28"/>
      <c r="I335" s="28"/>
      <c r="L335" s="25"/>
    </row>
    <row r="336" spans="1:16">
      <c r="A336" s="14">
        <v>10935</v>
      </c>
      <c r="B336" s="14"/>
      <c r="C336" s="14" t="s">
        <v>1220</v>
      </c>
      <c r="D336" s="14"/>
      <c r="E336" s="14"/>
      <c r="F336" s="14"/>
      <c r="G336" s="14"/>
      <c r="H336" s="28"/>
      <c r="I336" s="28"/>
      <c r="L336" s="25"/>
    </row>
    <row r="337" spans="1:16">
      <c r="A337" s="14">
        <v>10936</v>
      </c>
      <c r="B337" s="14"/>
      <c r="C337" s="14" t="s">
        <v>1220</v>
      </c>
      <c r="D337" s="14"/>
      <c r="E337" s="14"/>
      <c r="F337" s="14"/>
      <c r="G337" s="14"/>
      <c r="H337" s="28"/>
      <c r="I337" s="28"/>
      <c r="L337" s="25"/>
    </row>
    <row r="338" spans="1:16">
      <c r="A338" s="14">
        <v>10937</v>
      </c>
      <c r="B338" s="14" t="s">
        <v>3340</v>
      </c>
      <c r="C338" s="14" t="s">
        <v>1220</v>
      </c>
      <c r="D338" s="4" t="s">
        <v>19</v>
      </c>
      <c r="E338" s="14">
        <v>111787</v>
      </c>
      <c r="F338" s="14">
        <v>15771527065</v>
      </c>
      <c r="G338" s="14">
        <v>514739725</v>
      </c>
      <c r="H338" s="28" t="s">
        <v>3341</v>
      </c>
      <c r="I338" s="28" t="s">
        <v>3341</v>
      </c>
      <c r="J338" s="3" t="s">
        <v>3342</v>
      </c>
      <c r="K338" s="15" t="s">
        <v>3343</v>
      </c>
      <c r="L338" s="25"/>
      <c r="N338" s="15" t="s">
        <v>3344</v>
      </c>
      <c r="P338" s="37" t="s">
        <v>25</v>
      </c>
    </row>
    <row r="339" spans="1:16">
      <c r="A339" s="14">
        <v>10938</v>
      </c>
      <c r="B339" s="14"/>
      <c r="C339" s="14" t="s">
        <v>1220</v>
      </c>
      <c r="D339" s="14"/>
      <c r="E339" s="14"/>
      <c r="F339" s="14"/>
      <c r="G339" s="14"/>
      <c r="H339" s="28"/>
      <c r="I339" s="28"/>
      <c r="L339" s="25"/>
    </row>
    <row r="340" spans="1:16">
      <c r="A340" s="14">
        <v>10939</v>
      </c>
      <c r="B340" s="14"/>
      <c r="C340" s="14" t="s">
        <v>1220</v>
      </c>
      <c r="D340" s="14"/>
      <c r="E340" s="14"/>
      <c r="F340" s="14"/>
      <c r="G340" s="14"/>
      <c r="H340" s="28"/>
      <c r="I340" s="28"/>
      <c r="L340" s="25"/>
    </row>
    <row r="341" spans="1:16">
      <c r="A341" s="14">
        <v>10940</v>
      </c>
      <c r="B341" s="14" t="s">
        <v>877</v>
      </c>
      <c r="C341" s="14" t="s">
        <v>1220</v>
      </c>
      <c r="D341" s="4" t="s">
        <v>19</v>
      </c>
      <c r="E341" s="14">
        <v>109470</v>
      </c>
      <c r="F341" s="14">
        <v>14295522964</v>
      </c>
      <c r="G341" s="14">
        <v>495621136</v>
      </c>
      <c r="H341" s="28" t="s">
        <v>1682</v>
      </c>
      <c r="I341" s="28" t="s">
        <v>1682</v>
      </c>
      <c r="J341" s="3" t="s">
        <v>1683</v>
      </c>
      <c r="K341" s="15" t="s">
        <v>3345</v>
      </c>
      <c r="L341" s="25"/>
      <c r="N341" s="16" t="s">
        <v>3346</v>
      </c>
      <c r="P341" s="37" t="s">
        <v>25</v>
      </c>
    </row>
    <row r="342" spans="1:16">
      <c r="A342" s="14">
        <v>10941</v>
      </c>
      <c r="B342" s="14" t="s">
        <v>3347</v>
      </c>
      <c r="C342" s="14" t="s">
        <v>1220</v>
      </c>
      <c r="D342" s="4" t="s">
        <v>19</v>
      </c>
      <c r="E342" s="14">
        <v>111726</v>
      </c>
      <c r="F342" s="14">
        <v>15770496216</v>
      </c>
      <c r="G342" s="14">
        <v>514739821</v>
      </c>
      <c r="H342" s="28" t="s">
        <v>3348</v>
      </c>
      <c r="I342" s="28" t="s">
        <v>3348</v>
      </c>
      <c r="J342" s="3" t="s">
        <v>3349</v>
      </c>
      <c r="K342" s="15" t="s">
        <v>3350</v>
      </c>
      <c r="L342" s="25"/>
      <c r="N342" s="16" t="s">
        <v>3351</v>
      </c>
      <c r="P342" s="37" t="s">
        <v>25</v>
      </c>
    </row>
    <row r="343" spans="1:16">
      <c r="A343" s="14">
        <v>10942</v>
      </c>
      <c r="B343" s="14"/>
      <c r="C343" s="14" t="s">
        <v>1220</v>
      </c>
      <c r="D343" s="14"/>
      <c r="E343" s="14"/>
      <c r="F343" s="14"/>
      <c r="G343" s="14"/>
      <c r="H343" s="28"/>
      <c r="I343" s="28"/>
      <c r="L343" s="25"/>
    </row>
    <row r="344" spans="1:16">
      <c r="A344" s="14">
        <v>10943</v>
      </c>
      <c r="B344" s="14" t="s">
        <v>3352</v>
      </c>
      <c r="C344" s="14" t="s">
        <v>1220</v>
      </c>
      <c r="D344" s="4" t="s">
        <v>19</v>
      </c>
      <c r="E344" s="14">
        <v>111735</v>
      </c>
      <c r="F344" s="14">
        <v>15770500333</v>
      </c>
      <c r="G344" s="14">
        <v>514739734</v>
      </c>
      <c r="H344" s="28" t="s">
        <v>3353</v>
      </c>
      <c r="I344" s="28" t="s">
        <v>3353</v>
      </c>
      <c r="J344" s="3" t="s">
        <v>3354</v>
      </c>
      <c r="K344" s="15" t="s">
        <v>3355</v>
      </c>
      <c r="L344" s="25"/>
      <c r="N344" s="15" t="s">
        <v>3356</v>
      </c>
      <c r="P344" s="37" t="s">
        <v>25</v>
      </c>
    </row>
    <row r="345" spans="1:16">
      <c r="A345" s="14">
        <v>10944</v>
      </c>
      <c r="B345" s="14"/>
      <c r="C345" s="14" t="s">
        <v>1220</v>
      </c>
      <c r="D345" s="14"/>
      <c r="E345" s="14"/>
      <c r="F345" s="14"/>
      <c r="G345" s="14"/>
      <c r="H345" s="28"/>
      <c r="I345" s="28"/>
      <c r="L345" s="25"/>
    </row>
    <row r="346" spans="1:16">
      <c r="A346" s="14">
        <v>10945</v>
      </c>
      <c r="B346" s="14"/>
      <c r="C346" s="14" t="s">
        <v>1220</v>
      </c>
      <c r="D346" s="14"/>
      <c r="E346" s="14"/>
      <c r="F346" s="14"/>
      <c r="G346" s="14"/>
      <c r="H346" s="28"/>
      <c r="I346" s="28"/>
      <c r="L346" s="25"/>
    </row>
    <row r="347" spans="1:16">
      <c r="A347" s="14">
        <v>10946</v>
      </c>
      <c r="B347" s="14" t="s">
        <v>3357</v>
      </c>
      <c r="C347" s="14" t="s">
        <v>1220</v>
      </c>
      <c r="D347" s="4" t="s">
        <v>19</v>
      </c>
      <c r="E347" s="14">
        <v>111796</v>
      </c>
      <c r="F347" s="14">
        <v>15771630206</v>
      </c>
      <c r="G347" s="14">
        <v>514739753</v>
      </c>
      <c r="H347" s="28" t="s">
        <v>3358</v>
      </c>
      <c r="I347" s="28" t="s">
        <v>3358</v>
      </c>
      <c r="J347" s="3" t="s">
        <v>3359</v>
      </c>
      <c r="K347" s="15" t="s">
        <v>3360</v>
      </c>
      <c r="L347" s="25"/>
      <c r="N347" s="15" t="s">
        <v>3361</v>
      </c>
      <c r="P347" s="37" t="s">
        <v>25</v>
      </c>
    </row>
    <row r="348" spans="1:16">
      <c r="A348" s="14">
        <v>10947</v>
      </c>
      <c r="B348" s="14"/>
      <c r="C348" s="14" t="s">
        <v>1220</v>
      </c>
      <c r="D348" s="14"/>
      <c r="E348" s="14"/>
      <c r="F348" s="14"/>
      <c r="G348" s="14"/>
      <c r="H348" s="28"/>
      <c r="I348" s="28"/>
      <c r="L348" s="25"/>
    </row>
    <row r="349" spans="1:16">
      <c r="A349" s="14">
        <v>10948</v>
      </c>
      <c r="B349" s="14" t="s">
        <v>3362</v>
      </c>
      <c r="C349" s="14" t="s">
        <v>1220</v>
      </c>
      <c r="D349" s="4" t="s">
        <v>19</v>
      </c>
      <c r="E349" s="14">
        <v>111730</v>
      </c>
      <c r="F349" s="14">
        <v>15770499556</v>
      </c>
      <c r="G349" s="14">
        <v>514739909</v>
      </c>
      <c r="H349" s="28" t="s">
        <v>3363</v>
      </c>
      <c r="I349" s="28" t="s">
        <v>3363</v>
      </c>
      <c r="J349" s="3" t="s">
        <v>3364</v>
      </c>
      <c r="K349" s="15" t="s">
        <v>3365</v>
      </c>
      <c r="L349" s="25"/>
      <c r="N349" s="15" t="s">
        <v>3366</v>
      </c>
      <c r="P349" s="37" t="s">
        <v>25</v>
      </c>
    </row>
    <row r="350" spans="1:16">
      <c r="A350" s="14">
        <v>10949</v>
      </c>
      <c r="B350" s="14"/>
      <c r="C350" s="14" t="s">
        <v>1220</v>
      </c>
      <c r="D350" s="14"/>
      <c r="E350" s="14"/>
      <c r="F350" s="14"/>
      <c r="G350" s="14"/>
      <c r="H350" s="28"/>
      <c r="I350" s="28"/>
      <c r="L350" s="25"/>
    </row>
    <row r="351" spans="1:16">
      <c r="A351" s="14">
        <v>10950</v>
      </c>
      <c r="B351" s="14"/>
      <c r="C351" s="14" t="s">
        <v>1220</v>
      </c>
      <c r="D351" s="14"/>
      <c r="E351" s="14"/>
      <c r="F351" s="14"/>
      <c r="G351" s="14"/>
      <c r="H351" s="28"/>
      <c r="I351" s="28"/>
      <c r="L351" s="25"/>
    </row>
    <row r="352" spans="1:16">
      <c r="A352" s="14">
        <v>10951</v>
      </c>
      <c r="B352" s="14"/>
      <c r="C352" s="14" t="s">
        <v>1220</v>
      </c>
      <c r="D352" s="14"/>
      <c r="E352" s="14"/>
      <c r="F352" s="14"/>
      <c r="G352" s="14"/>
      <c r="H352" s="28"/>
      <c r="I352" s="28"/>
      <c r="L352" s="25"/>
    </row>
    <row r="353" spans="1:16">
      <c r="A353" s="14">
        <v>10952</v>
      </c>
      <c r="B353" s="14" t="s">
        <v>3367</v>
      </c>
      <c r="C353" s="14" t="s">
        <v>1220</v>
      </c>
      <c r="D353" s="4" t="s">
        <v>19</v>
      </c>
      <c r="E353" s="14">
        <v>111795</v>
      </c>
      <c r="F353" s="14">
        <v>15771527073</v>
      </c>
      <c r="G353" s="14">
        <v>514739836</v>
      </c>
      <c r="H353" s="28" t="s">
        <v>3368</v>
      </c>
      <c r="I353" s="28" t="s">
        <v>3368</v>
      </c>
      <c r="J353" s="3" t="s">
        <v>3369</v>
      </c>
      <c r="K353" s="16" t="s">
        <v>3370</v>
      </c>
      <c r="L353" s="25"/>
      <c r="N353" s="15" t="s">
        <v>3371</v>
      </c>
      <c r="P353" s="37" t="s">
        <v>25</v>
      </c>
    </row>
    <row r="354" spans="1:16">
      <c r="A354" s="14">
        <v>10953</v>
      </c>
      <c r="B354" s="14" t="s">
        <v>1689</v>
      </c>
      <c r="C354" s="14" t="s">
        <v>1220</v>
      </c>
      <c r="D354" s="4" t="s">
        <v>19</v>
      </c>
      <c r="E354" s="14">
        <v>109561</v>
      </c>
      <c r="F354" s="14">
        <v>14295783131</v>
      </c>
      <c r="G354" s="14">
        <v>495621120</v>
      </c>
      <c r="H354" s="28" t="s">
        <v>1690</v>
      </c>
      <c r="I354" s="28" t="s">
        <v>1690</v>
      </c>
      <c r="J354" s="3" t="s">
        <v>1691</v>
      </c>
      <c r="K354" s="16" t="s">
        <v>3372</v>
      </c>
      <c r="L354" s="25"/>
      <c r="N354" s="15" t="s">
        <v>3373</v>
      </c>
      <c r="P354" s="37" t="s">
        <v>25</v>
      </c>
    </row>
    <row r="355" spans="1:16">
      <c r="A355" s="14">
        <v>10954</v>
      </c>
      <c r="B355" s="14"/>
      <c r="C355" s="14" t="s">
        <v>1220</v>
      </c>
      <c r="D355" s="14"/>
      <c r="E355" s="14"/>
      <c r="F355" s="14"/>
      <c r="G355" s="14"/>
      <c r="H355" s="28"/>
      <c r="I355" s="28"/>
      <c r="L355" s="25"/>
    </row>
    <row r="356" spans="1:16">
      <c r="A356" s="14">
        <v>10955</v>
      </c>
      <c r="B356" s="14"/>
      <c r="C356" s="14" t="s">
        <v>1220</v>
      </c>
      <c r="D356" s="14"/>
      <c r="E356" s="14"/>
      <c r="F356" s="14"/>
      <c r="G356" s="14"/>
      <c r="H356" s="28"/>
      <c r="I356" s="28"/>
      <c r="L356" s="25"/>
    </row>
    <row r="357" spans="1:16">
      <c r="A357" s="14">
        <v>10956</v>
      </c>
      <c r="B357" s="14" t="s">
        <v>3374</v>
      </c>
      <c r="C357" s="14" t="s">
        <v>1220</v>
      </c>
      <c r="D357" s="4" t="s">
        <v>19</v>
      </c>
      <c r="E357" s="14">
        <v>110055</v>
      </c>
      <c r="F357" s="14">
        <v>14742697529</v>
      </c>
      <c r="G357" s="14">
        <v>501459298</v>
      </c>
      <c r="H357" s="28" t="s">
        <v>3375</v>
      </c>
      <c r="I357" s="28" t="s">
        <v>3375</v>
      </c>
      <c r="J357" s="3" t="s">
        <v>3376</v>
      </c>
      <c r="K357" s="15" t="s">
        <v>3377</v>
      </c>
      <c r="L357" s="25"/>
      <c r="N357" s="15" t="s">
        <v>3378</v>
      </c>
      <c r="P357" s="37" t="s">
        <v>25</v>
      </c>
    </row>
    <row r="358" spans="1:16">
      <c r="A358" s="14">
        <v>10957</v>
      </c>
      <c r="B358" s="14" t="s">
        <v>3379</v>
      </c>
      <c r="C358" s="14" t="s">
        <v>1220</v>
      </c>
      <c r="D358" s="4" t="s">
        <v>19</v>
      </c>
      <c r="E358" s="14">
        <v>111797</v>
      </c>
      <c r="F358" s="14">
        <v>15771630207</v>
      </c>
      <c r="G358" s="14">
        <v>514739770</v>
      </c>
      <c r="H358" s="28" t="s">
        <v>3380</v>
      </c>
      <c r="I358" s="28" t="s">
        <v>3380</v>
      </c>
      <c r="J358" s="3" t="s">
        <v>3381</v>
      </c>
      <c r="K358" s="15" t="s">
        <v>3382</v>
      </c>
      <c r="L358" s="25"/>
      <c r="N358" s="15" t="s">
        <v>3383</v>
      </c>
      <c r="P358" s="37" t="s">
        <v>25</v>
      </c>
    </row>
    <row r="359" spans="1:16">
      <c r="A359" s="14">
        <v>10958</v>
      </c>
      <c r="B359" s="14" t="s">
        <v>3384</v>
      </c>
      <c r="C359" s="14" t="s">
        <v>1220</v>
      </c>
      <c r="D359" s="4" t="s">
        <v>19</v>
      </c>
      <c r="E359" s="14">
        <v>111830</v>
      </c>
      <c r="F359" s="14">
        <v>15775317967</v>
      </c>
      <c r="G359" s="14">
        <v>514739915</v>
      </c>
      <c r="H359" s="28" t="s">
        <v>3385</v>
      </c>
      <c r="I359" s="28" t="s">
        <v>3385</v>
      </c>
      <c r="J359" s="3" t="s">
        <v>3386</v>
      </c>
      <c r="K359" s="15" t="s">
        <v>3387</v>
      </c>
      <c r="L359" s="25"/>
      <c r="N359" s="15" t="s">
        <v>3388</v>
      </c>
      <c r="P359" s="37" t="s">
        <v>25</v>
      </c>
    </row>
    <row r="360" spans="1:16">
      <c r="A360" s="14">
        <v>10959</v>
      </c>
      <c r="B360" s="14"/>
      <c r="C360" s="14" t="s">
        <v>1220</v>
      </c>
      <c r="D360" s="14"/>
      <c r="E360" s="14"/>
      <c r="F360" s="14"/>
      <c r="G360" s="14"/>
      <c r="H360" s="28"/>
      <c r="I360" s="28"/>
      <c r="L360" s="25"/>
    </row>
    <row r="361" spans="1:16">
      <c r="A361" s="14">
        <v>10960</v>
      </c>
      <c r="B361" s="14"/>
      <c r="C361" s="14" t="s">
        <v>1220</v>
      </c>
      <c r="D361" s="14"/>
      <c r="E361" s="14"/>
      <c r="F361" s="14"/>
      <c r="G361" s="14"/>
      <c r="H361" s="28"/>
      <c r="I361" s="28"/>
      <c r="L361" s="25"/>
    </row>
    <row r="362" spans="1:16">
      <c r="A362" s="14">
        <v>10961</v>
      </c>
      <c r="B362" s="14" t="s">
        <v>3389</v>
      </c>
      <c r="C362" s="14" t="s">
        <v>1220</v>
      </c>
      <c r="D362" s="4" t="s">
        <v>19</v>
      </c>
      <c r="E362" s="14">
        <v>111727</v>
      </c>
      <c r="F362" s="14">
        <v>15770499553</v>
      </c>
      <c r="G362" s="14">
        <v>514739869</v>
      </c>
      <c r="H362" s="28" t="s">
        <v>3390</v>
      </c>
      <c r="I362" s="28" t="s">
        <v>3390</v>
      </c>
      <c r="J362" s="3" t="s">
        <v>3391</v>
      </c>
      <c r="K362" s="15" t="s">
        <v>3392</v>
      </c>
      <c r="L362" s="25"/>
      <c r="N362" s="15" t="s">
        <v>3393</v>
      </c>
      <c r="P362" s="37" t="s">
        <v>25</v>
      </c>
    </row>
    <row r="363" spans="1:16">
      <c r="A363" s="14">
        <v>10962</v>
      </c>
      <c r="B363" s="14"/>
      <c r="C363" s="14" t="s">
        <v>1220</v>
      </c>
      <c r="D363" s="14"/>
      <c r="E363" s="14"/>
      <c r="F363" s="14"/>
      <c r="G363" s="14"/>
      <c r="H363" s="28"/>
      <c r="I363" s="28"/>
      <c r="L363" s="25"/>
    </row>
    <row r="364" spans="1:16">
      <c r="A364" s="14">
        <v>10963</v>
      </c>
      <c r="B364" s="14"/>
      <c r="C364" s="14" t="s">
        <v>1220</v>
      </c>
      <c r="D364" s="14"/>
      <c r="E364" s="14"/>
      <c r="F364" s="14"/>
      <c r="G364" s="14"/>
      <c r="H364" s="28"/>
      <c r="I364" s="28"/>
      <c r="L364" s="25"/>
    </row>
    <row r="365" spans="1:16">
      <c r="A365" s="14">
        <v>10964</v>
      </c>
      <c r="B365" s="14" t="s">
        <v>3394</v>
      </c>
      <c r="C365" s="14" t="s">
        <v>1220</v>
      </c>
      <c r="D365" s="4" t="s">
        <v>19</v>
      </c>
      <c r="E365" s="14">
        <v>111700</v>
      </c>
      <c r="F365" s="14">
        <v>15770479302</v>
      </c>
      <c r="G365" s="14">
        <v>514739811</v>
      </c>
      <c r="H365" s="28" t="s">
        <v>3395</v>
      </c>
      <c r="I365" s="28" t="s">
        <v>3395</v>
      </c>
      <c r="J365" s="3" t="s">
        <v>3396</v>
      </c>
      <c r="K365" s="16" t="s">
        <v>3397</v>
      </c>
      <c r="L365" s="25"/>
      <c r="N365" s="15" t="s">
        <v>3398</v>
      </c>
      <c r="P365" s="37" t="s">
        <v>25</v>
      </c>
    </row>
    <row r="366" spans="1:16">
      <c r="A366" s="14">
        <v>10965</v>
      </c>
      <c r="B366" s="14"/>
      <c r="C366" s="14" t="s">
        <v>1220</v>
      </c>
      <c r="D366" s="14"/>
      <c r="E366" s="14"/>
      <c r="F366" s="14"/>
      <c r="G366" s="14"/>
      <c r="H366" s="28"/>
      <c r="I366" s="28"/>
      <c r="L366" s="25"/>
    </row>
    <row r="367" spans="1:16">
      <c r="A367" s="14">
        <v>10966</v>
      </c>
      <c r="B367" s="14"/>
      <c r="C367" s="14" t="s">
        <v>1220</v>
      </c>
      <c r="D367" s="14"/>
      <c r="E367" s="14"/>
      <c r="F367" s="14"/>
      <c r="G367" s="14"/>
      <c r="H367" s="28"/>
      <c r="I367" s="28"/>
      <c r="L367" s="25"/>
    </row>
    <row r="368" spans="1:16">
      <c r="A368" s="14">
        <v>10967</v>
      </c>
      <c r="B368" s="14" t="s">
        <v>3399</v>
      </c>
      <c r="C368" s="14" t="s">
        <v>1220</v>
      </c>
      <c r="D368" s="4" t="s">
        <v>19</v>
      </c>
      <c r="E368" s="14">
        <v>110089</v>
      </c>
      <c r="F368" s="14">
        <v>14742926836</v>
      </c>
      <c r="G368" s="14">
        <v>501459332</v>
      </c>
      <c r="H368" s="28" t="s">
        <v>3400</v>
      </c>
      <c r="I368" s="28" t="s">
        <v>3400</v>
      </c>
      <c r="J368" s="3" t="s">
        <v>3401</v>
      </c>
      <c r="K368" s="15" t="s">
        <v>3402</v>
      </c>
      <c r="L368" s="25"/>
      <c r="N368" s="15" t="s">
        <v>3403</v>
      </c>
      <c r="P368" s="37" t="s">
        <v>25</v>
      </c>
    </row>
    <row r="369" spans="1:16">
      <c r="A369" s="14">
        <v>10968</v>
      </c>
      <c r="B369" s="14" t="s">
        <v>3404</v>
      </c>
      <c r="C369" s="14" t="s">
        <v>1220</v>
      </c>
      <c r="D369" s="4" t="s">
        <v>19</v>
      </c>
      <c r="E369" s="14">
        <v>111785</v>
      </c>
      <c r="F369" s="14">
        <v>15771527063</v>
      </c>
      <c r="G369" s="14">
        <v>514739827</v>
      </c>
      <c r="H369" s="28" t="s">
        <v>3405</v>
      </c>
      <c r="I369" s="28" t="s">
        <v>3405</v>
      </c>
      <c r="J369" s="3" t="s">
        <v>3406</v>
      </c>
      <c r="K369" s="15" t="s">
        <v>3407</v>
      </c>
      <c r="L369" s="25"/>
      <c r="N369" s="15" t="s">
        <v>3408</v>
      </c>
      <c r="P369" s="37" t="s">
        <v>25</v>
      </c>
    </row>
    <row r="370" spans="1:16">
      <c r="A370" s="14">
        <v>10969</v>
      </c>
      <c r="B370" s="14"/>
      <c r="C370" s="14" t="s">
        <v>1220</v>
      </c>
      <c r="D370" s="14"/>
      <c r="E370" s="14"/>
      <c r="F370" s="14"/>
      <c r="G370" s="14"/>
      <c r="H370" s="28"/>
      <c r="I370" s="28"/>
      <c r="L370" s="25"/>
    </row>
    <row r="371" spans="1:16">
      <c r="A371" s="14">
        <v>10970</v>
      </c>
      <c r="B371" s="14"/>
      <c r="C371" s="14" t="s">
        <v>1220</v>
      </c>
      <c r="D371" s="14"/>
      <c r="E371" s="14"/>
      <c r="F371" s="14"/>
      <c r="G371" s="14"/>
      <c r="H371" s="28"/>
      <c r="I371" s="28"/>
      <c r="L371" s="25"/>
    </row>
    <row r="372" spans="1:16">
      <c r="A372" s="14">
        <v>10971</v>
      </c>
      <c r="B372" s="14" t="s">
        <v>3409</v>
      </c>
      <c r="C372" s="14" t="s">
        <v>1220</v>
      </c>
      <c r="D372" s="4" t="s">
        <v>19</v>
      </c>
      <c r="E372" s="14">
        <v>111840</v>
      </c>
      <c r="F372" s="14">
        <v>15775357183</v>
      </c>
      <c r="G372" s="14">
        <v>514739825</v>
      </c>
      <c r="H372" s="28" t="s">
        <v>3410</v>
      </c>
      <c r="I372" s="28" t="s">
        <v>3410</v>
      </c>
      <c r="J372" s="3" t="s">
        <v>3411</v>
      </c>
      <c r="K372" s="15" t="s">
        <v>3412</v>
      </c>
      <c r="L372" s="25"/>
      <c r="N372" s="15" t="s">
        <v>3413</v>
      </c>
      <c r="P372" s="37" t="s">
        <v>25</v>
      </c>
    </row>
    <row r="373" spans="1:16">
      <c r="A373" s="14">
        <v>10972</v>
      </c>
      <c r="B373" s="14" t="s">
        <v>3414</v>
      </c>
      <c r="C373" s="14" t="s">
        <v>1220</v>
      </c>
      <c r="D373" s="4" t="s">
        <v>19</v>
      </c>
      <c r="E373" s="14">
        <v>110088</v>
      </c>
      <c r="F373" s="14">
        <v>14742926424</v>
      </c>
      <c r="G373" s="14">
        <v>501459317</v>
      </c>
      <c r="H373" s="28" t="s">
        <v>3415</v>
      </c>
      <c r="I373" s="28" t="s">
        <v>3415</v>
      </c>
      <c r="J373" s="3" t="s">
        <v>3416</v>
      </c>
      <c r="K373" s="15" t="s">
        <v>3417</v>
      </c>
      <c r="L373" s="25"/>
      <c r="N373" s="15" t="s">
        <v>3418</v>
      </c>
      <c r="P373" s="37" t="s">
        <v>25</v>
      </c>
    </row>
    <row r="374" spans="1:16">
      <c r="A374" s="14">
        <v>10973</v>
      </c>
      <c r="B374" s="14"/>
      <c r="C374" s="14" t="s">
        <v>1220</v>
      </c>
      <c r="D374" s="14"/>
      <c r="E374" s="14"/>
      <c r="F374" s="14"/>
      <c r="G374" s="14"/>
      <c r="H374" s="28"/>
      <c r="I374" s="28"/>
      <c r="L374" s="25"/>
    </row>
    <row r="375" spans="1:16">
      <c r="A375" s="14">
        <v>10974</v>
      </c>
      <c r="B375" s="14"/>
      <c r="C375" s="14" t="s">
        <v>1220</v>
      </c>
      <c r="D375" s="14"/>
      <c r="E375" s="14"/>
      <c r="F375" s="14"/>
      <c r="G375" s="14"/>
      <c r="H375" s="28"/>
      <c r="I375" s="28"/>
      <c r="L375" s="25"/>
    </row>
    <row r="376" spans="1:16">
      <c r="A376" s="14">
        <v>10975</v>
      </c>
      <c r="B376" s="14"/>
      <c r="C376" s="14" t="s">
        <v>1220</v>
      </c>
      <c r="D376" s="14"/>
      <c r="E376" s="14"/>
      <c r="F376" s="14"/>
      <c r="G376" s="14"/>
      <c r="H376" s="28"/>
      <c r="I376" s="28"/>
      <c r="L376" s="25"/>
    </row>
    <row r="377" spans="1:16">
      <c r="A377" s="14">
        <v>10976</v>
      </c>
      <c r="B377" s="14"/>
      <c r="C377" s="14" t="s">
        <v>1220</v>
      </c>
      <c r="D377" s="14"/>
      <c r="E377" s="14"/>
      <c r="F377" s="14"/>
      <c r="G377" s="14"/>
      <c r="H377" s="28"/>
      <c r="I377" s="28"/>
      <c r="L377" s="25"/>
    </row>
    <row r="378" spans="1:16">
      <c r="A378" s="14">
        <v>10977</v>
      </c>
      <c r="B378" s="14"/>
      <c r="C378" s="14" t="s">
        <v>1220</v>
      </c>
      <c r="D378" s="14"/>
      <c r="E378" s="14"/>
      <c r="F378" s="14"/>
      <c r="G378" s="14"/>
      <c r="H378" s="28"/>
      <c r="I378" s="28"/>
      <c r="L378" s="25"/>
    </row>
    <row r="379" spans="1:16">
      <c r="A379" s="14">
        <v>10978</v>
      </c>
      <c r="B379" s="14" t="s">
        <v>3419</v>
      </c>
      <c r="C379" s="14" t="s">
        <v>1220</v>
      </c>
      <c r="D379" s="4" t="s">
        <v>19</v>
      </c>
      <c r="E379" s="14">
        <v>110074</v>
      </c>
      <c r="F379" s="14">
        <v>14742753020</v>
      </c>
      <c r="G379" s="14">
        <v>501459319</v>
      </c>
      <c r="H379" s="28" t="s">
        <v>3420</v>
      </c>
      <c r="I379" s="28" t="s">
        <v>3420</v>
      </c>
      <c r="J379" s="3" t="s">
        <v>3421</v>
      </c>
      <c r="K379" s="15" t="s">
        <v>3422</v>
      </c>
      <c r="L379" s="25"/>
      <c r="N379" s="15" t="s">
        <v>3423</v>
      </c>
      <c r="P379" s="37" t="s">
        <v>25</v>
      </c>
    </row>
    <row r="380" spans="1:16">
      <c r="A380" s="14">
        <v>10979</v>
      </c>
      <c r="B380" s="14" t="s">
        <v>3424</v>
      </c>
      <c r="C380" s="14" t="s">
        <v>1220</v>
      </c>
      <c r="D380" s="4" t="s">
        <v>19</v>
      </c>
      <c r="E380" s="14">
        <v>109550</v>
      </c>
      <c r="F380" s="14">
        <v>14295719073</v>
      </c>
      <c r="G380" s="14">
        <v>495621242</v>
      </c>
      <c r="H380" s="28" t="s">
        <v>3425</v>
      </c>
      <c r="I380" s="28" t="s">
        <v>3425</v>
      </c>
      <c r="J380" s="3" t="s">
        <v>3426</v>
      </c>
      <c r="K380" s="15" t="s">
        <v>3427</v>
      </c>
      <c r="L380" s="25"/>
      <c r="N380" s="15" t="s">
        <v>3428</v>
      </c>
      <c r="P380" s="37" t="s">
        <v>25</v>
      </c>
    </row>
    <row r="381" spans="1:16">
      <c r="A381" s="14">
        <v>10980</v>
      </c>
      <c r="B381" s="14" t="s">
        <v>3429</v>
      </c>
      <c r="C381" s="14" t="s">
        <v>1220</v>
      </c>
      <c r="D381" s="4" t="s">
        <v>19</v>
      </c>
      <c r="E381" s="14">
        <v>111824</v>
      </c>
      <c r="F381" s="14">
        <v>15775262348</v>
      </c>
      <c r="G381" s="14">
        <v>514739877</v>
      </c>
      <c r="H381" s="28" t="s">
        <v>3430</v>
      </c>
      <c r="I381" s="28" t="s">
        <v>3430</v>
      </c>
      <c r="J381" s="3" t="s">
        <v>3431</v>
      </c>
      <c r="K381" s="15" t="s">
        <v>3432</v>
      </c>
      <c r="L381" s="25"/>
      <c r="N381" s="15" t="s">
        <v>3433</v>
      </c>
      <c r="P381" s="37" t="s">
        <v>25</v>
      </c>
    </row>
    <row r="382" spans="1:16">
      <c r="A382" s="14">
        <v>10981</v>
      </c>
      <c r="B382" s="14"/>
      <c r="C382" s="14" t="s">
        <v>1220</v>
      </c>
      <c r="D382" s="14"/>
      <c r="E382" s="14"/>
      <c r="F382" s="14"/>
      <c r="G382" s="14"/>
      <c r="H382" s="28"/>
      <c r="I382" s="28"/>
      <c r="L382" s="25"/>
    </row>
    <row r="383" spans="1:16">
      <c r="A383" s="14">
        <v>10982</v>
      </c>
      <c r="B383" s="14"/>
      <c r="C383" s="14" t="s">
        <v>1220</v>
      </c>
      <c r="D383" s="14"/>
      <c r="E383" s="14"/>
      <c r="F383" s="14"/>
      <c r="G383" s="14"/>
      <c r="H383" s="28"/>
      <c r="I383" s="28"/>
      <c r="L383" s="25"/>
    </row>
    <row r="384" spans="1:16">
      <c r="A384" s="14">
        <v>10983</v>
      </c>
      <c r="B384" s="14"/>
      <c r="C384" s="14" t="s">
        <v>1220</v>
      </c>
      <c r="D384" s="14"/>
      <c r="E384" s="14"/>
      <c r="F384" s="14"/>
      <c r="G384" s="14"/>
      <c r="H384" s="28"/>
      <c r="I384" s="28"/>
      <c r="L384" s="25"/>
    </row>
    <row r="385" spans="1:16">
      <c r="A385" s="14">
        <v>10984</v>
      </c>
      <c r="B385" s="14"/>
      <c r="C385" s="14" t="s">
        <v>1220</v>
      </c>
      <c r="D385" s="14"/>
      <c r="E385" s="14"/>
      <c r="F385" s="14"/>
      <c r="G385" s="14"/>
      <c r="H385" s="28"/>
      <c r="I385" s="28"/>
      <c r="L385" s="25"/>
    </row>
    <row r="386" spans="1:16">
      <c r="A386" s="14">
        <v>10985</v>
      </c>
      <c r="B386" s="14" t="s">
        <v>263</v>
      </c>
      <c r="C386" s="14" t="s">
        <v>1220</v>
      </c>
      <c r="D386" s="4" t="s">
        <v>19</v>
      </c>
      <c r="E386" s="14">
        <v>101610</v>
      </c>
      <c r="F386" s="14">
        <v>10158686264</v>
      </c>
      <c r="G386" s="14">
        <v>442803397</v>
      </c>
      <c r="H386" s="28" t="s">
        <v>3434</v>
      </c>
      <c r="I386" s="28" t="s">
        <v>3434</v>
      </c>
      <c r="J386" s="3" t="s">
        <v>3435</v>
      </c>
      <c r="K386" s="15" t="s">
        <v>3436</v>
      </c>
      <c r="L386" s="25"/>
      <c r="N386" s="15" t="s">
        <v>3437</v>
      </c>
      <c r="P386" s="37" t="s">
        <v>25</v>
      </c>
    </row>
    <row r="387" spans="1:16">
      <c r="A387" s="14">
        <v>10986</v>
      </c>
      <c r="B387" s="14" t="s">
        <v>3438</v>
      </c>
      <c r="C387" s="14" t="s">
        <v>1220</v>
      </c>
      <c r="D387" s="4" t="s">
        <v>19</v>
      </c>
      <c r="E387" s="14">
        <v>111872</v>
      </c>
      <c r="F387" s="14">
        <v>15775472847</v>
      </c>
      <c r="G387" s="14">
        <v>514739833</v>
      </c>
      <c r="H387" s="28" t="s">
        <v>3439</v>
      </c>
      <c r="I387" s="28" t="s">
        <v>3439</v>
      </c>
      <c r="J387" s="3" t="s">
        <v>3440</v>
      </c>
      <c r="K387" s="15" t="s">
        <v>3441</v>
      </c>
      <c r="L387" s="25"/>
      <c r="N387" s="15" t="s">
        <v>3442</v>
      </c>
      <c r="P387" s="37" t="s">
        <v>25</v>
      </c>
    </row>
    <row r="388" spans="1:16">
      <c r="A388" s="14">
        <v>10987</v>
      </c>
      <c r="B388" s="14"/>
      <c r="C388" s="14" t="s">
        <v>1220</v>
      </c>
      <c r="D388" s="14"/>
      <c r="E388" s="14"/>
      <c r="F388" s="14"/>
      <c r="G388" s="14"/>
      <c r="H388" s="28"/>
      <c r="I388" s="28"/>
      <c r="L388" s="25"/>
    </row>
    <row r="389" spans="1:16">
      <c r="A389" s="14">
        <v>10988</v>
      </c>
      <c r="B389" s="14"/>
      <c r="C389" s="14" t="s">
        <v>1220</v>
      </c>
      <c r="D389" s="14"/>
      <c r="E389" s="14"/>
      <c r="F389" s="14"/>
      <c r="G389" s="14"/>
      <c r="H389" s="28"/>
      <c r="I389" s="28"/>
      <c r="L389" s="25"/>
    </row>
    <row r="390" spans="1:16">
      <c r="A390" s="14">
        <v>10989</v>
      </c>
      <c r="B390" s="14" t="s">
        <v>1753</v>
      </c>
      <c r="C390" s="14" t="s">
        <v>1220</v>
      </c>
      <c r="D390" s="4" t="s">
        <v>19</v>
      </c>
      <c r="E390" s="14">
        <v>109454</v>
      </c>
      <c r="F390" s="14">
        <v>14295459044</v>
      </c>
      <c r="G390" s="14">
        <v>495621103</v>
      </c>
      <c r="H390" s="28" t="s">
        <v>1754</v>
      </c>
      <c r="I390" s="28" t="s">
        <v>1754</v>
      </c>
      <c r="J390" s="3" t="s">
        <v>1755</v>
      </c>
      <c r="K390" s="15" t="s">
        <v>3443</v>
      </c>
      <c r="L390" s="25"/>
      <c r="N390" s="16" t="s">
        <v>3444</v>
      </c>
      <c r="P390" s="37" t="s">
        <v>25</v>
      </c>
    </row>
    <row r="391" spans="1:16">
      <c r="A391" s="14">
        <v>10990</v>
      </c>
      <c r="B391" s="14" t="s">
        <v>1749</v>
      </c>
      <c r="C391" s="14" t="s">
        <v>1220</v>
      </c>
      <c r="D391" s="4" t="s">
        <v>19</v>
      </c>
      <c r="E391" s="14">
        <v>109541</v>
      </c>
      <c r="F391" s="14">
        <v>14295648081</v>
      </c>
      <c r="G391" s="14">
        <v>495621130</v>
      </c>
      <c r="H391" s="28" t="s">
        <v>1750</v>
      </c>
      <c r="I391" s="28" t="s">
        <v>1750</v>
      </c>
      <c r="J391" s="3" t="s">
        <v>1751</v>
      </c>
      <c r="K391" s="15" t="s">
        <v>3445</v>
      </c>
      <c r="L391" s="25"/>
      <c r="N391" s="16" t="s">
        <v>3446</v>
      </c>
      <c r="P391" s="37" t="s">
        <v>25</v>
      </c>
    </row>
    <row r="392" spans="1:16">
      <c r="A392" s="14">
        <v>10991</v>
      </c>
      <c r="B392" s="14"/>
      <c r="C392" s="14" t="s">
        <v>1220</v>
      </c>
      <c r="D392" s="14"/>
      <c r="E392" s="14"/>
      <c r="F392" s="14"/>
      <c r="G392" s="14"/>
      <c r="H392" s="28"/>
      <c r="I392" s="28"/>
      <c r="L392" s="25"/>
    </row>
    <row r="393" spans="1:16">
      <c r="A393" s="14">
        <v>10992</v>
      </c>
      <c r="B393" s="14"/>
      <c r="C393" s="14" t="s">
        <v>1220</v>
      </c>
      <c r="D393" s="14"/>
      <c r="E393" s="14"/>
      <c r="F393" s="14"/>
      <c r="G393" s="14"/>
      <c r="H393" s="28"/>
      <c r="I393" s="28"/>
      <c r="L393" s="25"/>
    </row>
    <row r="394" spans="1:16">
      <c r="A394" s="14">
        <v>10993</v>
      </c>
      <c r="B394" s="14" t="s">
        <v>3447</v>
      </c>
      <c r="C394" s="14" t="s">
        <v>1220</v>
      </c>
      <c r="D394" s="4" t="s">
        <v>19</v>
      </c>
      <c r="E394" s="14">
        <v>111731</v>
      </c>
      <c r="F394" s="14">
        <v>15770500088</v>
      </c>
      <c r="G394" s="14">
        <v>514739726</v>
      </c>
      <c r="H394" s="28" t="s">
        <v>3448</v>
      </c>
      <c r="I394" s="28" t="s">
        <v>3448</v>
      </c>
      <c r="J394" s="3" t="s">
        <v>3449</v>
      </c>
      <c r="K394" s="15" t="s">
        <v>3450</v>
      </c>
      <c r="L394" s="25"/>
      <c r="N394" s="15" t="s">
        <v>3451</v>
      </c>
      <c r="P394" s="37" t="s">
        <v>25</v>
      </c>
    </row>
    <row r="395" spans="1:16">
      <c r="A395" s="14">
        <v>10994</v>
      </c>
      <c r="B395" s="14" t="s">
        <v>274</v>
      </c>
      <c r="C395" s="14" t="s">
        <v>1220</v>
      </c>
      <c r="D395" s="4" t="s">
        <v>19</v>
      </c>
      <c r="E395" s="14">
        <v>111792</v>
      </c>
      <c r="F395" s="14">
        <v>15771527070</v>
      </c>
      <c r="G395" s="14">
        <v>514739872</v>
      </c>
      <c r="H395" s="28" t="s">
        <v>3452</v>
      </c>
      <c r="I395" s="28" t="s">
        <v>3452</v>
      </c>
      <c r="J395" s="3" t="s">
        <v>3453</v>
      </c>
      <c r="K395" s="15" t="s">
        <v>3454</v>
      </c>
      <c r="L395" s="25"/>
      <c r="N395" s="15" t="s">
        <v>3455</v>
      </c>
      <c r="P395" s="37" t="s">
        <v>25</v>
      </c>
    </row>
    <row r="396" spans="1:16">
      <c r="A396" s="14">
        <v>10995</v>
      </c>
      <c r="B396" s="14"/>
      <c r="C396" s="14" t="s">
        <v>1220</v>
      </c>
      <c r="D396" s="14"/>
      <c r="E396" s="14"/>
      <c r="F396" s="14"/>
      <c r="G396" s="14"/>
      <c r="H396" s="28"/>
      <c r="I396" s="28"/>
      <c r="L396" s="25"/>
    </row>
    <row r="397" spans="1:16">
      <c r="A397" s="14">
        <v>10996</v>
      </c>
      <c r="B397" s="14"/>
      <c r="C397" s="14" t="s">
        <v>1220</v>
      </c>
      <c r="D397" s="14"/>
      <c r="E397" s="14"/>
      <c r="F397" s="14"/>
      <c r="G397" s="14"/>
      <c r="H397" s="28"/>
      <c r="I397" s="28"/>
      <c r="L397" s="25"/>
    </row>
    <row r="398" spans="1:16">
      <c r="A398" s="14">
        <v>10997</v>
      </c>
      <c r="B398" s="14" t="s">
        <v>3456</v>
      </c>
      <c r="C398" s="14" t="s">
        <v>1220</v>
      </c>
      <c r="D398" s="4" t="s">
        <v>19</v>
      </c>
      <c r="E398" s="14">
        <v>111895</v>
      </c>
      <c r="F398" s="14">
        <v>15775598838</v>
      </c>
      <c r="G398" s="14">
        <v>514739881</v>
      </c>
      <c r="H398" s="28" t="s">
        <v>3457</v>
      </c>
      <c r="I398" s="28" t="s">
        <v>3457</v>
      </c>
      <c r="J398" s="3" t="s">
        <v>3458</v>
      </c>
      <c r="K398" s="15" t="s">
        <v>3459</v>
      </c>
      <c r="L398" s="25"/>
      <c r="N398" s="15" t="s">
        <v>3460</v>
      </c>
      <c r="P398" s="37" t="s">
        <v>25</v>
      </c>
    </row>
    <row r="399" spans="1:16">
      <c r="A399" s="14">
        <v>10998</v>
      </c>
      <c r="B399" s="14"/>
      <c r="C399" s="14" t="s">
        <v>1220</v>
      </c>
      <c r="D399" s="14"/>
      <c r="E399" s="14"/>
      <c r="F399" s="14"/>
      <c r="G399" s="14"/>
      <c r="H399" s="28"/>
      <c r="I399" s="28"/>
      <c r="L399" s="25"/>
    </row>
    <row r="400" spans="1:16">
      <c r="A400" s="14">
        <v>10999</v>
      </c>
      <c r="B400" s="14"/>
      <c r="C400" s="14" t="s">
        <v>1220</v>
      </c>
      <c r="D400" s="14"/>
      <c r="E400" s="14"/>
      <c r="F400" s="14"/>
      <c r="G400" s="14"/>
      <c r="H400" s="28"/>
      <c r="I400" s="28"/>
      <c r="L400" s="25"/>
    </row>
    <row r="401" spans="1:16">
      <c r="A401" s="14">
        <v>11000</v>
      </c>
      <c r="B401" s="14" t="s">
        <v>1741</v>
      </c>
      <c r="C401" s="14" t="s">
        <v>1220</v>
      </c>
      <c r="D401" s="4" t="s">
        <v>19</v>
      </c>
      <c r="E401" s="14">
        <v>109500</v>
      </c>
      <c r="F401" s="14">
        <v>14295553713</v>
      </c>
      <c r="G401" s="14">
        <v>495621091</v>
      </c>
      <c r="H401" s="28" t="s">
        <v>1742</v>
      </c>
      <c r="I401" s="28" t="s">
        <v>1742</v>
      </c>
      <c r="J401" s="3" t="s">
        <v>1743</v>
      </c>
      <c r="K401" s="15" t="s">
        <v>3461</v>
      </c>
      <c r="L401" s="25"/>
      <c r="N401" s="15" t="s">
        <v>3462</v>
      </c>
      <c r="P401" s="37" t="s">
        <v>25</v>
      </c>
    </row>
    <row r="402" spans="1:16">
      <c r="A402" s="14">
        <v>11001</v>
      </c>
      <c r="B402" s="14"/>
      <c r="C402" s="14" t="s">
        <v>1220</v>
      </c>
      <c r="D402" s="14"/>
      <c r="E402" s="14"/>
      <c r="F402" s="14"/>
      <c r="G402" s="14"/>
      <c r="H402" s="28"/>
      <c r="I402" s="28"/>
      <c r="L402" s="25"/>
    </row>
    <row r="403" spans="1:16">
      <c r="A403" s="14">
        <v>11002</v>
      </c>
      <c r="B403" s="14"/>
      <c r="C403" s="14" t="s">
        <v>1220</v>
      </c>
      <c r="D403" s="14"/>
      <c r="E403" s="14"/>
      <c r="F403" s="14"/>
      <c r="G403" s="14"/>
      <c r="H403" s="28"/>
      <c r="I403" s="28"/>
      <c r="L403" s="25"/>
    </row>
    <row r="404" spans="1:16">
      <c r="A404" s="14">
        <v>11003</v>
      </c>
      <c r="B404" s="14" t="s">
        <v>3463</v>
      </c>
      <c r="C404" s="14" t="s">
        <v>1220</v>
      </c>
      <c r="D404" s="4" t="s">
        <v>19</v>
      </c>
      <c r="E404" s="14">
        <v>109498</v>
      </c>
      <c r="F404" s="14">
        <v>14295552713</v>
      </c>
      <c r="G404" s="14">
        <v>495621081</v>
      </c>
      <c r="H404" s="28" t="s">
        <v>3464</v>
      </c>
      <c r="I404" s="28" t="s">
        <v>3464</v>
      </c>
      <c r="J404" s="3" t="s">
        <v>3465</v>
      </c>
      <c r="K404" s="15" t="s">
        <v>3466</v>
      </c>
      <c r="L404" s="25"/>
      <c r="N404" s="15" t="s">
        <v>3467</v>
      </c>
      <c r="P404" s="37" t="s">
        <v>25</v>
      </c>
    </row>
    <row r="405" spans="1:16">
      <c r="A405" s="14">
        <v>11004</v>
      </c>
      <c r="B405" s="14" t="s">
        <v>3468</v>
      </c>
      <c r="C405" s="14" t="s">
        <v>1220</v>
      </c>
      <c r="D405" s="4" t="s">
        <v>19</v>
      </c>
      <c r="E405" s="14">
        <v>110082</v>
      </c>
      <c r="F405" s="14">
        <v>14742924860</v>
      </c>
      <c r="G405" s="14">
        <v>501459301</v>
      </c>
      <c r="H405" s="28" t="s">
        <v>3469</v>
      </c>
      <c r="I405" s="28" t="s">
        <v>3469</v>
      </c>
      <c r="J405" s="3" t="s">
        <v>3470</v>
      </c>
      <c r="K405" s="15" t="s">
        <v>3471</v>
      </c>
      <c r="L405" s="25"/>
      <c r="N405" s="15" t="s">
        <v>3472</v>
      </c>
      <c r="P405" s="37" t="s">
        <v>25</v>
      </c>
    </row>
    <row r="406" spans="1:16">
      <c r="A406" s="14">
        <v>11005</v>
      </c>
      <c r="B406" s="14"/>
      <c r="C406" s="14" t="s">
        <v>1220</v>
      </c>
      <c r="D406" s="14"/>
      <c r="E406" s="14"/>
      <c r="F406" s="14"/>
      <c r="G406" s="14"/>
      <c r="H406" s="28"/>
      <c r="I406" s="28"/>
      <c r="L406" s="25"/>
    </row>
    <row r="407" spans="1:16">
      <c r="A407" s="14">
        <v>11006</v>
      </c>
      <c r="B407" s="14"/>
      <c r="C407" s="14" t="s">
        <v>1220</v>
      </c>
      <c r="D407" s="14"/>
      <c r="E407" s="14"/>
      <c r="F407" s="14"/>
      <c r="G407" s="14"/>
      <c r="H407" s="28"/>
      <c r="I407" s="28"/>
      <c r="L407" s="25"/>
    </row>
    <row r="408" spans="1:16">
      <c r="A408" s="14">
        <v>11007</v>
      </c>
      <c r="B408" s="14" t="s">
        <v>3473</v>
      </c>
      <c r="C408" s="14" t="s">
        <v>1220</v>
      </c>
      <c r="D408" s="4" t="s">
        <v>19</v>
      </c>
      <c r="E408" s="14">
        <v>110052</v>
      </c>
      <c r="F408" s="14">
        <v>14742695641</v>
      </c>
      <c r="G408" s="14">
        <v>501459322</v>
      </c>
      <c r="H408" s="28" t="s">
        <v>3474</v>
      </c>
      <c r="I408" s="28" t="s">
        <v>3474</v>
      </c>
      <c r="J408" s="3" t="s">
        <v>3475</v>
      </c>
      <c r="K408" s="16" t="s">
        <v>3476</v>
      </c>
      <c r="L408" s="25"/>
      <c r="N408" s="15" t="s">
        <v>3477</v>
      </c>
      <c r="P408" s="37" t="s">
        <v>25</v>
      </c>
    </row>
    <row r="409" spans="1:16">
      <c r="A409" s="14">
        <v>11008</v>
      </c>
      <c r="B409" s="14" t="s">
        <v>3478</v>
      </c>
      <c r="C409" s="14" t="s">
        <v>1220</v>
      </c>
      <c r="D409" s="4" t="s">
        <v>19</v>
      </c>
      <c r="E409" s="14">
        <v>111767</v>
      </c>
      <c r="F409" s="14">
        <v>15770541372</v>
      </c>
      <c r="G409" s="14">
        <v>514739732</v>
      </c>
      <c r="H409" s="28" t="s">
        <v>3479</v>
      </c>
      <c r="I409" s="28" t="s">
        <v>3479</v>
      </c>
      <c r="J409" s="3" t="s">
        <v>3480</v>
      </c>
      <c r="K409" s="16" t="s">
        <v>3481</v>
      </c>
      <c r="L409" s="25"/>
      <c r="N409" s="15" t="s">
        <v>3482</v>
      </c>
      <c r="P409" s="37" t="s">
        <v>25</v>
      </c>
    </row>
    <row r="410" spans="1:16">
      <c r="A410" s="14">
        <v>11009</v>
      </c>
      <c r="B410" s="14"/>
      <c r="C410" s="14" t="s">
        <v>1220</v>
      </c>
      <c r="D410" s="14"/>
      <c r="E410" s="14"/>
      <c r="F410" s="14"/>
      <c r="G410" s="14"/>
      <c r="H410" s="28"/>
      <c r="I410" s="28"/>
      <c r="L410" s="25"/>
    </row>
    <row r="411" spans="1:16">
      <c r="A411" s="14">
        <v>11010</v>
      </c>
      <c r="B411" s="14"/>
      <c r="C411" s="14" t="s">
        <v>1220</v>
      </c>
      <c r="D411" s="14"/>
      <c r="E411" s="14"/>
      <c r="F411" s="14"/>
      <c r="G411" s="14"/>
      <c r="H411" s="28"/>
      <c r="I411" s="28"/>
      <c r="L411" s="25"/>
    </row>
    <row r="412" spans="1:16">
      <c r="A412" s="14">
        <v>11011</v>
      </c>
      <c r="B412" s="14" t="s">
        <v>1772</v>
      </c>
      <c r="C412" s="14" t="s">
        <v>1220</v>
      </c>
      <c r="D412" s="4" t="s">
        <v>19</v>
      </c>
      <c r="E412" s="14">
        <v>109494</v>
      </c>
      <c r="F412" s="14">
        <v>14295550208</v>
      </c>
      <c r="G412" s="14">
        <v>495621117</v>
      </c>
      <c r="H412" s="28" t="s">
        <v>3483</v>
      </c>
      <c r="I412" s="28" t="s">
        <v>3483</v>
      </c>
      <c r="J412" s="3" t="s">
        <v>1774</v>
      </c>
      <c r="K412" s="15" t="s">
        <v>3484</v>
      </c>
      <c r="L412" s="25"/>
      <c r="N412" s="16" t="s">
        <v>3485</v>
      </c>
      <c r="P412" s="37" t="s">
        <v>25</v>
      </c>
    </row>
    <row r="413" spans="1:16">
      <c r="A413" s="14">
        <v>11012</v>
      </c>
      <c r="B413" s="14"/>
      <c r="C413" s="14" t="s">
        <v>1220</v>
      </c>
      <c r="D413" s="14"/>
      <c r="E413" s="14"/>
      <c r="F413" s="14"/>
      <c r="G413" s="14"/>
      <c r="H413" s="28"/>
      <c r="I413" s="28"/>
      <c r="L413" s="25"/>
    </row>
    <row r="414" spans="1:16">
      <c r="A414" s="14">
        <v>11013</v>
      </c>
      <c r="B414" s="14"/>
      <c r="C414" s="14" t="s">
        <v>1220</v>
      </c>
      <c r="D414" s="14"/>
      <c r="E414" s="14"/>
      <c r="F414" s="14"/>
      <c r="G414" s="14"/>
      <c r="H414" s="28"/>
      <c r="I414" s="28"/>
      <c r="L414" s="25"/>
    </row>
    <row r="415" spans="1:16">
      <c r="A415" s="14">
        <v>11014</v>
      </c>
      <c r="B415" s="14" t="s">
        <v>866</v>
      </c>
      <c r="C415" s="14" t="s">
        <v>1220</v>
      </c>
      <c r="D415" s="4" t="s">
        <v>19</v>
      </c>
      <c r="E415" s="14">
        <v>111882</v>
      </c>
      <c r="F415" s="14">
        <v>15775548100</v>
      </c>
      <c r="G415" s="14">
        <v>514739768</v>
      </c>
      <c r="H415" s="28" t="s">
        <v>3486</v>
      </c>
      <c r="I415" s="28" t="s">
        <v>3486</v>
      </c>
      <c r="J415" s="3" t="s">
        <v>3487</v>
      </c>
      <c r="K415" s="15" t="s">
        <v>3488</v>
      </c>
      <c r="L415" s="25"/>
      <c r="N415" s="15" t="s">
        <v>3489</v>
      </c>
      <c r="P415" s="37" t="s">
        <v>25</v>
      </c>
    </row>
    <row r="416" spans="1:16">
      <c r="A416" s="14">
        <v>11015</v>
      </c>
      <c r="B416" s="14" t="s">
        <v>3490</v>
      </c>
      <c r="C416" s="14" t="s">
        <v>1220</v>
      </c>
      <c r="D416" s="4" t="s">
        <v>19</v>
      </c>
      <c r="E416" s="14">
        <v>111780</v>
      </c>
      <c r="F416" s="14">
        <v>15770546351</v>
      </c>
      <c r="G416" s="14">
        <v>514739879</v>
      </c>
      <c r="H416" s="28" t="s">
        <v>3491</v>
      </c>
      <c r="I416" s="28" t="s">
        <v>3491</v>
      </c>
      <c r="J416" s="3" t="s">
        <v>3492</v>
      </c>
      <c r="K416" s="15" t="s">
        <v>3493</v>
      </c>
      <c r="L416" s="25"/>
      <c r="N416" s="15" t="s">
        <v>3494</v>
      </c>
      <c r="P416" s="37" t="s">
        <v>25</v>
      </c>
    </row>
    <row r="417" spans="1:16">
      <c r="A417" s="14">
        <v>11016</v>
      </c>
      <c r="B417" s="14"/>
      <c r="C417" s="14" t="s">
        <v>1220</v>
      </c>
      <c r="D417" s="14"/>
      <c r="E417" s="14"/>
      <c r="F417" s="14"/>
      <c r="G417" s="14"/>
      <c r="H417" s="28"/>
      <c r="I417" s="28"/>
      <c r="L417" s="25"/>
    </row>
    <row r="418" spans="1:16">
      <c r="A418" s="14">
        <v>11017</v>
      </c>
      <c r="B418" s="14"/>
      <c r="C418" s="14" t="s">
        <v>1220</v>
      </c>
      <c r="D418" s="14"/>
      <c r="E418" s="14"/>
      <c r="F418" s="14"/>
      <c r="G418" s="14"/>
      <c r="H418" s="28"/>
      <c r="I418" s="28"/>
      <c r="L418" s="25"/>
    </row>
    <row r="419" spans="1:16">
      <c r="A419" s="14">
        <v>11018</v>
      </c>
      <c r="B419" s="14" t="s">
        <v>3495</v>
      </c>
      <c r="C419" s="14" t="s">
        <v>1220</v>
      </c>
      <c r="D419" s="4" t="s">
        <v>19</v>
      </c>
      <c r="E419" s="14">
        <v>111847</v>
      </c>
      <c r="F419" s="14">
        <v>15775357190</v>
      </c>
      <c r="G419" s="14">
        <v>514739935</v>
      </c>
      <c r="H419" s="28" t="s">
        <v>3496</v>
      </c>
      <c r="I419" s="28" t="s">
        <v>3496</v>
      </c>
      <c r="J419" s="3" t="s">
        <v>3497</v>
      </c>
      <c r="K419" s="16" t="s">
        <v>3498</v>
      </c>
      <c r="L419" s="25"/>
      <c r="N419" s="15" t="s">
        <v>3499</v>
      </c>
      <c r="P419" s="37" t="s">
        <v>25</v>
      </c>
    </row>
    <row r="420" spans="1:16">
      <c r="A420" s="14">
        <v>11019</v>
      </c>
      <c r="B420" s="14"/>
      <c r="C420" s="14" t="s">
        <v>1220</v>
      </c>
      <c r="D420" s="14"/>
      <c r="E420" s="14"/>
      <c r="F420" s="14"/>
      <c r="G420" s="14"/>
      <c r="H420" s="28"/>
      <c r="I420" s="28"/>
      <c r="L420" s="25"/>
    </row>
    <row r="421" spans="1:16">
      <c r="A421" s="14">
        <v>11020</v>
      </c>
      <c r="B421" s="14"/>
      <c r="C421" s="14" t="s">
        <v>1220</v>
      </c>
      <c r="D421" s="14"/>
      <c r="E421" s="14"/>
      <c r="F421" s="14"/>
      <c r="G421" s="14"/>
      <c r="H421" s="28"/>
      <c r="I421" s="28"/>
      <c r="L421" s="25"/>
    </row>
    <row r="422" spans="1:16">
      <c r="A422" s="14">
        <v>11021</v>
      </c>
      <c r="B422" s="14" t="s">
        <v>1776</v>
      </c>
      <c r="C422" s="14" t="s">
        <v>1220</v>
      </c>
      <c r="D422" s="4" t="s">
        <v>19</v>
      </c>
      <c r="E422" s="14">
        <v>109468</v>
      </c>
      <c r="F422" s="14">
        <v>14295519770</v>
      </c>
      <c r="G422" s="14">
        <v>495621170</v>
      </c>
      <c r="H422" s="28" t="s">
        <v>3500</v>
      </c>
      <c r="I422" s="28" t="s">
        <v>3500</v>
      </c>
      <c r="J422" s="3" t="s">
        <v>1778</v>
      </c>
      <c r="K422" s="15" t="s">
        <v>3501</v>
      </c>
      <c r="L422" s="25"/>
      <c r="N422" s="15" t="s">
        <v>3502</v>
      </c>
      <c r="P422" s="37" t="s">
        <v>25</v>
      </c>
    </row>
    <row r="423" spans="1:16">
      <c r="A423" s="14">
        <v>11022</v>
      </c>
      <c r="B423" s="14" t="s">
        <v>3503</v>
      </c>
      <c r="C423" s="14" t="s">
        <v>1220</v>
      </c>
      <c r="D423" s="4" t="s">
        <v>19</v>
      </c>
      <c r="E423" s="14">
        <v>111768</v>
      </c>
      <c r="F423" s="14">
        <v>15770541936</v>
      </c>
      <c r="G423" s="14">
        <v>514739913</v>
      </c>
      <c r="H423" s="28" t="s">
        <v>3504</v>
      </c>
      <c r="I423" s="28" t="s">
        <v>3504</v>
      </c>
      <c r="J423" s="3" t="s">
        <v>3505</v>
      </c>
      <c r="K423" s="15" t="s">
        <v>3506</v>
      </c>
      <c r="L423" s="25"/>
      <c r="N423" s="15" t="s">
        <v>3507</v>
      </c>
      <c r="P423" s="37" t="s">
        <v>25</v>
      </c>
    </row>
    <row r="424" spans="1:16">
      <c r="A424" s="14">
        <v>11023</v>
      </c>
      <c r="B424" s="14" t="s">
        <v>3508</v>
      </c>
      <c r="C424" s="14" t="s">
        <v>1220</v>
      </c>
      <c r="D424" s="4" t="s">
        <v>19</v>
      </c>
      <c r="E424" s="14">
        <v>111773</v>
      </c>
      <c r="F424" s="14">
        <v>15770543794</v>
      </c>
      <c r="G424" s="14">
        <v>514739884</v>
      </c>
      <c r="H424" s="28" t="s">
        <v>3509</v>
      </c>
      <c r="I424" s="28" t="s">
        <v>3509</v>
      </c>
      <c r="J424" s="3" t="s">
        <v>3510</v>
      </c>
      <c r="K424" s="15" t="s">
        <v>3511</v>
      </c>
      <c r="L424" s="25"/>
      <c r="N424" s="15" t="s">
        <v>3512</v>
      </c>
      <c r="P424" s="37" t="s">
        <v>25</v>
      </c>
    </row>
    <row r="425" spans="1:16">
      <c r="A425" s="14">
        <v>11024</v>
      </c>
      <c r="B425" s="14" t="s">
        <v>3513</v>
      </c>
      <c r="C425" s="14" t="s">
        <v>1220</v>
      </c>
      <c r="D425" s="4" t="s">
        <v>19</v>
      </c>
      <c r="E425" s="14">
        <v>111803</v>
      </c>
      <c r="F425" s="14">
        <v>15771774342</v>
      </c>
      <c r="G425" s="14">
        <v>514739740</v>
      </c>
      <c r="H425" s="28" t="s">
        <v>3514</v>
      </c>
      <c r="I425" s="28" t="s">
        <v>3514</v>
      </c>
      <c r="J425" s="3" t="s">
        <v>3515</v>
      </c>
      <c r="K425" s="15" t="s">
        <v>3516</v>
      </c>
      <c r="L425" s="25"/>
      <c r="N425" s="15" t="s">
        <v>3517</v>
      </c>
      <c r="P425" s="37" t="s">
        <v>25</v>
      </c>
    </row>
    <row r="426" spans="1:16">
      <c r="A426" s="14">
        <v>11025</v>
      </c>
      <c r="B426" s="14"/>
      <c r="C426" s="14" t="s">
        <v>1220</v>
      </c>
      <c r="D426" s="14"/>
      <c r="E426" s="14"/>
      <c r="F426" s="14"/>
      <c r="G426" s="14"/>
      <c r="H426" s="28"/>
      <c r="I426" s="28"/>
      <c r="L426" s="25"/>
    </row>
    <row r="427" spans="1:16">
      <c r="A427" s="14">
        <v>11026</v>
      </c>
      <c r="B427" s="14" t="s">
        <v>3518</v>
      </c>
      <c r="C427" s="14" t="s">
        <v>1220</v>
      </c>
      <c r="D427" s="4" t="s">
        <v>19</v>
      </c>
      <c r="E427" s="14">
        <v>111831</v>
      </c>
      <c r="F427" s="14">
        <v>15775317968</v>
      </c>
      <c r="G427" s="14">
        <v>514739882</v>
      </c>
      <c r="H427" s="28" t="s">
        <v>3519</v>
      </c>
      <c r="I427" s="28" t="s">
        <v>3519</v>
      </c>
      <c r="J427" s="3" t="s">
        <v>3520</v>
      </c>
      <c r="K427" s="15" t="s">
        <v>3521</v>
      </c>
      <c r="L427" s="25"/>
      <c r="N427" s="15" t="s">
        <v>3522</v>
      </c>
      <c r="P427" s="37" t="s">
        <v>25</v>
      </c>
    </row>
    <row r="428" spans="1:16">
      <c r="A428" s="14">
        <v>11027</v>
      </c>
      <c r="B428" s="14"/>
      <c r="C428" s="14" t="s">
        <v>1220</v>
      </c>
      <c r="D428" s="14"/>
      <c r="E428" s="14"/>
      <c r="F428" s="14"/>
      <c r="G428" s="14"/>
      <c r="H428" s="28"/>
      <c r="I428" s="28"/>
      <c r="L428" s="25"/>
    </row>
    <row r="429" spans="1:16">
      <c r="A429" s="14">
        <v>11028</v>
      </c>
      <c r="B429" s="14"/>
      <c r="C429" s="14" t="s">
        <v>1220</v>
      </c>
      <c r="D429" s="14"/>
      <c r="E429" s="14"/>
      <c r="F429" s="14"/>
      <c r="G429" s="14"/>
      <c r="H429" s="28"/>
      <c r="I429" s="28"/>
      <c r="L429" s="25"/>
    </row>
    <row r="430" spans="1:16">
      <c r="A430" s="14">
        <v>11029</v>
      </c>
      <c r="B430" s="14" t="s">
        <v>3523</v>
      </c>
      <c r="C430" s="14" t="s">
        <v>1220</v>
      </c>
      <c r="D430" s="4" t="s">
        <v>19</v>
      </c>
      <c r="E430" s="14">
        <v>111868</v>
      </c>
      <c r="F430" s="14">
        <v>15775465151</v>
      </c>
      <c r="G430" s="14">
        <v>514739855</v>
      </c>
      <c r="H430" s="28" t="s">
        <v>3524</v>
      </c>
      <c r="I430" s="28" t="s">
        <v>3524</v>
      </c>
      <c r="J430" s="3" t="s">
        <v>3525</v>
      </c>
      <c r="K430" s="15" t="s">
        <v>3526</v>
      </c>
      <c r="L430" s="25"/>
      <c r="N430" s="15" t="s">
        <v>3527</v>
      </c>
      <c r="P430" s="37" t="s">
        <v>25</v>
      </c>
    </row>
    <row r="431" spans="1:16">
      <c r="A431" s="14">
        <v>11030</v>
      </c>
      <c r="B431" s="14" t="s">
        <v>3528</v>
      </c>
      <c r="C431" s="14" t="s">
        <v>1220</v>
      </c>
      <c r="D431" s="4" t="s">
        <v>19</v>
      </c>
      <c r="E431" s="14">
        <v>111858</v>
      </c>
      <c r="F431" s="14">
        <v>15775421052</v>
      </c>
      <c r="G431" s="14">
        <v>514739929</v>
      </c>
      <c r="H431" s="28" t="s">
        <v>3529</v>
      </c>
      <c r="I431" s="28" t="s">
        <v>3529</v>
      </c>
      <c r="J431" s="3" t="s">
        <v>3530</v>
      </c>
      <c r="K431" s="15" t="s">
        <v>3531</v>
      </c>
      <c r="L431" s="25"/>
      <c r="N431" s="15" t="s">
        <v>3532</v>
      </c>
      <c r="P431" s="37" t="s">
        <v>25</v>
      </c>
    </row>
    <row r="432" spans="1:16">
      <c r="A432" s="14">
        <v>11031</v>
      </c>
      <c r="B432" s="14" t="s">
        <v>3533</v>
      </c>
      <c r="C432" s="14" t="s">
        <v>1220</v>
      </c>
      <c r="D432" s="4" t="s">
        <v>19</v>
      </c>
      <c r="E432" s="14">
        <v>109538</v>
      </c>
      <c r="F432" s="14">
        <v>14295635310</v>
      </c>
      <c r="G432" s="14">
        <v>495621129</v>
      </c>
      <c r="H432" s="28" t="s">
        <v>3534</v>
      </c>
      <c r="I432" s="28" t="s">
        <v>3534</v>
      </c>
      <c r="J432" s="3" t="s">
        <v>3535</v>
      </c>
      <c r="K432" s="15" t="s">
        <v>3536</v>
      </c>
      <c r="L432" s="25"/>
      <c r="N432" s="15" t="s">
        <v>3537</v>
      </c>
      <c r="P432" s="37" t="s">
        <v>25</v>
      </c>
    </row>
    <row r="433" spans="1:16">
      <c r="A433" s="14">
        <v>11032</v>
      </c>
      <c r="B433" s="14"/>
      <c r="C433" s="14" t="s">
        <v>1220</v>
      </c>
      <c r="D433" s="14"/>
      <c r="E433" s="14"/>
      <c r="F433" s="14"/>
      <c r="G433" s="14"/>
      <c r="H433" s="28"/>
      <c r="I433" s="28"/>
      <c r="L433" s="25"/>
    </row>
    <row r="434" spans="1:16">
      <c r="A434" s="14">
        <v>11033</v>
      </c>
      <c r="B434" s="14"/>
      <c r="C434" s="14" t="s">
        <v>1220</v>
      </c>
      <c r="D434" s="14"/>
      <c r="E434" s="14"/>
      <c r="F434" s="14"/>
      <c r="G434" s="14"/>
      <c r="H434" s="28"/>
      <c r="I434" s="28"/>
      <c r="L434" s="25"/>
    </row>
    <row r="435" spans="1:16">
      <c r="A435" s="14">
        <v>11034</v>
      </c>
      <c r="B435" s="14" t="s">
        <v>3538</v>
      </c>
      <c r="C435" s="14" t="s">
        <v>1220</v>
      </c>
      <c r="D435" s="4" t="s">
        <v>19</v>
      </c>
      <c r="E435" s="14">
        <v>111867</v>
      </c>
      <c r="F435" s="14">
        <v>15775465150</v>
      </c>
      <c r="G435" s="14">
        <v>514739835</v>
      </c>
      <c r="H435" s="28" t="s">
        <v>3539</v>
      </c>
      <c r="I435" s="28" t="s">
        <v>3539</v>
      </c>
      <c r="J435" s="3" t="s">
        <v>3540</v>
      </c>
      <c r="K435" s="15" t="s">
        <v>3541</v>
      </c>
      <c r="L435" s="25"/>
      <c r="N435" s="15" t="s">
        <v>3542</v>
      </c>
      <c r="P435" s="37" t="s">
        <v>25</v>
      </c>
    </row>
    <row r="436" spans="1:16">
      <c r="A436" s="14">
        <v>11035</v>
      </c>
      <c r="B436" s="14" t="s">
        <v>3543</v>
      </c>
      <c r="C436" s="14" t="s">
        <v>1220</v>
      </c>
      <c r="D436" s="4" t="s">
        <v>19</v>
      </c>
      <c r="E436" s="14">
        <v>111865</v>
      </c>
      <c r="F436" s="14">
        <v>15775465148</v>
      </c>
      <c r="G436" s="14">
        <v>514739807</v>
      </c>
      <c r="H436" s="28" t="s">
        <v>3544</v>
      </c>
      <c r="I436" s="28" t="s">
        <v>3544</v>
      </c>
      <c r="J436" s="3" t="s">
        <v>3545</v>
      </c>
      <c r="K436" s="15" t="s">
        <v>3546</v>
      </c>
      <c r="L436" s="25"/>
      <c r="N436" s="15" t="s">
        <v>3547</v>
      </c>
      <c r="P436" s="37" t="s">
        <v>25</v>
      </c>
    </row>
    <row r="437" spans="1:16">
      <c r="A437" s="14">
        <v>11036</v>
      </c>
      <c r="B437" s="14"/>
      <c r="C437" s="14" t="s">
        <v>1220</v>
      </c>
      <c r="D437" s="14"/>
      <c r="E437" s="14"/>
      <c r="F437" s="14"/>
      <c r="G437" s="14"/>
      <c r="H437" s="28"/>
      <c r="I437" s="28"/>
      <c r="L437" s="25"/>
    </row>
    <row r="438" spans="1:16">
      <c r="A438" s="14">
        <v>11037</v>
      </c>
      <c r="B438" s="14"/>
      <c r="C438" s="14" t="s">
        <v>1220</v>
      </c>
      <c r="D438" s="14"/>
      <c r="E438" s="14"/>
      <c r="F438" s="14"/>
      <c r="G438" s="14"/>
      <c r="H438" s="28"/>
      <c r="I438" s="28"/>
      <c r="L438" s="25"/>
    </row>
    <row r="439" spans="1:16">
      <c r="A439" s="14">
        <v>11038</v>
      </c>
      <c r="B439" s="14" t="s">
        <v>918</v>
      </c>
      <c r="C439" s="14" t="s">
        <v>1220</v>
      </c>
      <c r="D439" s="4" t="s">
        <v>19</v>
      </c>
      <c r="E439" s="14">
        <v>111856</v>
      </c>
      <c r="F439" s="14">
        <v>15775393963</v>
      </c>
      <c r="G439" s="14">
        <v>514739888</v>
      </c>
      <c r="H439" s="28" t="s">
        <v>3548</v>
      </c>
      <c r="I439" s="28" t="s">
        <v>3548</v>
      </c>
      <c r="J439" s="3" t="s">
        <v>3549</v>
      </c>
      <c r="K439" s="15" t="s">
        <v>3550</v>
      </c>
      <c r="L439" s="25"/>
      <c r="N439" s="15" t="s">
        <v>3551</v>
      </c>
      <c r="P439" s="37" t="s">
        <v>25</v>
      </c>
    </row>
    <row r="440" spans="1:16">
      <c r="A440" s="14">
        <v>11039</v>
      </c>
      <c r="B440" s="14"/>
      <c r="C440" s="14" t="s">
        <v>1220</v>
      </c>
      <c r="D440" s="14"/>
      <c r="E440" s="14"/>
      <c r="F440" s="14"/>
      <c r="G440" s="14"/>
      <c r="H440" s="28"/>
      <c r="I440" s="28"/>
      <c r="L440" s="25"/>
    </row>
    <row r="441" spans="1:16">
      <c r="A441" s="14">
        <v>11040</v>
      </c>
      <c r="B441" s="14"/>
      <c r="C441" s="14" t="s">
        <v>1220</v>
      </c>
      <c r="D441" s="14"/>
      <c r="E441" s="14"/>
      <c r="F441" s="14"/>
      <c r="G441" s="14"/>
      <c r="H441" s="28"/>
      <c r="I441" s="28"/>
      <c r="L441" s="25"/>
    </row>
    <row r="442" spans="1:16">
      <c r="A442" s="14">
        <v>11041</v>
      </c>
      <c r="B442" s="14" t="s">
        <v>1812</v>
      </c>
      <c r="C442" s="14" t="s">
        <v>1220</v>
      </c>
      <c r="D442" s="4" t="s">
        <v>19</v>
      </c>
      <c r="E442" s="14">
        <v>109456</v>
      </c>
      <c r="F442" s="14">
        <v>14295462824</v>
      </c>
      <c r="G442" s="14">
        <v>495621197</v>
      </c>
      <c r="H442" s="28" t="s">
        <v>1813</v>
      </c>
      <c r="I442" s="28" t="s">
        <v>1813</v>
      </c>
      <c r="J442" s="3" t="s">
        <v>1814</v>
      </c>
      <c r="K442" s="15" t="s">
        <v>3552</v>
      </c>
      <c r="L442" s="25"/>
      <c r="N442" s="15" t="s">
        <v>3553</v>
      </c>
      <c r="P442" s="37" t="s">
        <v>25</v>
      </c>
    </row>
    <row r="443" spans="1:16">
      <c r="A443" s="14">
        <v>11042</v>
      </c>
      <c r="B443" s="14" t="s">
        <v>3554</v>
      </c>
      <c r="C443" s="14" t="s">
        <v>1220</v>
      </c>
      <c r="D443" s="4" t="s">
        <v>19</v>
      </c>
      <c r="E443" s="14">
        <v>111788</v>
      </c>
      <c r="F443" s="14">
        <v>15771527066</v>
      </c>
      <c r="G443" s="14">
        <v>514739920</v>
      </c>
      <c r="H443" s="28" t="s">
        <v>3555</v>
      </c>
      <c r="I443" s="28" t="s">
        <v>3555</v>
      </c>
      <c r="J443" s="3" t="s">
        <v>3556</v>
      </c>
      <c r="K443" s="15" t="s">
        <v>3557</v>
      </c>
      <c r="L443" s="25"/>
      <c r="N443" s="15" t="s">
        <v>3558</v>
      </c>
      <c r="P443" s="37" t="s">
        <v>25</v>
      </c>
    </row>
    <row r="444" spans="1:16">
      <c r="A444" s="14">
        <v>11043</v>
      </c>
      <c r="B444" s="14"/>
      <c r="C444" s="14" t="s">
        <v>1220</v>
      </c>
      <c r="D444" s="14"/>
      <c r="E444" s="14"/>
      <c r="F444" s="14"/>
      <c r="G444" s="14"/>
      <c r="H444" s="28"/>
      <c r="I444" s="28"/>
      <c r="L444" s="25"/>
    </row>
    <row r="445" spans="1:16">
      <c r="A445" s="14">
        <v>11044</v>
      </c>
      <c r="B445" s="14" t="s">
        <v>3559</v>
      </c>
      <c r="C445" s="14" t="s">
        <v>1220</v>
      </c>
      <c r="D445" s="4" t="s">
        <v>19</v>
      </c>
      <c r="E445" s="14">
        <v>111720</v>
      </c>
      <c r="F445" s="14">
        <v>15770496210</v>
      </c>
      <c r="G445" s="14">
        <v>514739841</v>
      </c>
      <c r="H445" s="28" t="s">
        <v>3560</v>
      </c>
      <c r="I445" s="28" t="s">
        <v>3560</v>
      </c>
      <c r="J445" s="3" t="s">
        <v>3561</v>
      </c>
      <c r="K445" s="15" t="s">
        <v>3562</v>
      </c>
      <c r="L445" s="25"/>
      <c r="N445" s="15" t="s">
        <v>3563</v>
      </c>
      <c r="P445" s="37" t="s">
        <v>25</v>
      </c>
    </row>
    <row r="446" spans="1:16">
      <c r="A446" s="14">
        <v>11045</v>
      </c>
      <c r="B446" s="14" t="s">
        <v>3564</v>
      </c>
      <c r="C446" s="14" t="s">
        <v>1220</v>
      </c>
      <c r="D446" s="4" t="s">
        <v>19</v>
      </c>
      <c r="E446" s="14">
        <v>111739</v>
      </c>
      <c r="F446" s="14">
        <v>15770501102</v>
      </c>
      <c r="G446" s="14">
        <v>514739766</v>
      </c>
      <c r="H446" s="28" t="s">
        <v>3565</v>
      </c>
      <c r="I446" s="28" t="s">
        <v>3565</v>
      </c>
      <c r="J446" s="3" t="s">
        <v>3566</v>
      </c>
      <c r="K446" s="15" t="s">
        <v>3567</v>
      </c>
      <c r="L446" s="25"/>
      <c r="N446" s="15" t="s">
        <v>3568</v>
      </c>
      <c r="P446" s="37" t="s">
        <v>25</v>
      </c>
    </row>
    <row r="447" spans="1:16">
      <c r="A447" s="14">
        <v>11046</v>
      </c>
      <c r="B447" s="14"/>
      <c r="C447" s="14" t="s">
        <v>1220</v>
      </c>
      <c r="D447" s="14"/>
      <c r="E447" s="14"/>
      <c r="F447" s="14"/>
      <c r="G447" s="14"/>
      <c r="H447" s="28"/>
      <c r="I447" s="28"/>
      <c r="L447" s="25"/>
    </row>
    <row r="448" spans="1:16">
      <c r="A448" s="14">
        <v>11047</v>
      </c>
      <c r="B448" s="14"/>
      <c r="C448" s="14" t="s">
        <v>1220</v>
      </c>
      <c r="D448" s="14"/>
      <c r="E448" s="14"/>
      <c r="F448" s="14"/>
      <c r="G448" s="14"/>
      <c r="H448" s="28"/>
      <c r="I448" s="28"/>
      <c r="L448" s="25"/>
    </row>
    <row r="449" spans="1:16">
      <c r="A449" s="14">
        <v>11048</v>
      </c>
      <c r="B449" s="14" t="s">
        <v>1844</v>
      </c>
      <c r="C449" s="14" t="s">
        <v>1220</v>
      </c>
      <c r="D449" s="4" t="s">
        <v>19</v>
      </c>
      <c r="E449" s="14">
        <v>109451</v>
      </c>
      <c r="F449" s="14">
        <v>14295455121</v>
      </c>
      <c r="G449" s="14">
        <v>495621137</v>
      </c>
      <c r="H449" s="28" t="s">
        <v>1845</v>
      </c>
      <c r="I449" s="28" t="s">
        <v>1845</v>
      </c>
      <c r="J449" s="3" t="s">
        <v>1846</v>
      </c>
      <c r="K449" s="15" t="s">
        <v>3569</v>
      </c>
      <c r="L449" s="25"/>
      <c r="N449" s="15" t="s">
        <v>3570</v>
      </c>
      <c r="P449" s="37" t="s">
        <v>25</v>
      </c>
    </row>
    <row r="450" spans="1:16">
      <c r="A450" s="14">
        <v>11049</v>
      </c>
      <c r="B450" s="14" t="s">
        <v>3571</v>
      </c>
      <c r="C450" s="14" t="s">
        <v>1220</v>
      </c>
      <c r="D450" s="4" t="s">
        <v>19</v>
      </c>
      <c r="E450" s="14">
        <v>109497</v>
      </c>
      <c r="F450" s="14">
        <v>14295552442</v>
      </c>
      <c r="G450" s="14">
        <v>495621166</v>
      </c>
      <c r="H450" s="28" t="s">
        <v>3572</v>
      </c>
      <c r="I450" s="28" t="s">
        <v>3572</v>
      </c>
      <c r="J450" s="3" t="s">
        <v>3573</v>
      </c>
      <c r="K450" s="15" t="s">
        <v>3574</v>
      </c>
      <c r="L450" s="25"/>
      <c r="N450" s="15" t="s">
        <v>3575</v>
      </c>
      <c r="P450" s="37" t="s">
        <v>25</v>
      </c>
    </row>
    <row r="451" spans="1:16">
      <c r="A451" s="14">
        <v>11050</v>
      </c>
      <c r="B451" s="14"/>
      <c r="C451" s="14" t="s">
        <v>1220</v>
      </c>
      <c r="D451" s="14"/>
      <c r="E451" s="14"/>
      <c r="F451" s="14"/>
      <c r="G451" s="14"/>
      <c r="H451" s="28"/>
      <c r="I451" s="28"/>
      <c r="L451" s="25"/>
    </row>
    <row r="452" spans="1:16">
      <c r="A452" s="14">
        <v>11051</v>
      </c>
      <c r="B452" s="14"/>
      <c r="C452" s="14" t="s">
        <v>1220</v>
      </c>
      <c r="D452" s="14"/>
      <c r="E452" s="14"/>
      <c r="F452" s="14"/>
      <c r="G452" s="14"/>
      <c r="H452" s="28"/>
      <c r="I452" s="28"/>
      <c r="L452" s="25"/>
    </row>
    <row r="453" spans="1:16">
      <c r="A453" s="14">
        <v>11052</v>
      </c>
      <c r="B453" s="14"/>
      <c r="C453" s="14" t="s">
        <v>1220</v>
      </c>
      <c r="D453" s="14"/>
      <c r="E453" s="14"/>
      <c r="F453" s="14"/>
      <c r="G453" s="14"/>
      <c r="H453" s="28"/>
      <c r="I453" s="28"/>
      <c r="L453" s="25"/>
    </row>
    <row r="454" spans="1:16">
      <c r="A454" s="14">
        <v>11053</v>
      </c>
      <c r="B454" s="14"/>
      <c r="C454" s="14" t="s">
        <v>1220</v>
      </c>
      <c r="D454" s="14"/>
      <c r="E454" s="14"/>
      <c r="F454" s="14"/>
      <c r="G454" s="14"/>
      <c r="H454" s="28"/>
      <c r="I454" s="28"/>
      <c r="L454" s="25"/>
    </row>
    <row r="455" spans="1:16">
      <c r="A455" s="14">
        <v>11054</v>
      </c>
      <c r="B455" s="14" t="s">
        <v>3576</v>
      </c>
      <c r="C455" s="14" t="s">
        <v>1220</v>
      </c>
      <c r="D455" s="4" t="s">
        <v>19</v>
      </c>
      <c r="E455" s="14">
        <v>109523</v>
      </c>
      <c r="F455" s="14">
        <v>14295603944</v>
      </c>
      <c r="G455" s="14">
        <v>495621212</v>
      </c>
      <c r="H455" s="28" t="s">
        <v>3577</v>
      </c>
      <c r="I455" s="28" t="s">
        <v>3577</v>
      </c>
      <c r="J455" s="3" t="s">
        <v>3578</v>
      </c>
      <c r="K455" s="15" t="s">
        <v>3579</v>
      </c>
      <c r="L455" s="25"/>
      <c r="N455" s="15" t="s">
        <v>3580</v>
      </c>
      <c r="P455" s="37" t="s">
        <v>25</v>
      </c>
    </row>
    <row r="456" spans="1:16">
      <c r="A456" s="14">
        <v>11055</v>
      </c>
      <c r="B456" s="14" t="s">
        <v>3581</v>
      </c>
      <c r="C456" s="14" t="s">
        <v>1220</v>
      </c>
      <c r="D456" s="4" t="s">
        <v>19</v>
      </c>
      <c r="E456" s="14">
        <v>111757</v>
      </c>
      <c r="F456" s="14">
        <v>15770538261</v>
      </c>
      <c r="G456" s="14">
        <v>514739889</v>
      </c>
      <c r="H456" s="28" t="s">
        <v>3582</v>
      </c>
      <c r="I456" s="28" t="s">
        <v>3582</v>
      </c>
      <c r="J456" s="3" t="s">
        <v>3583</v>
      </c>
      <c r="K456" s="15" t="s">
        <v>3584</v>
      </c>
      <c r="L456" s="25"/>
      <c r="N456" s="15" t="s">
        <v>3585</v>
      </c>
      <c r="P456" s="37" t="s">
        <v>25</v>
      </c>
    </row>
    <row r="457" spans="1:16">
      <c r="A457" s="14">
        <v>11056</v>
      </c>
      <c r="B457" s="14" t="s">
        <v>3586</v>
      </c>
      <c r="C457" s="14" t="s">
        <v>1220</v>
      </c>
      <c r="D457" s="4" t="s">
        <v>19</v>
      </c>
      <c r="E457" s="14">
        <v>111725</v>
      </c>
      <c r="F457" s="14">
        <v>15770496215</v>
      </c>
      <c r="G457" s="14">
        <v>514739794</v>
      </c>
      <c r="H457" s="28" t="s">
        <v>3587</v>
      </c>
      <c r="I457" s="28" t="s">
        <v>3587</v>
      </c>
      <c r="J457" s="3" t="s">
        <v>3588</v>
      </c>
      <c r="K457" s="15" t="s">
        <v>3589</v>
      </c>
      <c r="L457" s="25"/>
      <c r="N457" s="15" t="s">
        <v>3590</v>
      </c>
      <c r="P457" s="37" t="s">
        <v>25</v>
      </c>
    </row>
    <row r="458" spans="1:16">
      <c r="A458" s="14">
        <v>11057</v>
      </c>
      <c r="B458" s="14"/>
      <c r="C458" s="14" t="s">
        <v>1220</v>
      </c>
      <c r="D458" s="14"/>
      <c r="E458" s="14"/>
      <c r="F458" s="14"/>
      <c r="G458" s="14"/>
      <c r="H458" s="28"/>
      <c r="I458" s="28"/>
      <c r="L458" s="25"/>
    </row>
    <row r="459" spans="1:16">
      <c r="A459" s="14">
        <v>11058</v>
      </c>
      <c r="B459" s="14"/>
      <c r="C459" s="14" t="s">
        <v>1220</v>
      </c>
      <c r="D459" s="14"/>
      <c r="E459" s="14"/>
      <c r="F459" s="14"/>
      <c r="G459" s="14"/>
      <c r="H459" s="28"/>
      <c r="I459" s="28"/>
      <c r="L459" s="25"/>
    </row>
    <row r="460" spans="1:16">
      <c r="A460" s="14">
        <v>11059</v>
      </c>
      <c r="B460" s="14" t="s">
        <v>963</v>
      </c>
      <c r="C460" s="14" t="s">
        <v>1220</v>
      </c>
      <c r="D460" s="4" t="s">
        <v>19</v>
      </c>
      <c r="E460" s="14">
        <v>111782</v>
      </c>
      <c r="F460" s="14">
        <v>15770547412</v>
      </c>
      <c r="G460" s="14">
        <v>514739817</v>
      </c>
      <c r="H460" s="28" t="s">
        <v>3591</v>
      </c>
      <c r="I460" s="28" t="s">
        <v>3591</v>
      </c>
      <c r="J460" s="3" t="s">
        <v>3592</v>
      </c>
      <c r="K460" s="15" t="s">
        <v>3593</v>
      </c>
      <c r="L460" s="25"/>
      <c r="N460" s="15" t="s">
        <v>3594</v>
      </c>
      <c r="P460" s="37" t="s">
        <v>25</v>
      </c>
    </row>
    <row r="461" spans="1:16">
      <c r="A461" s="14">
        <v>11060</v>
      </c>
      <c r="B461" s="14" t="s">
        <v>394</v>
      </c>
      <c r="C461" s="14" t="s">
        <v>1220</v>
      </c>
      <c r="D461" s="4" t="s">
        <v>19</v>
      </c>
      <c r="E461" s="14">
        <v>111875</v>
      </c>
      <c r="F461" s="14">
        <v>15775498440</v>
      </c>
      <c r="G461" s="14">
        <v>514739934</v>
      </c>
      <c r="H461" s="28" t="s">
        <v>3595</v>
      </c>
      <c r="I461" s="28" t="s">
        <v>3595</v>
      </c>
      <c r="J461" s="3" t="s">
        <v>3596</v>
      </c>
      <c r="K461" s="15" t="s">
        <v>3597</v>
      </c>
      <c r="L461" s="25"/>
      <c r="N461" s="15" t="s">
        <v>3598</v>
      </c>
      <c r="P461" s="37" t="s">
        <v>25</v>
      </c>
    </row>
    <row r="462" spans="1:16">
      <c r="A462" s="14">
        <v>11061</v>
      </c>
      <c r="B462" s="14"/>
      <c r="C462" s="14" t="s">
        <v>1220</v>
      </c>
      <c r="D462" s="14"/>
      <c r="E462" s="14"/>
      <c r="F462" s="14"/>
      <c r="G462" s="14"/>
      <c r="H462" s="28"/>
      <c r="I462" s="28"/>
      <c r="L462" s="25"/>
    </row>
    <row r="463" spans="1:16">
      <c r="A463" s="14">
        <v>11062</v>
      </c>
      <c r="B463" s="14"/>
      <c r="C463" s="14" t="s">
        <v>1220</v>
      </c>
      <c r="D463" s="14"/>
      <c r="E463" s="14"/>
      <c r="F463" s="14"/>
      <c r="G463" s="14"/>
      <c r="H463" s="28"/>
      <c r="I463" s="28"/>
      <c r="L463" s="25"/>
    </row>
    <row r="464" spans="1:16">
      <c r="A464" s="14">
        <v>11063</v>
      </c>
      <c r="B464" s="14" t="s">
        <v>3599</v>
      </c>
      <c r="C464" s="14" t="s">
        <v>1220</v>
      </c>
      <c r="D464" s="4" t="s">
        <v>19</v>
      </c>
      <c r="E464" s="14">
        <v>111864</v>
      </c>
      <c r="F464" s="14">
        <v>15775421058</v>
      </c>
      <c r="G464" s="14">
        <v>514739891</v>
      </c>
      <c r="H464" s="28" t="s">
        <v>3600</v>
      </c>
      <c r="I464" s="28" t="s">
        <v>3600</v>
      </c>
      <c r="J464" s="3" t="s">
        <v>3601</v>
      </c>
      <c r="K464" s="15" t="s">
        <v>3602</v>
      </c>
      <c r="L464" s="25"/>
      <c r="N464" s="15" t="s">
        <v>3603</v>
      </c>
      <c r="P464" s="37" t="s">
        <v>25</v>
      </c>
    </row>
    <row r="465" spans="1:16">
      <c r="A465" s="14">
        <v>11064</v>
      </c>
      <c r="B465" s="14" t="s">
        <v>3604</v>
      </c>
      <c r="C465" s="14" t="s">
        <v>1220</v>
      </c>
      <c r="D465" s="4" t="s">
        <v>19</v>
      </c>
      <c r="E465" s="14">
        <v>111793</v>
      </c>
      <c r="F465" s="14">
        <v>15771527071</v>
      </c>
      <c r="G465" s="14">
        <v>514739774</v>
      </c>
      <c r="H465" s="28" t="s">
        <v>3605</v>
      </c>
      <c r="I465" s="28" t="s">
        <v>3605</v>
      </c>
      <c r="J465" s="3" t="s">
        <v>3606</v>
      </c>
      <c r="K465" s="15" t="s">
        <v>3607</v>
      </c>
      <c r="L465" s="25"/>
      <c r="N465" s="15" t="s">
        <v>3608</v>
      </c>
      <c r="P465" s="37" t="s">
        <v>25</v>
      </c>
    </row>
    <row r="466" spans="1:16">
      <c r="A466" s="14">
        <v>11065</v>
      </c>
      <c r="B466" s="14"/>
      <c r="C466" s="14" t="s">
        <v>1220</v>
      </c>
      <c r="D466" s="14"/>
      <c r="E466" s="14"/>
      <c r="F466" s="14"/>
      <c r="G466" s="14"/>
      <c r="H466" s="28"/>
      <c r="I466" s="28"/>
      <c r="L466" s="25"/>
    </row>
    <row r="467" spans="1:16">
      <c r="A467" s="14">
        <v>11066</v>
      </c>
      <c r="B467" s="14"/>
      <c r="C467" s="14" t="s">
        <v>1220</v>
      </c>
      <c r="D467" s="14"/>
      <c r="E467" s="14"/>
      <c r="F467" s="14"/>
      <c r="G467" s="14"/>
      <c r="H467" s="28"/>
      <c r="I467" s="28"/>
      <c r="L467" s="25"/>
    </row>
    <row r="468" spans="1:16">
      <c r="A468" s="14">
        <v>11067</v>
      </c>
      <c r="B468" s="14" t="s">
        <v>1848</v>
      </c>
      <c r="C468" s="14" t="s">
        <v>1220</v>
      </c>
      <c r="D468" s="4" t="s">
        <v>19</v>
      </c>
      <c r="E468" s="14">
        <v>109492</v>
      </c>
      <c r="F468" s="14">
        <v>14295550206</v>
      </c>
      <c r="G468" s="14">
        <v>495621237</v>
      </c>
      <c r="H468" s="28" t="s">
        <v>1849</v>
      </c>
      <c r="I468" s="28" t="s">
        <v>1849</v>
      </c>
      <c r="J468" s="3" t="s">
        <v>1850</v>
      </c>
      <c r="K468" s="15" t="s">
        <v>3609</v>
      </c>
      <c r="L468" s="25"/>
      <c r="N468" s="15" t="s">
        <v>3610</v>
      </c>
      <c r="P468" s="37" t="s">
        <v>25</v>
      </c>
    </row>
    <row r="469" spans="1:16">
      <c r="A469" s="14">
        <v>11068</v>
      </c>
      <c r="B469" s="14" t="s">
        <v>957</v>
      </c>
      <c r="C469" s="14" t="s">
        <v>1220</v>
      </c>
      <c r="D469" s="4" t="s">
        <v>19</v>
      </c>
      <c r="E469" s="14">
        <v>109501</v>
      </c>
      <c r="F469" s="14">
        <v>14295553714</v>
      </c>
      <c r="G469" s="14">
        <v>495621076</v>
      </c>
      <c r="H469" s="28" t="s">
        <v>1852</v>
      </c>
      <c r="I469" s="28" t="s">
        <v>1852</v>
      </c>
      <c r="J469" s="3" t="s">
        <v>1853</v>
      </c>
      <c r="K469" s="15" t="s">
        <v>3611</v>
      </c>
      <c r="L469" s="25"/>
      <c r="N469" s="15" t="s">
        <v>3612</v>
      </c>
      <c r="P469" s="37" t="s">
        <v>25</v>
      </c>
    </row>
    <row r="470" spans="1:16">
      <c r="A470" s="14">
        <v>11069</v>
      </c>
      <c r="B470" s="14" t="s">
        <v>389</v>
      </c>
      <c r="C470" s="14" t="s">
        <v>1220</v>
      </c>
      <c r="D470" s="4" t="s">
        <v>19</v>
      </c>
      <c r="E470" s="14">
        <v>110075</v>
      </c>
      <c r="F470" s="14">
        <v>14742753021</v>
      </c>
      <c r="G470" s="14">
        <v>501459313</v>
      </c>
      <c r="H470" s="28" t="s">
        <v>3613</v>
      </c>
      <c r="I470" s="28" t="s">
        <v>3613</v>
      </c>
      <c r="J470" s="3" t="s">
        <v>3614</v>
      </c>
      <c r="K470" s="15" t="s">
        <v>3615</v>
      </c>
      <c r="L470" s="25"/>
      <c r="N470" s="15" t="s">
        <v>3616</v>
      </c>
      <c r="P470" s="37" t="s">
        <v>25</v>
      </c>
    </row>
    <row r="471" spans="1:16">
      <c r="A471" s="14">
        <v>11070</v>
      </c>
      <c r="B471" s="14"/>
      <c r="C471" s="14" t="s">
        <v>1220</v>
      </c>
      <c r="D471" s="14"/>
      <c r="E471" s="14"/>
      <c r="F471" s="14"/>
      <c r="G471" s="14"/>
      <c r="H471" s="28"/>
      <c r="I471" s="28"/>
      <c r="L471" s="25"/>
    </row>
    <row r="472" spans="1:16">
      <c r="A472" s="14">
        <v>11071</v>
      </c>
      <c r="B472" s="14"/>
      <c r="C472" s="14" t="s">
        <v>1220</v>
      </c>
      <c r="D472" s="14"/>
      <c r="E472" s="14"/>
      <c r="F472" s="14"/>
      <c r="G472" s="14"/>
      <c r="H472" s="28"/>
      <c r="I472" s="28"/>
      <c r="L472" s="25"/>
    </row>
    <row r="473" spans="1:16">
      <c r="A473" s="14">
        <v>11072</v>
      </c>
      <c r="B473" s="14" t="s">
        <v>3617</v>
      </c>
      <c r="C473" s="14" t="s">
        <v>1220</v>
      </c>
      <c r="D473" s="4" t="s">
        <v>19</v>
      </c>
      <c r="E473" s="14">
        <v>111715</v>
      </c>
      <c r="F473" s="14">
        <v>15770496205</v>
      </c>
      <c r="G473" s="14">
        <v>514739775</v>
      </c>
      <c r="H473" s="28" t="s">
        <v>3618</v>
      </c>
      <c r="I473" s="28" t="s">
        <v>3618</v>
      </c>
      <c r="J473" s="3" t="s">
        <v>3619</v>
      </c>
      <c r="K473" s="15" t="s">
        <v>3620</v>
      </c>
      <c r="L473" s="25"/>
      <c r="N473" s="15" t="s">
        <v>3621</v>
      </c>
      <c r="P473" s="37" t="s">
        <v>25</v>
      </c>
    </row>
    <row r="474" spans="1:16">
      <c r="A474" s="14">
        <v>11073</v>
      </c>
      <c r="B474" s="14"/>
      <c r="C474" s="14" t="s">
        <v>1220</v>
      </c>
      <c r="D474" s="14"/>
      <c r="E474" s="14"/>
      <c r="F474" s="14"/>
      <c r="G474" s="14"/>
      <c r="H474" s="28"/>
      <c r="I474" s="28"/>
      <c r="L474" s="25"/>
    </row>
    <row r="475" spans="1:16">
      <c r="A475" s="14">
        <v>11074</v>
      </c>
      <c r="B475" s="14" t="s">
        <v>3622</v>
      </c>
      <c r="C475" s="14" t="s">
        <v>1220</v>
      </c>
      <c r="D475" s="4" t="s">
        <v>19</v>
      </c>
      <c r="E475" s="14">
        <v>111805</v>
      </c>
      <c r="F475" s="14">
        <v>15771774344</v>
      </c>
      <c r="G475" s="14">
        <v>514739803</v>
      </c>
      <c r="H475" s="28" t="s">
        <v>3623</v>
      </c>
      <c r="I475" s="28" t="s">
        <v>3623</v>
      </c>
      <c r="J475" s="3" t="s">
        <v>3624</v>
      </c>
      <c r="K475" s="15" t="s">
        <v>3625</v>
      </c>
      <c r="L475" s="25"/>
      <c r="N475" s="15" t="s">
        <v>3626</v>
      </c>
      <c r="P475" s="37" t="s">
        <v>25</v>
      </c>
    </row>
    <row r="476" spans="1:16">
      <c r="A476" s="14">
        <v>11075</v>
      </c>
      <c r="B476" s="14" t="s">
        <v>3627</v>
      </c>
      <c r="C476" s="14" t="s">
        <v>1220</v>
      </c>
      <c r="D476" s="4" t="s">
        <v>19</v>
      </c>
      <c r="E476" s="14">
        <v>111750</v>
      </c>
      <c r="F476" s="14">
        <v>15770533479</v>
      </c>
      <c r="G476" s="14">
        <v>514739749</v>
      </c>
      <c r="H476" s="28" t="s">
        <v>3628</v>
      </c>
      <c r="I476" s="28" t="s">
        <v>3628</v>
      </c>
      <c r="J476" s="3" t="s">
        <v>3629</v>
      </c>
      <c r="K476" s="15" t="s">
        <v>3630</v>
      </c>
      <c r="L476" s="25"/>
      <c r="N476" s="15" t="s">
        <v>3631</v>
      </c>
      <c r="P476" s="37" t="s">
        <v>25</v>
      </c>
    </row>
    <row r="477" spans="1:16">
      <c r="A477" s="14">
        <v>11076</v>
      </c>
      <c r="B477" s="14"/>
      <c r="C477" s="14" t="s">
        <v>1220</v>
      </c>
      <c r="D477" s="14"/>
      <c r="E477" s="14"/>
      <c r="F477" s="14"/>
      <c r="G477" s="14"/>
      <c r="H477" s="28"/>
      <c r="I477" s="28"/>
      <c r="L477" s="25"/>
    </row>
    <row r="478" spans="1:16">
      <c r="A478" s="14">
        <v>11077</v>
      </c>
      <c r="B478" s="14"/>
      <c r="C478" s="14" t="s">
        <v>1220</v>
      </c>
      <c r="D478" s="14"/>
      <c r="E478" s="14"/>
      <c r="F478" s="14"/>
      <c r="G478" s="14"/>
      <c r="H478" s="28"/>
      <c r="I478" s="28"/>
      <c r="L478" s="25"/>
    </row>
    <row r="479" spans="1:16">
      <c r="A479" s="14">
        <v>11078</v>
      </c>
      <c r="B479" s="14" t="s">
        <v>3632</v>
      </c>
      <c r="C479" s="14" t="s">
        <v>1220</v>
      </c>
      <c r="D479" s="4" t="s">
        <v>19</v>
      </c>
      <c r="E479" s="14">
        <v>111862</v>
      </c>
      <c r="F479" s="14">
        <v>15775421056</v>
      </c>
      <c r="G479" s="14">
        <v>514739780</v>
      </c>
      <c r="H479" s="28" t="s">
        <v>3633</v>
      </c>
      <c r="I479" s="28" t="s">
        <v>3633</v>
      </c>
      <c r="J479" s="3" t="s">
        <v>3634</v>
      </c>
      <c r="K479" s="15" t="s">
        <v>3635</v>
      </c>
      <c r="L479" s="25"/>
      <c r="N479" s="15" t="s">
        <v>3636</v>
      </c>
      <c r="P479" s="37" t="s">
        <v>25</v>
      </c>
    </row>
    <row r="480" spans="1:16">
      <c r="A480" s="14">
        <v>11079</v>
      </c>
      <c r="B480" s="14" t="s">
        <v>1855</v>
      </c>
      <c r="C480" s="14" t="s">
        <v>1220</v>
      </c>
      <c r="D480" s="4" t="s">
        <v>19</v>
      </c>
      <c r="E480" s="14">
        <v>109481</v>
      </c>
      <c r="F480" s="14">
        <v>14295538710</v>
      </c>
      <c r="G480" s="14">
        <v>495621179</v>
      </c>
      <c r="H480" s="28" t="s">
        <v>1856</v>
      </c>
      <c r="I480" s="28" t="s">
        <v>1856</v>
      </c>
      <c r="J480" s="3" t="s">
        <v>1857</v>
      </c>
      <c r="K480" s="15" t="s">
        <v>3637</v>
      </c>
      <c r="L480" s="25"/>
      <c r="N480" s="15" t="s">
        <v>3638</v>
      </c>
      <c r="P480" s="37" t="s">
        <v>25</v>
      </c>
    </row>
    <row r="481" spans="1:16">
      <c r="A481" s="14">
        <v>11080</v>
      </c>
      <c r="B481" s="14"/>
      <c r="C481" s="14" t="s">
        <v>1220</v>
      </c>
      <c r="D481" s="14"/>
      <c r="E481" s="14"/>
      <c r="F481" s="14"/>
      <c r="G481" s="14"/>
      <c r="H481" s="28"/>
      <c r="I481" s="28"/>
      <c r="L481" s="25"/>
    </row>
    <row r="482" spans="1:16">
      <c r="A482" s="14">
        <v>11081</v>
      </c>
      <c r="B482" s="14"/>
      <c r="C482" s="14" t="s">
        <v>1220</v>
      </c>
      <c r="D482" s="14"/>
      <c r="E482" s="14"/>
      <c r="F482" s="14"/>
      <c r="G482" s="14"/>
      <c r="H482" s="28"/>
      <c r="I482" s="28"/>
      <c r="L482" s="25"/>
    </row>
    <row r="483" spans="1:16">
      <c r="A483" s="14">
        <v>11082</v>
      </c>
      <c r="B483" s="14" t="s">
        <v>1859</v>
      </c>
      <c r="C483" s="14" t="s">
        <v>1220</v>
      </c>
      <c r="D483" s="4" t="s">
        <v>19</v>
      </c>
      <c r="E483" s="14">
        <v>109474</v>
      </c>
      <c r="F483" s="14">
        <v>14295526678</v>
      </c>
      <c r="G483" s="14">
        <v>495621227</v>
      </c>
      <c r="H483" s="28" t="s">
        <v>1860</v>
      </c>
      <c r="I483" s="28" t="s">
        <v>1860</v>
      </c>
      <c r="J483" s="3" t="s">
        <v>1861</v>
      </c>
      <c r="K483" s="15" t="s">
        <v>3639</v>
      </c>
      <c r="L483" s="25"/>
      <c r="N483" s="15" t="s">
        <v>3640</v>
      </c>
      <c r="P483" s="37" t="s">
        <v>25</v>
      </c>
    </row>
    <row r="484" spans="1:16">
      <c r="A484" s="14">
        <v>11083</v>
      </c>
      <c r="B484" s="14" t="s">
        <v>3641</v>
      </c>
      <c r="C484" s="14" t="s">
        <v>1220</v>
      </c>
      <c r="D484" s="4" t="s">
        <v>19</v>
      </c>
      <c r="E484" s="14">
        <v>111770</v>
      </c>
      <c r="F484" s="14">
        <v>15770542858</v>
      </c>
      <c r="G484" s="14">
        <v>514739905</v>
      </c>
      <c r="H484" s="28" t="s">
        <v>3642</v>
      </c>
      <c r="I484" s="28" t="s">
        <v>3642</v>
      </c>
      <c r="J484" s="3" t="s">
        <v>3643</v>
      </c>
      <c r="K484" s="15" t="s">
        <v>3644</v>
      </c>
      <c r="L484" s="25"/>
      <c r="N484" s="15" t="s">
        <v>3645</v>
      </c>
      <c r="P484" s="37" t="s">
        <v>25</v>
      </c>
    </row>
    <row r="485" spans="1:16">
      <c r="A485" s="14">
        <v>11084</v>
      </c>
      <c r="B485" s="14"/>
      <c r="C485" s="14" t="s">
        <v>1220</v>
      </c>
      <c r="D485" s="14"/>
      <c r="E485" s="14"/>
      <c r="F485" s="14"/>
      <c r="G485" s="14"/>
      <c r="H485" s="28"/>
      <c r="I485" s="28"/>
      <c r="L485" s="25"/>
    </row>
    <row r="486" spans="1:16">
      <c r="A486" s="14">
        <v>11085</v>
      </c>
      <c r="B486" s="14" t="s">
        <v>3646</v>
      </c>
      <c r="C486" s="14" t="s">
        <v>1220</v>
      </c>
      <c r="D486" s="4" t="s">
        <v>19</v>
      </c>
      <c r="E486" s="14">
        <v>111798</v>
      </c>
      <c r="F486" s="14">
        <v>15771640295</v>
      </c>
      <c r="G486" s="14">
        <v>514739788</v>
      </c>
      <c r="H486" s="28" t="s">
        <v>3647</v>
      </c>
      <c r="I486" s="28" t="s">
        <v>3647</v>
      </c>
      <c r="J486" s="3" t="s">
        <v>3648</v>
      </c>
      <c r="K486" s="15" t="s">
        <v>3649</v>
      </c>
      <c r="L486" s="25"/>
      <c r="N486" s="15" t="s">
        <v>3650</v>
      </c>
      <c r="P486" s="37" t="s">
        <v>25</v>
      </c>
    </row>
    <row r="487" spans="1:16">
      <c r="A487" s="14">
        <v>11086</v>
      </c>
      <c r="B487" s="14"/>
      <c r="C487" s="14" t="s">
        <v>1220</v>
      </c>
      <c r="D487" s="14"/>
      <c r="E487" s="14"/>
      <c r="F487" s="14"/>
      <c r="G487" s="14"/>
      <c r="H487" s="28"/>
      <c r="I487" s="28"/>
      <c r="L487" s="25"/>
    </row>
    <row r="488" spans="1:16">
      <c r="A488" s="14">
        <v>11087</v>
      </c>
      <c r="B488" s="14"/>
      <c r="C488" s="14" t="s">
        <v>1220</v>
      </c>
      <c r="D488" s="14"/>
      <c r="E488" s="14"/>
      <c r="F488" s="14"/>
      <c r="G488" s="14"/>
      <c r="H488" s="28"/>
      <c r="I488" s="28"/>
      <c r="L488" s="25"/>
    </row>
    <row r="489" spans="1:16">
      <c r="A489" s="14">
        <v>11088</v>
      </c>
      <c r="B489" s="14" t="s">
        <v>1879</v>
      </c>
      <c r="C489" s="14" t="s">
        <v>1220</v>
      </c>
      <c r="D489" s="4" t="s">
        <v>19</v>
      </c>
      <c r="E489" s="14">
        <v>109559</v>
      </c>
      <c r="F489" s="14">
        <v>14295776530</v>
      </c>
      <c r="G489" s="14">
        <v>495621169</v>
      </c>
      <c r="H489" s="28" t="s">
        <v>1880</v>
      </c>
      <c r="I489" s="28" t="s">
        <v>1880</v>
      </c>
      <c r="J489" s="3" t="s">
        <v>1881</v>
      </c>
      <c r="K489" s="15" t="s">
        <v>3651</v>
      </c>
      <c r="L489" s="25"/>
      <c r="N489" s="15" t="s">
        <v>3652</v>
      </c>
      <c r="P489" s="37" t="s">
        <v>25</v>
      </c>
    </row>
    <row r="490" spans="1:16">
      <c r="A490" s="14">
        <v>11089</v>
      </c>
      <c r="B490" s="14"/>
      <c r="C490" s="14" t="s">
        <v>1220</v>
      </c>
      <c r="D490" s="14"/>
      <c r="E490" s="14"/>
      <c r="F490" s="14"/>
      <c r="G490" s="14"/>
      <c r="H490" s="28"/>
      <c r="I490" s="28"/>
      <c r="L490" s="25"/>
    </row>
    <row r="491" spans="1:16">
      <c r="A491" s="14">
        <v>11090</v>
      </c>
      <c r="B491" s="14"/>
      <c r="C491" s="14" t="s">
        <v>1220</v>
      </c>
      <c r="D491" s="14"/>
      <c r="E491" s="14"/>
      <c r="F491" s="14"/>
      <c r="G491" s="14"/>
      <c r="H491" s="28"/>
      <c r="I491" s="28"/>
      <c r="L491" s="25"/>
    </row>
    <row r="492" spans="1:16">
      <c r="A492" s="14">
        <v>11091</v>
      </c>
      <c r="B492" s="14" t="s">
        <v>1883</v>
      </c>
      <c r="C492" s="14" t="s">
        <v>1220</v>
      </c>
      <c r="D492" s="4" t="s">
        <v>19</v>
      </c>
      <c r="E492" s="14">
        <v>109545</v>
      </c>
      <c r="F492" s="14">
        <v>14295675036</v>
      </c>
      <c r="G492" s="14">
        <v>495621118</v>
      </c>
      <c r="H492" s="28" t="s">
        <v>1884</v>
      </c>
      <c r="I492" s="28" t="s">
        <v>1884</v>
      </c>
      <c r="J492" s="3" t="s">
        <v>1885</v>
      </c>
      <c r="K492" s="15" t="s">
        <v>3653</v>
      </c>
      <c r="L492" s="25"/>
      <c r="N492" s="15" t="s">
        <v>3654</v>
      </c>
      <c r="P492" s="37" t="s">
        <v>25</v>
      </c>
    </row>
    <row r="493" spans="1:16">
      <c r="A493" s="14">
        <v>11092</v>
      </c>
      <c r="B493" s="14"/>
      <c r="C493" s="14" t="s">
        <v>1220</v>
      </c>
      <c r="D493" s="14"/>
      <c r="E493" s="14"/>
      <c r="F493" s="14"/>
      <c r="G493" s="14"/>
      <c r="H493" s="28"/>
      <c r="I493" s="28"/>
      <c r="L493" s="25"/>
    </row>
    <row r="494" spans="1:16">
      <c r="A494" s="14">
        <v>11093</v>
      </c>
      <c r="B494" s="14"/>
      <c r="C494" s="14" t="s">
        <v>1220</v>
      </c>
      <c r="D494" s="14"/>
      <c r="E494" s="14"/>
      <c r="F494" s="14"/>
      <c r="G494" s="14"/>
      <c r="H494" s="28"/>
      <c r="I494" s="28"/>
      <c r="L494" s="25"/>
    </row>
    <row r="495" spans="1:16">
      <c r="A495" s="14">
        <v>11094</v>
      </c>
      <c r="B495" s="14" t="s">
        <v>3655</v>
      </c>
      <c r="C495" s="14" t="s">
        <v>1220</v>
      </c>
      <c r="D495" s="4" t="s">
        <v>19</v>
      </c>
      <c r="E495" s="14">
        <v>111706</v>
      </c>
      <c r="F495" s="14">
        <v>15770486675</v>
      </c>
      <c r="G495" s="14">
        <v>514739853</v>
      </c>
      <c r="H495" s="28" t="s">
        <v>3656</v>
      </c>
      <c r="I495" s="28" t="s">
        <v>3656</v>
      </c>
      <c r="J495" s="3" t="s">
        <v>3657</v>
      </c>
      <c r="K495" s="15" t="s">
        <v>3658</v>
      </c>
      <c r="L495" s="25"/>
      <c r="N495" s="15" t="s">
        <v>3659</v>
      </c>
      <c r="P495" s="37" t="s">
        <v>25</v>
      </c>
    </row>
    <row r="496" spans="1:16">
      <c r="A496" s="14">
        <v>11095</v>
      </c>
      <c r="B496" s="14" t="s">
        <v>3660</v>
      </c>
      <c r="C496" s="14" t="s">
        <v>1220</v>
      </c>
      <c r="D496" s="4" t="s">
        <v>19</v>
      </c>
      <c r="E496" s="14">
        <v>111881</v>
      </c>
      <c r="F496" s="14">
        <v>15775513411</v>
      </c>
      <c r="G496" s="14">
        <v>514739898</v>
      </c>
      <c r="H496" s="28" t="s">
        <v>3661</v>
      </c>
      <c r="I496" s="28" t="s">
        <v>3661</v>
      </c>
      <c r="J496" s="3" t="s">
        <v>3662</v>
      </c>
      <c r="K496" s="15" t="s">
        <v>3663</v>
      </c>
      <c r="L496" s="25"/>
      <c r="N496" s="15" t="s">
        <v>3664</v>
      </c>
      <c r="P496" s="37" t="s">
        <v>25</v>
      </c>
    </row>
    <row r="497" spans="1:16">
      <c r="A497" s="14">
        <v>11096</v>
      </c>
      <c r="B497" s="14"/>
      <c r="C497" s="14" t="s">
        <v>1220</v>
      </c>
      <c r="D497" s="14"/>
      <c r="E497" s="14"/>
      <c r="F497" s="14"/>
      <c r="G497" s="14"/>
      <c r="H497" s="28"/>
      <c r="I497" s="28"/>
      <c r="L497" s="25"/>
    </row>
    <row r="498" spans="1:16">
      <c r="A498" s="14">
        <v>11097</v>
      </c>
      <c r="B498" s="14"/>
      <c r="C498" s="14" t="s">
        <v>1220</v>
      </c>
      <c r="D498" s="14"/>
      <c r="E498" s="14"/>
      <c r="F498" s="14"/>
      <c r="G498" s="14"/>
      <c r="H498" s="28"/>
      <c r="I498" s="28"/>
      <c r="L498" s="25"/>
    </row>
    <row r="499" spans="1:16">
      <c r="A499" s="14">
        <v>11098</v>
      </c>
      <c r="B499" s="14" t="s">
        <v>1919</v>
      </c>
      <c r="C499" s="14" t="s">
        <v>1220</v>
      </c>
      <c r="D499" s="4" t="s">
        <v>19</v>
      </c>
      <c r="E499" s="14">
        <v>111799</v>
      </c>
      <c r="F499" s="14">
        <v>15771668227</v>
      </c>
      <c r="G499" s="14">
        <v>514739738</v>
      </c>
      <c r="H499" s="28" t="s">
        <v>3665</v>
      </c>
      <c r="I499" s="28" t="s">
        <v>3665</v>
      </c>
      <c r="J499" s="3" t="s">
        <v>3666</v>
      </c>
      <c r="K499" s="15" t="s">
        <v>3667</v>
      </c>
      <c r="L499" s="25"/>
      <c r="N499" s="15" t="s">
        <v>3668</v>
      </c>
      <c r="P499" s="37" t="s">
        <v>25</v>
      </c>
    </row>
    <row r="500" spans="1:16">
      <c r="A500" s="14">
        <v>11099</v>
      </c>
      <c r="B500" s="14"/>
      <c r="C500" s="14" t="s">
        <v>1220</v>
      </c>
      <c r="D500" s="14"/>
      <c r="E500" s="14"/>
      <c r="F500" s="14"/>
      <c r="G500" s="14"/>
      <c r="H500" s="28"/>
      <c r="I500" s="28"/>
      <c r="L500" s="25"/>
    </row>
    <row r="501" spans="1:16">
      <c r="A501" s="14">
        <v>11100</v>
      </c>
      <c r="B501" s="14"/>
      <c r="C501" s="14" t="s">
        <v>1220</v>
      </c>
      <c r="D501" s="14"/>
      <c r="E501" s="14"/>
      <c r="F501" s="14"/>
      <c r="G501" s="14"/>
      <c r="H501" s="28"/>
      <c r="I501" s="28"/>
      <c r="L501" s="25"/>
    </row>
    <row r="502" spans="1:16">
      <c r="A502" s="14">
        <v>11101</v>
      </c>
      <c r="B502" s="14" t="s">
        <v>3669</v>
      </c>
      <c r="C502" s="14" t="s">
        <v>1220</v>
      </c>
      <c r="D502" s="4" t="s">
        <v>19</v>
      </c>
      <c r="E502" s="14">
        <v>111789</v>
      </c>
      <c r="F502" s="14">
        <v>15771527067</v>
      </c>
      <c r="G502" s="14">
        <v>514739755</v>
      </c>
      <c r="H502" s="28" t="s">
        <v>3670</v>
      </c>
      <c r="I502" s="28" t="s">
        <v>3670</v>
      </c>
      <c r="J502" s="3" t="s">
        <v>3671</v>
      </c>
      <c r="K502" s="15" t="s">
        <v>3672</v>
      </c>
      <c r="L502" s="25"/>
      <c r="N502" s="15" t="s">
        <v>3673</v>
      </c>
      <c r="P502" s="37" t="s">
        <v>25</v>
      </c>
    </row>
    <row r="503" spans="1:16">
      <c r="A503" s="14">
        <v>11102</v>
      </c>
      <c r="B503" s="14" t="s">
        <v>3674</v>
      </c>
      <c r="C503" s="14" t="s">
        <v>1220</v>
      </c>
      <c r="D503" s="4" t="s">
        <v>19</v>
      </c>
      <c r="E503" s="14">
        <v>111897</v>
      </c>
      <c r="F503" s="14">
        <v>15775623972</v>
      </c>
      <c r="G503" s="14">
        <v>514739883</v>
      </c>
      <c r="H503" s="28" t="s">
        <v>3675</v>
      </c>
      <c r="I503" s="28" t="s">
        <v>3675</v>
      </c>
      <c r="J503" s="3" t="s">
        <v>3676</v>
      </c>
      <c r="K503" s="15" t="s">
        <v>3677</v>
      </c>
      <c r="L503" s="25"/>
      <c r="N503" s="15" t="s">
        <v>3678</v>
      </c>
      <c r="P503" s="37" t="s">
        <v>25</v>
      </c>
    </row>
    <row r="504" spans="1:16">
      <c r="A504" s="14">
        <v>11103</v>
      </c>
      <c r="B504" s="14" t="s">
        <v>3679</v>
      </c>
      <c r="C504" s="14" t="s">
        <v>1220</v>
      </c>
      <c r="D504" s="4" t="s">
        <v>19</v>
      </c>
      <c r="E504" s="14">
        <v>103054</v>
      </c>
      <c r="F504" s="14">
        <v>10611435985</v>
      </c>
      <c r="G504" s="14">
        <v>485537774</v>
      </c>
      <c r="H504" s="28" t="s">
        <v>3680</v>
      </c>
      <c r="I504" s="28" t="s">
        <v>3680</v>
      </c>
      <c r="J504" s="3" t="s">
        <v>3681</v>
      </c>
      <c r="K504" s="15" t="s">
        <v>3682</v>
      </c>
      <c r="L504" s="25"/>
      <c r="N504" s="15" t="s">
        <v>3683</v>
      </c>
      <c r="P504" s="37" t="s">
        <v>25</v>
      </c>
    </row>
    <row r="505" spans="1:16">
      <c r="A505" s="14">
        <v>11104</v>
      </c>
      <c r="B505" s="14"/>
      <c r="C505" s="14" t="s">
        <v>1220</v>
      </c>
      <c r="D505" s="14"/>
      <c r="E505" s="14"/>
      <c r="F505" s="14"/>
      <c r="G505" s="14"/>
      <c r="H505" s="28"/>
      <c r="I505" s="28"/>
      <c r="L505" s="25"/>
    </row>
    <row r="506" spans="1:16">
      <c r="A506" s="14">
        <v>11105</v>
      </c>
      <c r="B506" s="14"/>
      <c r="C506" s="14" t="s">
        <v>1220</v>
      </c>
      <c r="D506" s="14"/>
      <c r="E506" s="14"/>
      <c r="F506" s="14"/>
      <c r="G506" s="14"/>
      <c r="H506" s="28"/>
      <c r="I506" s="28"/>
      <c r="L506" s="25"/>
    </row>
    <row r="507" spans="1:16">
      <c r="A507" s="14">
        <v>11106</v>
      </c>
      <c r="B507" s="14" t="s">
        <v>3684</v>
      </c>
      <c r="C507" s="14" t="s">
        <v>1220</v>
      </c>
      <c r="D507" s="4" t="s">
        <v>19</v>
      </c>
      <c r="E507" s="14">
        <v>111827</v>
      </c>
      <c r="F507" s="14">
        <v>15775300219</v>
      </c>
      <c r="G507" s="14">
        <v>514739731</v>
      </c>
      <c r="H507" s="28" t="s">
        <v>3685</v>
      </c>
      <c r="I507" s="28" t="s">
        <v>3685</v>
      </c>
      <c r="J507" s="3" t="s">
        <v>3686</v>
      </c>
      <c r="K507" s="15" t="s">
        <v>3687</v>
      </c>
      <c r="L507" s="25"/>
      <c r="N507" s="15" t="s">
        <v>3688</v>
      </c>
      <c r="P507" s="37" t="s">
        <v>25</v>
      </c>
    </row>
    <row r="508" spans="1:16">
      <c r="A508" s="14">
        <v>11107</v>
      </c>
      <c r="B508" s="14" t="s">
        <v>3689</v>
      </c>
      <c r="C508" s="14" t="s">
        <v>1220</v>
      </c>
      <c r="D508" s="4" t="s">
        <v>19</v>
      </c>
      <c r="E508" s="14">
        <v>111748</v>
      </c>
      <c r="F508" s="14">
        <v>15770533236</v>
      </c>
      <c r="G508" s="14">
        <v>514739743</v>
      </c>
      <c r="H508" s="28" t="s">
        <v>3690</v>
      </c>
      <c r="I508" s="28" t="s">
        <v>3690</v>
      </c>
      <c r="J508" s="3" t="s">
        <v>3691</v>
      </c>
      <c r="K508" s="15" t="s">
        <v>3692</v>
      </c>
      <c r="L508" s="25"/>
      <c r="N508" s="15" t="s">
        <v>3693</v>
      </c>
      <c r="P508" s="37" t="s">
        <v>25</v>
      </c>
    </row>
    <row r="509" spans="1:16">
      <c r="A509" s="14">
        <v>11108</v>
      </c>
      <c r="B509" s="14" t="s">
        <v>3694</v>
      </c>
      <c r="C509" s="14" t="s">
        <v>1220</v>
      </c>
      <c r="D509" s="4" t="s">
        <v>19</v>
      </c>
      <c r="E509" s="14">
        <v>111891</v>
      </c>
      <c r="F509" s="14">
        <v>15775598834</v>
      </c>
      <c r="G509" s="14">
        <v>514739850</v>
      </c>
      <c r="H509" s="28" t="s">
        <v>3695</v>
      </c>
      <c r="I509" s="28" t="s">
        <v>3695</v>
      </c>
      <c r="J509" s="3" t="s">
        <v>3696</v>
      </c>
      <c r="K509" s="15" t="s">
        <v>3697</v>
      </c>
      <c r="L509" s="25"/>
      <c r="N509" s="15" t="s">
        <v>3698</v>
      </c>
      <c r="P509" s="37" t="s">
        <v>25</v>
      </c>
    </row>
    <row r="510" spans="1:16">
      <c r="A510" s="14">
        <v>11109</v>
      </c>
      <c r="B510" s="14" t="s">
        <v>1887</v>
      </c>
      <c r="C510" s="14" t="s">
        <v>1220</v>
      </c>
      <c r="D510" s="4" t="s">
        <v>19</v>
      </c>
      <c r="E510" s="14">
        <v>109578</v>
      </c>
      <c r="F510" s="14">
        <v>14299386168</v>
      </c>
      <c r="G510" s="14">
        <v>495621067</v>
      </c>
      <c r="H510" s="28" t="s">
        <v>3699</v>
      </c>
      <c r="I510" s="28" t="s">
        <v>3699</v>
      </c>
      <c r="J510" s="3" t="s">
        <v>1889</v>
      </c>
      <c r="K510" s="15" t="s">
        <v>3700</v>
      </c>
      <c r="L510" s="25"/>
      <c r="N510" s="15" t="s">
        <v>3701</v>
      </c>
      <c r="P510" s="37" t="s">
        <v>25</v>
      </c>
    </row>
    <row r="511" spans="1:16">
      <c r="A511" s="14">
        <v>11110</v>
      </c>
      <c r="B511" s="14"/>
      <c r="C511" s="14" t="s">
        <v>1220</v>
      </c>
      <c r="D511" s="14"/>
      <c r="E511" s="14"/>
      <c r="F511" s="14"/>
      <c r="G511" s="14"/>
      <c r="H511" s="28"/>
      <c r="I511" s="28"/>
      <c r="L511" s="25"/>
    </row>
    <row r="512" spans="1:16">
      <c r="A512" s="14">
        <v>11111</v>
      </c>
      <c r="B512" s="14"/>
      <c r="C512" s="14" t="s">
        <v>1220</v>
      </c>
      <c r="D512" s="14"/>
      <c r="E512" s="14"/>
      <c r="F512" s="14"/>
      <c r="G512" s="14"/>
      <c r="H512" s="28"/>
      <c r="I512" s="28"/>
      <c r="L512" s="25"/>
    </row>
    <row r="513" spans="1:16">
      <c r="A513" s="14">
        <v>11112</v>
      </c>
      <c r="B513" s="14" t="s">
        <v>895</v>
      </c>
      <c r="C513" s="14" t="s">
        <v>1220</v>
      </c>
      <c r="D513" s="4" t="s">
        <v>19</v>
      </c>
      <c r="E513" s="14">
        <v>111870</v>
      </c>
      <c r="F513" s="14">
        <v>15775472845</v>
      </c>
      <c r="G513" s="14">
        <v>514739910</v>
      </c>
      <c r="H513" s="28" t="s">
        <v>3702</v>
      </c>
      <c r="I513" s="28" t="s">
        <v>3702</v>
      </c>
      <c r="J513" s="3" t="s">
        <v>3703</v>
      </c>
      <c r="K513" s="15" t="s">
        <v>3704</v>
      </c>
      <c r="L513" s="25"/>
      <c r="N513" s="15" t="s">
        <v>3705</v>
      </c>
      <c r="P513" s="37" t="s">
        <v>25</v>
      </c>
    </row>
    <row r="514" spans="1:16">
      <c r="A514" s="14">
        <v>11113</v>
      </c>
      <c r="B514" s="14"/>
      <c r="C514" s="14" t="s">
        <v>1220</v>
      </c>
      <c r="D514" s="14"/>
      <c r="E514" s="14"/>
      <c r="F514" s="14"/>
      <c r="G514" s="14"/>
      <c r="H514" s="28"/>
      <c r="I514" s="28"/>
      <c r="L514" s="25"/>
    </row>
    <row r="515" spans="1:16">
      <c r="A515" s="14">
        <v>11114</v>
      </c>
      <c r="B515" s="14"/>
      <c r="C515" s="14" t="s">
        <v>1220</v>
      </c>
      <c r="D515" s="14"/>
      <c r="E515" s="14"/>
      <c r="F515" s="14"/>
      <c r="G515" s="14"/>
      <c r="H515" s="28"/>
      <c r="I515" s="28"/>
      <c r="L515" s="25"/>
    </row>
    <row r="516" spans="1:16">
      <c r="A516" s="14">
        <v>11115</v>
      </c>
      <c r="B516" s="14"/>
      <c r="C516" s="14" t="s">
        <v>1220</v>
      </c>
      <c r="D516" s="14"/>
      <c r="E516" s="14"/>
      <c r="F516" s="14"/>
      <c r="G516" s="14"/>
      <c r="H516" s="28"/>
      <c r="I516" s="28"/>
      <c r="L516" s="25"/>
    </row>
    <row r="517" spans="1:16">
      <c r="A517" s="14">
        <v>11116</v>
      </c>
      <c r="B517" s="14" t="s">
        <v>1907</v>
      </c>
      <c r="C517" s="14" t="s">
        <v>1220</v>
      </c>
      <c r="D517" s="4" t="s">
        <v>19</v>
      </c>
      <c r="E517" s="14">
        <v>109465</v>
      </c>
      <c r="F517" s="14">
        <v>14295518264</v>
      </c>
      <c r="G517" s="14">
        <v>495621126</v>
      </c>
      <c r="H517" s="28" t="s">
        <v>1908</v>
      </c>
      <c r="I517" s="28" t="s">
        <v>1908</v>
      </c>
      <c r="J517" s="3" t="s">
        <v>1909</v>
      </c>
      <c r="K517" s="15" t="s">
        <v>3706</v>
      </c>
      <c r="L517" s="25"/>
      <c r="N517" s="16" t="s">
        <v>3707</v>
      </c>
      <c r="P517" s="37" t="s">
        <v>25</v>
      </c>
    </row>
    <row r="518" spans="1:16">
      <c r="A518" s="14">
        <v>11117</v>
      </c>
      <c r="B518" s="14" t="s">
        <v>1911</v>
      </c>
      <c r="C518" s="14" t="s">
        <v>1220</v>
      </c>
      <c r="D518" s="4" t="s">
        <v>19</v>
      </c>
      <c r="E518" s="14">
        <v>109584</v>
      </c>
      <c r="F518" s="14">
        <v>14299667363</v>
      </c>
      <c r="G518" s="14">
        <v>495621138</v>
      </c>
      <c r="H518" s="28" t="s">
        <v>1912</v>
      </c>
      <c r="I518" s="28" t="s">
        <v>1912</v>
      </c>
      <c r="J518" s="3" t="s">
        <v>1913</v>
      </c>
      <c r="K518" s="15" t="s">
        <v>3708</v>
      </c>
      <c r="L518" s="25"/>
      <c r="N518" s="16" t="s">
        <v>3709</v>
      </c>
      <c r="P518" s="37" t="s">
        <v>25</v>
      </c>
    </row>
    <row r="519" spans="1:16">
      <c r="A519" s="14">
        <v>11118</v>
      </c>
      <c r="B519" s="14" t="s">
        <v>3710</v>
      </c>
      <c r="C519" s="14" t="s">
        <v>1220</v>
      </c>
      <c r="D519" s="4" t="s">
        <v>19</v>
      </c>
      <c r="E519" s="14">
        <v>111772</v>
      </c>
      <c r="F519" s="14">
        <v>15770542860</v>
      </c>
      <c r="G519" s="14">
        <v>514739924</v>
      </c>
      <c r="H519" s="28" t="s">
        <v>3711</v>
      </c>
      <c r="I519" s="28" t="s">
        <v>3711</v>
      </c>
      <c r="J519" s="3" t="s">
        <v>3712</v>
      </c>
      <c r="K519" s="15" t="s">
        <v>3713</v>
      </c>
      <c r="L519" s="25"/>
      <c r="N519" s="16" t="s">
        <v>3714</v>
      </c>
      <c r="P519" s="37" t="s">
        <v>25</v>
      </c>
    </row>
    <row r="520" spans="1:16">
      <c r="A520" s="14">
        <v>11119</v>
      </c>
      <c r="B520" s="14"/>
      <c r="C520" s="14" t="s">
        <v>1220</v>
      </c>
      <c r="D520" s="14"/>
      <c r="E520" s="14"/>
      <c r="F520" s="14"/>
      <c r="G520" s="14"/>
      <c r="H520" s="28"/>
      <c r="I520" s="28"/>
      <c r="L520" s="25"/>
    </row>
    <row r="521" spans="1:16">
      <c r="A521" s="14">
        <v>11120</v>
      </c>
      <c r="B521" s="14"/>
      <c r="C521" s="14" t="s">
        <v>1220</v>
      </c>
      <c r="D521" s="14"/>
      <c r="E521" s="14"/>
      <c r="F521" s="14"/>
      <c r="G521" s="14"/>
      <c r="H521" s="28"/>
      <c r="I521" s="28"/>
      <c r="L521" s="25"/>
    </row>
    <row r="522" spans="1:16">
      <c r="A522" s="14">
        <v>11121</v>
      </c>
      <c r="B522" s="14" t="s">
        <v>1931</v>
      </c>
      <c r="C522" s="14" t="s">
        <v>1220</v>
      </c>
      <c r="D522" s="4" t="s">
        <v>19</v>
      </c>
      <c r="E522" s="14">
        <v>109452</v>
      </c>
      <c r="F522" s="14">
        <v>14295455739</v>
      </c>
      <c r="G522" s="14">
        <v>495621062</v>
      </c>
      <c r="H522" s="28" t="s">
        <v>1932</v>
      </c>
      <c r="I522" s="28" t="s">
        <v>1932</v>
      </c>
      <c r="J522" s="3" t="s">
        <v>1933</v>
      </c>
      <c r="K522" s="15" t="s">
        <v>3715</v>
      </c>
      <c r="L522" s="25"/>
      <c r="N522" s="15" t="s">
        <v>3716</v>
      </c>
      <c r="P522" s="37" t="s">
        <v>25</v>
      </c>
    </row>
    <row r="523" spans="1:16">
      <c r="A523" s="14">
        <v>11122</v>
      </c>
      <c r="B523" s="14"/>
      <c r="C523" s="14" t="s">
        <v>1220</v>
      </c>
      <c r="D523" s="14"/>
      <c r="E523" s="14"/>
      <c r="F523" s="14"/>
      <c r="G523" s="14"/>
      <c r="H523" s="28"/>
      <c r="I523" s="28"/>
      <c r="L523" s="25"/>
    </row>
    <row r="524" spans="1:16">
      <c r="A524" s="14">
        <v>11123</v>
      </c>
      <c r="B524" s="14"/>
      <c r="C524" s="14" t="s">
        <v>1220</v>
      </c>
      <c r="D524" s="14"/>
      <c r="E524" s="14"/>
      <c r="F524" s="14"/>
      <c r="G524" s="14"/>
      <c r="H524" s="28"/>
      <c r="I524" s="28"/>
      <c r="L524" s="25"/>
    </row>
    <row r="525" spans="1:16">
      <c r="A525" s="14">
        <v>11124</v>
      </c>
      <c r="B525" s="14" t="s">
        <v>3717</v>
      </c>
      <c r="C525" s="14" t="s">
        <v>1220</v>
      </c>
      <c r="D525" s="4" t="s">
        <v>19</v>
      </c>
      <c r="E525" s="14">
        <v>111806</v>
      </c>
      <c r="F525" s="14">
        <v>15771774345</v>
      </c>
      <c r="G525" s="14">
        <v>514739757</v>
      </c>
      <c r="H525" s="28" t="s">
        <v>3718</v>
      </c>
      <c r="I525" s="28" t="s">
        <v>3718</v>
      </c>
      <c r="J525" s="3" t="s">
        <v>3719</v>
      </c>
      <c r="K525" s="15" t="s">
        <v>3720</v>
      </c>
      <c r="L525" s="25"/>
      <c r="N525" s="15" t="s">
        <v>3721</v>
      </c>
      <c r="P525" s="37" t="s">
        <v>25</v>
      </c>
    </row>
    <row r="526" spans="1:16">
      <c r="A526" s="14">
        <v>11125</v>
      </c>
      <c r="B526" s="14" t="s">
        <v>1935</v>
      </c>
      <c r="C526" s="14" t="s">
        <v>1220</v>
      </c>
      <c r="D526" s="4" t="s">
        <v>19</v>
      </c>
      <c r="E526" s="14">
        <v>109510</v>
      </c>
      <c r="F526" s="14">
        <v>14295560335</v>
      </c>
      <c r="G526" s="14">
        <v>495621246</v>
      </c>
      <c r="H526" s="28" t="s">
        <v>1936</v>
      </c>
      <c r="I526" s="28" t="s">
        <v>1936</v>
      </c>
      <c r="J526" s="3" t="s">
        <v>1937</v>
      </c>
      <c r="K526" s="15" t="s">
        <v>3722</v>
      </c>
      <c r="L526" s="25"/>
      <c r="N526" s="15" t="s">
        <v>3723</v>
      </c>
      <c r="P526" s="37" t="s">
        <v>25</v>
      </c>
    </row>
    <row r="527" spans="1:16">
      <c r="A527" s="14">
        <v>11126</v>
      </c>
      <c r="B527" s="14" t="s">
        <v>1939</v>
      </c>
      <c r="C527" s="14" t="s">
        <v>1220</v>
      </c>
      <c r="D527" s="4" t="s">
        <v>19</v>
      </c>
      <c r="E527" s="14">
        <v>109511</v>
      </c>
      <c r="F527" s="14">
        <v>14295564806</v>
      </c>
      <c r="G527" s="14">
        <v>495621204</v>
      </c>
      <c r="H527" s="28" t="s">
        <v>1940</v>
      </c>
      <c r="I527" s="28" t="s">
        <v>1940</v>
      </c>
      <c r="J527" s="3" t="s">
        <v>1941</v>
      </c>
      <c r="K527" s="15" t="s">
        <v>3724</v>
      </c>
      <c r="L527" s="25"/>
      <c r="N527" s="15" t="s">
        <v>3725</v>
      </c>
      <c r="P527" s="37" t="s">
        <v>25</v>
      </c>
    </row>
    <row r="528" spans="1:16">
      <c r="A528" s="14">
        <v>11127</v>
      </c>
      <c r="B528" s="14" t="s">
        <v>3726</v>
      </c>
      <c r="C528" s="14" t="s">
        <v>1220</v>
      </c>
      <c r="D528" s="4" t="s">
        <v>19</v>
      </c>
      <c r="E528" s="14">
        <v>109507</v>
      </c>
      <c r="F528" s="14">
        <v>14295557310</v>
      </c>
      <c r="G528" s="14">
        <v>495621211</v>
      </c>
      <c r="H528" s="28" t="s">
        <v>3727</v>
      </c>
      <c r="I528" s="28" t="s">
        <v>3727</v>
      </c>
      <c r="J528" s="3" t="s">
        <v>3728</v>
      </c>
      <c r="K528" s="15" t="s">
        <v>3729</v>
      </c>
      <c r="L528" s="25"/>
      <c r="N528" s="15" t="s">
        <v>3730</v>
      </c>
      <c r="P528" s="37" t="s">
        <v>25</v>
      </c>
    </row>
    <row r="529" spans="1:16">
      <c r="A529" s="14">
        <v>11128</v>
      </c>
      <c r="B529" s="14" t="s">
        <v>3731</v>
      </c>
      <c r="C529" s="14" t="s">
        <v>1220</v>
      </c>
      <c r="D529" s="4" t="s">
        <v>19</v>
      </c>
      <c r="E529" s="14">
        <v>111804</v>
      </c>
      <c r="F529" s="14">
        <v>15771774343</v>
      </c>
      <c r="G529" s="14">
        <v>514739787</v>
      </c>
      <c r="H529" s="28" t="s">
        <v>3732</v>
      </c>
      <c r="I529" s="28" t="s">
        <v>3732</v>
      </c>
      <c r="J529" s="3" t="s">
        <v>3733</v>
      </c>
      <c r="K529" s="15" t="s">
        <v>3734</v>
      </c>
      <c r="L529" s="25"/>
      <c r="N529" s="15" t="s">
        <v>3735</v>
      </c>
      <c r="P529" s="37" t="s">
        <v>25</v>
      </c>
    </row>
    <row r="530" spans="1:16">
      <c r="A530" s="14">
        <v>11129</v>
      </c>
      <c r="B530" s="14"/>
      <c r="C530" s="14" t="s">
        <v>1220</v>
      </c>
      <c r="D530" s="14"/>
      <c r="E530" s="14"/>
      <c r="F530" s="14"/>
      <c r="G530" s="14"/>
      <c r="H530" s="28"/>
      <c r="I530" s="28"/>
      <c r="L530" s="25"/>
    </row>
    <row r="531" spans="1:16">
      <c r="A531" s="14">
        <v>11130</v>
      </c>
      <c r="B531" s="14"/>
      <c r="C531" s="14" t="s">
        <v>1220</v>
      </c>
      <c r="D531" s="14"/>
      <c r="E531" s="14"/>
      <c r="F531" s="14"/>
      <c r="G531" s="14"/>
      <c r="H531" s="28"/>
      <c r="I531" s="28"/>
      <c r="L531" s="25"/>
    </row>
    <row r="532" spans="1:16">
      <c r="A532" s="14">
        <v>11131</v>
      </c>
      <c r="B532" s="14" t="s">
        <v>1943</v>
      </c>
      <c r="C532" s="14" t="s">
        <v>1220</v>
      </c>
      <c r="D532" s="4" t="s">
        <v>19</v>
      </c>
      <c r="E532" s="14">
        <v>109436</v>
      </c>
      <c r="F532" s="14">
        <v>14294931470</v>
      </c>
      <c r="G532" s="14">
        <v>495621127</v>
      </c>
      <c r="H532" s="28" t="s">
        <v>1944</v>
      </c>
      <c r="I532" s="28" t="s">
        <v>1944</v>
      </c>
      <c r="J532" s="3" t="s">
        <v>1945</v>
      </c>
      <c r="K532" s="15" t="s">
        <v>3736</v>
      </c>
      <c r="L532" s="25"/>
      <c r="N532" s="15" t="s">
        <v>3737</v>
      </c>
      <c r="P532" s="37" t="s">
        <v>25</v>
      </c>
    </row>
    <row r="533" spans="1:16">
      <c r="A533" s="14">
        <v>11132</v>
      </c>
      <c r="B533" s="14" t="s">
        <v>1947</v>
      </c>
      <c r="C533" s="14" t="s">
        <v>1220</v>
      </c>
      <c r="D533" s="4" t="s">
        <v>19</v>
      </c>
      <c r="E533" s="14">
        <v>109560</v>
      </c>
      <c r="F533" s="14">
        <v>14295776531</v>
      </c>
      <c r="G533" s="14">
        <v>495621093</v>
      </c>
      <c r="H533" s="28" t="s">
        <v>1948</v>
      </c>
      <c r="I533" s="28" t="s">
        <v>1948</v>
      </c>
      <c r="J533" s="3" t="s">
        <v>1949</v>
      </c>
      <c r="K533" s="15" t="s">
        <v>3738</v>
      </c>
      <c r="L533" s="25"/>
      <c r="N533" s="15" t="s">
        <v>3739</v>
      </c>
      <c r="P533" s="37" t="s">
        <v>25</v>
      </c>
    </row>
    <row r="534" spans="1:16">
      <c r="A534" s="14">
        <v>11133</v>
      </c>
      <c r="B534" s="14" t="s">
        <v>1951</v>
      </c>
      <c r="C534" s="14" t="s">
        <v>1220</v>
      </c>
      <c r="D534" s="4" t="s">
        <v>19</v>
      </c>
      <c r="E534" s="14">
        <v>109666</v>
      </c>
      <c r="F534" s="14">
        <v>14507298048</v>
      </c>
      <c r="G534" s="14">
        <v>498373747</v>
      </c>
      <c r="H534" s="28" t="s">
        <v>1952</v>
      </c>
      <c r="I534" s="28" t="s">
        <v>1952</v>
      </c>
      <c r="J534" s="3" t="s">
        <v>1953</v>
      </c>
      <c r="K534" s="15" t="s">
        <v>3740</v>
      </c>
      <c r="L534" s="25"/>
      <c r="N534" s="15" t="s">
        <v>3741</v>
      </c>
      <c r="P534" s="37" t="s">
        <v>25</v>
      </c>
    </row>
    <row r="535" spans="1:16">
      <c r="A535" s="14">
        <v>11134</v>
      </c>
      <c r="B535" s="14" t="s">
        <v>3742</v>
      </c>
      <c r="C535" s="14" t="s">
        <v>1220</v>
      </c>
      <c r="D535" s="4" t="s">
        <v>19</v>
      </c>
      <c r="E535" s="14">
        <v>111817</v>
      </c>
      <c r="F535" s="14">
        <v>15775241686</v>
      </c>
      <c r="G535" s="14">
        <v>514739793</v>
      </c>
      <c r="H535" s="28" t="s">
        <v>3743</v>
      </c>
      <c r="I535" s="28" t="s">
        <v>3743</v>
      </c>
      <c r="J535" s="3" t="s">
        <v>3742</v>
      </c>
      <c r="K535" s="15" t="s">
        <v>3744</v>
      </c>
      <c r="L535" s="25"/>
      <c r="N535" s="15" t="s">
        <v>3745</v>
      </c>
      <c r="P535" s="37" t="s">
        <v>25</v>
      </c>
    </row>
    <row r="536" spans="1:16">
      <c r="A536" s="14">
        <v>11135</v>
      </c>
      <c r="B536" s="14"/>
      <c r="C536" s="14" t="s">
        <v>1220</v>
      </c>
      <c r="D536" s="14"/>
      <c r="E536" s="14"/>
      <c r="F536" s="14"/>
      <c r="G536" s="14"/>
      <c r="H536" s="28"/>
      <c r="I536" s="28"/>
      <c r="L536" s="25"/>
    </row>
    <row r="537" spans="1:16">
      <c r="A537" s="14">
        <v>11136</v>
      </c>
      <c r="B537" s="14"/>
      <c r="C537" s="14" t="s">
        <v>1220</v>
      </c>
      <c r="D537" s="14"/>
      <c r="E537" s="14"/>
      <c r="F537" s="14"/>
      <c r="G537" s="14"/>
      <c r="H537" s="28"/>
      <c r="I537" s="28"/>
      <c r="L537" s="25"/>
    </row>
    <row r="538" spans="1:16">
      <c r="A538" s="14">
        <v>11137</v>
      </c>
      <c r="B538" s="14"/>
      <c r="C538" s="14" t="s">
        <v>1220</v>
      </c>
      <c r="D538" s="14"/>
      <c r="E538" s="14"/>
      <c r="F538" s="14"/>
      <c r="G538" s="14"/>
      <c r="H538" s="28"/>
      <c r="I538" s="28"/>
      <c r="L538" s="25"/>
    </row>
    <row r="539" spans="1:16">
      <c r="A539" s="14">
        <v>11138</v>
      </c>
      <c r="B539" s="14"/>
      <c r="C539" s="14" t="s">
        <v>1220</v>
      </c>
      <c r="D539" s="14"/>
      <c r="E539" s="14"/>
      <c r="F539" s="14"/>
      <c r="G539" s="14"/>
      <c r="H539" s="28"/>
      <c r="I539" s="28"/>
      <c r="L539" s="25"/>
    </row>
    <row r="540" spans="1:16">
      <c r="A540" s="14">
        <v>11139</v>
      </c>
      <c r="B540" s="14" t="s">
        <v>1971</v>
      </c>
      <c r="C540" s="14" t="s">
        <v>1220</v>
      </c>
      <c r="D540" s="4" t="s">
        <v>19</v>
      </c>
      <c r="E540" s="14">
        <v>111751</v>
      </c>
      <c r="F540" s="14">
        <v>15770533480</v>
      </c>
      <c r="G540" s="14">
        <v>514739737</v>
      </c>
      <c r="H540" s="28" t="s">
        <v>3746</v>
      </c>
      <c r="I540" s="28" t="s">
        <v>3746</v>
      </c>
      <c r="J540" s="3" t="s">
        <v>1971</v>
      </c>
      <c r="K540" s="15" t="s">
        <v>3747</v>
      </c>
      <c r="L540" s="25"/>
      <c r="N540" s="15" t="s">
        <v>3748</v>
      </c>
      <c r="P540" s="37" t="s">
        <v>25</v>
      </c>
    </row>
    <row r="541" spans="1:16">
      <c r="A541" s="14">
        <v>11140</v>
      </c>
      <c r="B541" s="14" t="s">
        <v>1028</v>
      </c>
      <c r="C541" s="14" t="s">
        <v>1220</v>
      </c>
      <c r="D541" s="4" t="s">
        <v>19</v>
      </c>
      <c r="E541" s="14">
        <v>104604</v>
      </c>
      <c r="F541" s="14">
        <v>11052384418</v>
      </c>
      <c r="G541" s="14">
        <v>453875850</v>
      </c>
      <c r="H541" s="28" t="s">
        <v>3749</v>
      </c>
      <c r="I541" s="28" t="s">
        <v>3749</v>
      </c>
      <c r="J541" s="3" t="s">
        <v>3750</v>
      </c>
      <c r="K541" s="15" t="s">
        <v>3751</v>
      </c>
      <c r="L541" s="25"/>
      <c r="N541" s="15" t="s">
        <v>3752</v>
      </c>
      <c r="P541" s="37" t="s">
        <v>25</v>
      </c>
    </row>
    <row r="542" spans="1:16">
      <c r="A542" s="14">
        <v>11141</v>
      </c>
      <c r="B542" s="14" t="s">
        <v>3753</v>
      </c>
      <c r="C542" s="14" t="s">
        <v>1220</v>
      </c>
      <c r="D542" s="4" t="s">
        <v>19</v>
      </c>
      <c r="E542" s="14">
        <v>110090</v>
      </c>
      <c r="F542" s="14">
        <v>14742926837</v>
      </c>
      <c r="G542" s="14">
        <v>501459309</v>
      </c>
      <c r="H542" s="28" t="s">
        <v>3754</v>
      </c>
      <c r="I542" s="28" t="s">
        <v>3754</v>
      </c>
      <c r="J542" s="3" t="s">
        <v>3755</v>
      </c>
      <c r="K542" s="15" t="s">
        <v>3756</v>
      </c>
      <c r="L542" s="25"/>
      <c r="N542" s="15" t="s">
        <v>3757</v>
      </c>
      <c r="P542" s="37" t="s">
        <v>25</v>
      </c>
    </row>
    <row r="543" spans="1:16">
      <c r="A543" s="14">
        <v>11142</v>
      </c>
      <c r="B543" s="14"/>
      <c r="C543" s="14" t="s">
        <v>1220</v>
      </c>
      <c r="D543" s="14"/>
      <c r="E543" s="14"/>
      <c r="F543" s="14"/>
      <c r="G543" s="14"/>
      <c r="H543" s="28"/>
      <c r="I543" s="28"/>
      <c r="L543" s="25"/>
    </row>
    <row r="544" spans="1:16">
      <c r="A544" s="14">
        <v>11143</v>
      </c>
      <c r="B544" s="14"/>
      <c r="C544" s="14" t="s">
        <v>1220</v>
      </c>
      <c r="D544" s="14"/>
      <c r="E544" s="14"/>
      <c r="F544" s="14"/>
      <c r="G544" s="14"/>
      <c r="H544" s="28"/>
      <c r="I544" s="28"/>
      <c r="L544" s="25"/>
    </row>
    <row r="545" spans="1:16">
      <c r="A545" s="14">
        <v>11144</v>
      </c>
      <c r="B545" s="14"/>
      <c r="C545" s="14" t="s">
        <v>1220</v>
      </c>
      <c r="D545" s="14"/>
      <c r="E545" s="14"/>
      <c r="F545" s="14"/>
      <c r="G545" s="14"/>
      <c r="H545" s="28"/>
      <c r="I545" s="28"/>
      <c r="L545" s="25"/>
    </row>
    <row r="546" spans="1:16">
      <c r="A546" s="14">
        <v>11145</v>
      </c>
      <c r="B546" s="14" t="s">
        <v>3758</v>
      </c>
      <c r="C546" s="14" t="s">
        <v>1220</v>
      </c>
      <c r="D546" s="4" t="s">
        <v>19</v>
      </c>
      <c r="E546" s="14">
        <v>111860</v>
      </c>
      <c r="F546" s="14">
        <v>15775421054</v>
      </c>
      <c r="G546" s="14">
        <v>514739801</v>
      </c>
      <c r="H546" s="28" t="s">
        <v>3759</v>
      </c>
      <c r="I546" s="28" t="s">
        <v>3759</v>
      </c>
      <c r="J546" s="3" t="s">
        <v>3760</v>
      </c>
      <c r="K546" s="15" t="s">
        <v>3761</v>
      </c>
      <c r="L546" s="25"/>
      <c r="N546" s="15" t="s">
        <v>3762</v>
      </c>
      <c r="P546" s="37" t="s">
        <v>25</v>
      </c>
    </row>
    <row r="547" spans="1:16">
      <c r="A547" s="14">
        <v>11146</v>
      </c>
      <c r="B547" s="14" t="s">
        <v>2011</v>
      </c>
      <c r="C547" s="14" t="s">
        <v>1220</v>
      </c>
      <c r="D547" s="4" t="s">
        <v>19</v>
      </c>
      <c r="E547" s="14">
        <v>109505</v>
      </c>
      <c r="F547" s="14">
        <v>14295555616</v>
      </c>
      <c r="G547" s="14">
        <v>495621086</v>
      </c>
      <c r="H547" s="28" t="s">
        <v>2012</v>
      </c>
      <c r="I547" s="28" t="s">
        <v>2012</v>
      </c>
      <c r="J547" s="3" t="s">
        <v>2013</v>
      </c>
      <c r="K547" s="15" t="s">
        <v>3763</v>
      </c>
      <c r="L547" s="25"/>
      <c r="N547" s="15" t="s">
        <v>3764</v>
      </c>
      <c r="P547" s="37" t="s">
        <v>25</v>
      </c>
    </row>
    <row r="548" spans="1:16">
      <c r="A548" s="14">
        <v>11147</v>
      </c>
      <c r="B548" s="14" t="s">
        <v>2015</v>
      </c>
      <c r="C548" s="14" t="s">
        <v>1220</v>
      </c>
      <c r="D548" s="4" t="s">
        <v>19</v>
      </c>
      <c r="E548" s="14">
        <v>109458</v>
      </c>
      <c r="F548" s="14">
        <v>14295464068</v>
      </c>
      <c r="G548" s="14">
        <v>495621158</v>
      </c>
      <c r="H548" s="28" t="s">
        <v>2016</v>
      </c>
      <c r="I548" s="28" t="s">
        <v>2016</v>
      </c>
      <c r="J548" s="3" t="s">
        <v>2017</v>
      </c>
      <c r="K548" s="15" t="s">
        <v>3765</v>
      </c>
      <c r="L548" s="25"/>
      <c r="N548" s="15" t="s">
        <v>3766</v>
      </c>
      <c r="P548" s="37" t="s">
        <v>25</v>
      </c>
    </row>
    <row r="549" spans="1:16">
      <c r="A549" s="14">
        <v>11148</v>
      </c>
      <c r="B549" s="14" t="s">
        <v>3767</v>
      </c>
      <c r="C549" s="14" t="s">
        <v>1220</v>
      </c>
      <c r="D549" s="4" t="s">
        <v>19</v>
      </c>
      <c r="E549" s="14">
        <v>111736</v>
      </c>
      <c r="F549" s="14">
        <v>15770500334</v>
      </c>
      <c r="G549" s="14">
        <v>514739813</v>
      </c>
      <c r="H549" s="28" t="s">
        <v>3768</v>
      </c>
      <c r="I549" s="28" t="s">
        <v>3768</v>
      </c>
      <c r="J549" s="3" t="s">
        <v>3769</v>
      </c>
      <c r="K549" s="15" t="s">
        <v>3770</v>
      </c>
      <c r="L549" s="25"/>
      <c r="N549" s="15" t="s">
        <v>3771</v>
      </c>
      <c r="P549" s="37" t="s">
        <v>25</v>
      </c>
    </row>
    <row r="550" spans="1:16">
      <c r="A550" s="14">
        <v>11149</v>
      </c>
      <c r="B550" s="14"/>
      <c r="C550" s="14" t="s">
        <v>1220</v>
      </c>
      <c r="D550" s="14"/>
      <c r="E550" s="14"/>
      <c r="F550" s="14"/>
      <c r="G550" s="14"/>
      <c r="H550" s="28"/>
      <c r="I550" s="28"/>
      <c r="L550" s="25"/>
    </row>
    <row r="551" spans="1:16">
      <c r="A551" s="14">
        <v>11150</v>
      </c>
      <c r="B551" s="14" t="s">
        <v>1959</v>
      </c>
      <c r="C551" s="14" t="s">
        <v>1220</v>
      </c>
      <c r="D551" s="4" t="s">
        <v>19</v>
      </c>
      <c r="E551" s="14">
        <v>104603</v>
      </c>
      <c r="F551" s="14">
        <v>11052366091</v>
      </c>
      <c r="G551" s="14">
        <v>453875853</v>
      </c>
      <c r="H551" s="28" t="s">
        <v>1960</v>
      </c>
      <c r="I551" s="28" t="s">
        <v>1960</v>
      </c>
      <c r="J551" s="3" t="s">
        <v>1961</v>
      </c>
      <c r="K551" s="15" t="s">
        <v>3772</v>
      </c>
      <c r="L551" s="25"/>
      <c r="N551" s="15" t="s">
        <v>3773</v>
      </c>
      <c r="P551" s="37" t="s">
        <v>25</v>
      </c>
    </row>
    <row r="552" spans="1:16">
      <c r="A552" s="14">
        <v>11151</v>
      </c>
      <c r="B552" s="14" t="s">
        <v>1963</v>
      </c>
      <c r="C552" s="14" t="s">
        <v>1220</v>
      </c>
      <c r="D552" s="4" t="s">
        <v>19</v>
      </c>
      <c r="E552" s="14">
        <v>109579</v>
      </c>
      <c r="F552" s="14">
        <v>14299420867</v>
      </c>
      <c r="G552" s="14">
        <v>495621153</v>
      </c>
      <c r="H552" s="28" t="s">
        <v>1964</v>
      </c>
      <c r="I552" s="28" t="s">
        <v>1964</v>
      </c>
      <c r="J552" s="3" t="s">
        <v>1965</v>
      </c>
      <c r="K552" s="15" t="s">
        <v>3774</v>
      </c>
      <c r="L552" s="25"/>
      <c r="N552" s="15" t="s">
        <v>3775</v>
      </c>
      <c r="P552" s="37" t="s">
        <v>25</v>
      </c>
    </row>
    <row r="553" spans="1:16">
      <c r="A553" s="14">
        <v>11152</v>
      </c>
      <c r="B553" s="14"/>
      <c r="C553" s="14" t="s">
        <v>1220</v>
      </c>
      <c r="D553" s="14"/>
      <c r="E553" s="14"/>
      <c r="F553" s="14"/>
      <c r="G553" s="14"/>
      <c r="H553" s="28"/>
      <c r="I553" s="28"/>
      <c r="K553" s="15"/>
      <c r="L553" s="25"/>
    </row>
    <row r="554" spans="1:16">
      <c r="A554" s="14">
        <v>11153</v>
      </c>
      <c r="B554" s="14"/>
      <c r="C554" s="14" t="s">
        <v>1220</v>
      </c>
      <c r="D554" s="14"/>
      <c r="E554" s="14"/>
      <c r="F554" s="14"/>
      <c r="G554" s="14"/>
      <c r="H554" s="28"/>
      <c r="I554" s="28"/>
      <c r="K554" s="15"/>
      <c r="L554" s="25"/>
    </row>
    <row r="555" spans="1:16">
      <c r="A555" s="14">
        <v>11154</v>
      </c>
      <c r="B555" s="14" t="s">
        <v>2062</v>
      </c>
      <c r="C555" s="14" t="s">
        <v>1220</v>
      </c>
      <c r="D555" s="4" t="s">
        <v>19</v>
      </c>
      <c r="E555" s="14">
        <v>111846</v>
      </c>
      <c r="F555" s="14">
        <v>15775357189</v>
      </c>
      <c r="G555" s="14">
        <v>514739779</v>
      </c>
      <c r="H555" s="28" t="s">
        <v>3776</v>
      </c>
      <c r="I555" s="28" t="s">
        <v>3776</v>
      </c>
      <c r="J555" s="3" t="s">
        <v>3777</v>
      </c>
      <c r="K555" s="15" t="s">
        <v>3778</v>
      </c>
      <c r="L555" s="25"/>
      <c r="N555" s="15" t="s">
        <v>3779</v>
      </c>
      <c r="P555" s="37" t="s">
        <v>25</v>
      </c>
    </row>
    <row r="556" spans="1:16">
      <c r="A556" s="14">
        <v>11155</v>
      </c>
      <c r="B556" s="14" t="s">
        <v>1987</v>
      </c>
      <c r="C556" s="14" t="s">
        <v>1220</v>
      </c>
      <c r="D556" s="4" t="s">
        <v>19</v>
      </c>
      <c r="E556" s="14">
        <v>109576</v>
      </c>
      <c r="F556" s="14">
        <v>14299386166</v>
      </c>
      <c r="G556" s="14">
        <v>495621168</v>
      </c>
      <c r="H556" s="28" t="s">
        <v>1988</v>
      </c>
      <c r="I556" s="28" t="s">
        <v>1988</v>
      </c>
      <c r="J556" s="3" t="s">
        <v>1989</v>
      </c>
      <c r="K556" s="15" t="s">
        <v>3780</v>
      </c>
      <c r="L556" s="25"/>
      <c r="N556" s="15" t="s">
        <v>3781</v>
      </c>
      <c r="P556" s="37" t="s">
        <v>25</v>
      </c>
    </row>
    <row r="557" spans="1:16">
      <c r="A557" s="14">
        <v>11156</v>
      </c>
      <c r="B557" s="14" t="s">
        <v>3782</v>
      </c>
      <c r="C557" s="14" t="s">
        <v>1220</v>
      </c>
      <c r="D557" s="4" t="s">
        <v>19</v>
      </c>
      <c r="E557" s="14">
        <v>111883</v>
      </c>
      <c r="F557" s="14">
        <v>15775548101</v>
      </c>
      <c r="G557" s="14">
        <v>514739903</v>
      </c>
      <c r="H557" s="28" t="s">
        <v>3783</v>
      </c>
      <c r="I557" s="28" t="s">
        <v>3783</v>
      </c>
      <c r="J557" s="3" t="s">
        <v>3784</v>
      </c>
      <c r="K557" s="15" t="s">
        <v>3785</v>
      </c>
      <c r="L557" s="25"/>
      <c r="N557" s="15" t="s">
        <v>3786</v>
      </c>
      <c r="P557" s="37" t="s">
        <v>25</v>
      </c>
    </row>
    <row r="558" spans="1:16">
      <c r="A558" s="14">
        <v>11157</v>
      </c>
      <c r="B558" s="14" t="s">
        <v>1999</v>
      </c>
      <c r="C558" s="14" t="s">
        <v>1220</v>
      </c>
      <c r="D558" s="4" t="s">
        <v>19</v>
      </c>
      <c r="E558" s="14">
        <v>109525</v>
      </c>
      <c r="F558" s="14">
        <v>14295605065</v>
      </c>
      <c r="G558" s="14">
        <v>495621230</v>
      </c>
      <c r="H558" s="28" t="s">
        <v>2000</v>
      </c>
      <c r="I558" s="28" t="s">
        <v>2000</v>
      </c>
      <c r="J558" s="3" t="s">
        <v>2001</v>
      </c>
      <c r="K558" s="15" t="s">
        <v>3787</v>
      </c>
      <c r="L558" s="25"/>
      <c r="N558" s="15" t="s">
        <v>3788</v>
      </c>
      <c r="P558" s="37" t="s">
        <v>25</v>
      </c>
    </row>
    <row r="559" spans="1:16">
      <c r="A559" s="14">
        <v>11158</v>
      </c>
      <c r="B559" s="14"/>
      <c r="C559" s="14" t="s">
        <v>1220</v>
      </c>
      <c r="D559" s="14"/>
      <c r="E559" s="14"/>
      <c r="F559" s="14"/>
      <c r="G559" s="14"/>
      <c r="H559" s="28"/>
      <c r="I559" s="28"/>
      <c r="L559" s="25"/>
    </row>
    <row r="560" spans="1:16">
      <c r="A560" s="14">
        <v>11159</v>
      </c>
      <c r="B560" s="14"/>
      <c r="C560" s="14" t="s">
        <v>1220</v>
      </c>
      <c r="D560" s="14"/>
      <c r="E560" s="14"/>
      <c r="F560" s="14"/>
      <c r="G560" s="14"/>
      <c r="H560" s="28"/>
      <c r="I560" s="28"/>
      <c r="L560" s="25"/>
    </row>
    <row r="561" spans="1:16">
      <c r="A561" s="14">
        <v>11160</v>
      </c>
      <c r="B561" s="14" t="s">
        <v>2023</v>
      </c>
      <c r="C561" s="14" t="s">
        <v>1220</v>
      </c>
      <c r="D561" s="4" t="s">
        <v>19</v>
      </c>
      <c r="E561" s="14">
        <v>111884</v>
      </c>
      <c r="F561" s="14">
        <v>15775565268</v>
      </c>
      <c r="G561" s="14">
        <v>514739810</v>
      </c>
      <c r="H561" s="28" t="s">
        <v>3789</v>
      </c>
      <c r="I561" s="28" t="s">
        <v>3789</v>
      </c>
      <c r="J561" s="3" t="s">
        <v>3790</v>
      </c>
      <c r="K561" s="15" t="s">
        <v>3791</v>
      </c>
      <c r="L561" s="25"/>
      <c r="N561" s="15" t="s">
        <v>3792</v>
      </c>
      <c r="P561" s="37" t="s">
        <v>25</v>
      </c>
    </row>
    <row r="562" spans="1:16">
      <c r="A562" s="14">
        <v>11161</v>
      </c>
      <c r="B562" s="14" t="s">
        <v>1034</v>
      </c>
      <c r="C562" s="14" t="s">
        <v>1220</v>
      </c>
      <c r="D562" s="4" t="s">
        <v>19</v>
      </c>
      <c r="E562" s="14">
        <v>109517</v>
      </c>
      <c r="F562" s="14">
        <v>14295568030</v>
      </c>
      <c r="G562" s="14">
        <v>495621216</v>
      </c>
      <c r="H562" s="28" t="s">
        <v>3793</v>
      </c>
      <c r="I562" s="28" t="s">
        <v>3793</v>
      </c>
      <c r="J562" s="3" t="s">
        <v>3794</v>
      </c>
      <c r="K562" s="15" t="s">
        <v>3795</v>
      </c>
      <c r="L562" s="25"/>
      <c r="N562" s="15" t="s">
        <v>3796</v>
      </c>
      <c r="P562" s="37" t="s">
        <v>25</v>
      </c>
    </row>
    <row r="563" spans="1:16">
      <c r="A563" s="14">
        <v>11162</v>
      </c>
      <c r="B563" s="14"/>
      <c r="C563" s="14" t="s">
        <v>1220</v>
      </c>
      <c r="D563" s="14"/>
      <c r="E563" s="14"/>
      <c r="F563" s="14"/>
      <c r="G563" s="14"/>
      <c r="H563" s="28"/>
      <c r="I563" s="28"/>
      <c r="L563" s="25"/>
    </row>
    <row r="564" spans="1:16">
      <c r="A564" s="14">
        <v>11163</v>
      </c>
      <c r="B564" s="14"/>
      <c r="C564" s="14" t="s">
        <v>1220</v>
      </c>
      <c r="D564" s="14"/>
      <c r="E564" s="14"/>
      <c r="F564" s="14"/>
      <c r="G564" s="14"/>
      <c r="H564" s="28"/>
      <c r="I564" s="28"/>
      <c r="L564" s="25"/>
    </row>
    <row r="565" spans="1:16">
      <c r="A565" s="14">
        <v>11164</v>
      </c>
      <c r="B565" s="14" t="s">
        <v>3797</v>
      </c>
      <c r="C565" s="14" t="s">
        <v>1220</v>
      </c>
      <c r="D565" s="4" t="s">
        <v>19</v>
      </c>
      <c r="E565" s="14">
        <v>111756</v>
      </c>
      <c r="F565" s="14">
        <v>15770534675</v>
      </c>
      <c r="G565" s="14">
        <v>514739911</v>
      </c>
      <c r="H565" s="28" t="s">
        <v>3798</v>
      </c>
      <c r="I565" s="28" t="s">
        <v>3798</v>
      </c>
      <c r="J565" s="3" t="s">
        <v>3799</v>
      </c>
      <c r="K565" s="15" t="s">
        <v>3800</v>
      </c>
      <c r="L565" s="25"/>
      <c r="N565" s="15" t="s">
        <v>3801</v>
      </c>
      <c r="P565" s="37" t="s">
        <v>25</v>
      </c>
    </row>
    <row r="566" spans="1:16">
      <c r="A566" s="14">
        <v>11165</v>
      </c>
      <c r="B566" s="14" t="s">
        <v>3802</v>
      </c>
      <c r="C566" s="14" t="s">
        <v>1220</v>
      </c>
      <c r="D566" s="4" t="s">
        <v>19</v>
      </c>
      <c r="E566" s="14">
        <v>111717</v>
      </c>
      <c r="F566" s="14">
        <v>15770496207</v>
      </c>
      <c r="G566" s="14">
        <v>514739863</v>
      </c>
      <c r="H566" s="28" t="s">
        <v>3803</v>
      </c>
      <c r="I566" s="28" t="s">
        <v>3803</v>
      </c>
      <c r="J566" s="3" t="s">
        <v>3804</v>
      </c>
      <c r="K566" s="15" t="s">
        <v>3805</v>
      </c>
      <c r="L566" s="25"/>
      <c r="N566" s="15" t="s">
        <v>3806</v>
      </c>
      <c r="P566" s="37" t="s">
        <v>25</v>
      </c>
    </row>
    <row r="567" spans="1:16">
      <c r="A567" s="14">
        <v>11166</v>
      </c>
      <c r="B567" s="14" t="s">
        <v>3807</v>
      </c>
      <c r="C567" s="14" t="s">
        <v>1220</v>
      </c>
      <c r="D567" s="4" t="s">
        <v>19</v>
      </c>
      <c r="E567" s="14">
        <v>111771</v>
      </c>
      <c r="F567" s="14">
        <v>15770542859</v>
      </c>
      <c r="G567" s="14">
        <v>514739838</v>
      </c>
      <c r="H567" s="28" t="s">
        <v>3808</v>
      </c>
      <c r="I567" s="28" t="s">
        <v>3808</v>
      </c>
      <c r="J567" s="3" t="s">
        <v>3809</v>
      </c>
      <c r="K567" s="15" t="s">
        <v>3810</v>
      </c>
      <c r="L567" s="25"/>
      <c r="N567" s="15" t="s">
        <v>3811</v>
      </c>
      <c r="P567" s="37" t="s">
        <v>25</v>
      </c>
    </row>
    <row r="568" spans="1:16">
      <c r="A568" s="14">
        <v>11167</v>
      </c>
      <c r="B568" s="14"/>
      <c r="C568" s="14" t="s">
        <v>1220</v>
      </c>
      <c r="D568" s="14"/>
      <c r="E568" s="14"/>
      <c r="F568" s="14"/>
      <c r="G568" s="14"/>
      <c r="H568" s="28"/>
      <c r="I568" s="28"/>
      <c r="L568" s="25"/>
    </row>
    <row r="569" spans="1:16">
      <c r="A569" s="14">
        <v>11168</v>
      </c>
      <c r="B569" s="14"/>
      <c r="C569" s="14" t="s">
        <v>1220</v>
      </c>
      <c r="D569" s="14"/>
      <c r="E569" s="14"/>
      <c r="F569" s="14"/>
      <c r="G569" s="14"/>
      <c r="H569" s="28"/>
      <c r="I569" s="28"/>
      <c r="L569" s="25"/>
    </row>
    <row r="570" spans="1:16">
      <c r="A570" s="14">
        <v>11169</v>
      </c>
      <c r="B570" s="14" t="s">
        <v>3812</v>
      </c>
      <c r="C570" s="14" t="s">
        <v>1220</v>
      </c>
      <c r="D570" s="4" t="s">
        <v>19</v>
      </c>
      <c r="E570" s="14">
        <v>111777</v>
      </c>
      <c r="F570" s="14">
        <v>15770544850</v>
      </c>
      <c r="G570" s="14">
        <v>514739852</v>
      </c>
      <c r="H570" s="28" t="s">
        <v>3813</v>
      </c>
      <c r="I570" s="28" t="s">
        <v>3813</v>
      </c>
      <c r="J570" s="3" t="s">
        <v>3814</v>
      </c>
      <c r="K570" s="15" t="s">
        <v>3815</v>
      </c>
      <c r="L570" s="25"/>
      <c r="N570" s="15" t="s">
        <v>3816</v>
      </c>
      <c r="P570" s="37" t="s">
        <v>25</v>
      </c>
    </row>
    <row r="571" spans="1:16">
      <c r="A571" s="14">
        <v>11170</v>
      </c>
      <c r="B571" s="14" t="s">
        <v>3817</v>
      </c>
      <c r="C571" s="14" t="s">
        <v>1220</v>
      </c>
      <c r="D571" s="4" t="s">
        <v>19</v>
      </c>
      <c r="E571" s="14">
        <v>111823</v>
      </c>
      <c r="F571" s="14">
        <v>15775262347</v>
      </c>
      <c r="G571" s="14">
        <v>514739861</v>
      </c>
      <c r="H571" s="28" t="s">
        <v>3818</v>
      </c>
      <c r="I571" s="28" t="s">
        <v>3818</v>
      </c>
      <c r="J571" s="3" t="s">
        <v>3819</v>
      </c>
      <c r="K571" s="15" t="s">
        <v>3820</v>
      </c>
      <c r="L571" s="25"/>
      <c r="N571" s="15" t="s">
        <v>3821</v>
      </c>
      <c r="P571" s="37" t="s">
        <v>25</v>
      </c>
    </row>
    <row r="572" spans="1:16">
      <c r="A572" s="14">
        <v>11171</v>
      </c>
      <c r="B572" s="14" t="s">
        <v>3822</v>
      </c>
      <c r="C572" s="14" t="s">
        <v>1220</v>
      </c>
      <c r="D572" s="4" t="s">
        <v>19</v>
      </c>
      <c r="E572" s="14">
        <v>111723</v>
      </c>
      <c r="F572" s="14">
        <v>15770496213</v>
      </c>
      <c r="G572" s="14">
        <v>514739767</v>
      </c>
      <c r="H572" s="28" t="s">
        <v>3823</v>
      </c>
      <c r="I572" s="28" t="s">
        <v>3823</v>
      </c>
      <c r="J572" s="3" t="s">
        <v>3824</v>
      </c>
      <c r="K572" s="15" t="s">
        <v>3825</v>
      </c>
      <c r="L572" s="25"/>
      <c r="N572" s="15" t="s">
        <v>3826</v>
      </c>
      <c r="P572" s="37" t="s">
        <v>25</v>
      </c>
    </row>
    <row r="573" spans="1:16">
      <c r="A573" s="14">
        <v>11172</v>
      </c>
      <c r="B573" s="14" t="s">
        <v>3827</v>
      </c>
      <c r="C573" s="14" t="s">
        <v>1220</v>
      </c>
      <c r="D573" s="4" t="s">
        <v>19</v>
      </c>
      <c r="E573" s="14">
        <v>111894</v>
      </c>
      <c r="F573" s="14">
        <v>15775598837</v>
      </c>
      <c r="G573" s="14">
        <v>514739901</v>
      </c>
      <c r="H573" s="28" t="s">
        <v>3828</v>
      </c>
      <c r="I573" s="28" t="s">
        <v>3828</v>
      </c>
      <c r="J573" s="3" t="s">
        <v>3829</v>
      </c>
      <c r="K573" s="15" t="s">
        <v>3830</v>
      </c>
      <c r="L573" s="25"/>
      <c r="N573" s="15" t="s">
        <v>3831</v>
      </c>
      <c r="P573" s="37" t="s">
        <v>25</v>
      </c>
    </row>
    <row r="574" spans="1:16">
      <c r="A574" s="14">
        <v>11173</v>
      </c>
      <c r="B574" s="14"/>
      <c r="C574" s="14" t="s">
        <v>1220</v>
      </c>
      <c r="D574" s="14"/>
      <c r="E574" s="14"/>
      <c r="F574" s="14"/>
      <c r="G574" s="14"/>
      <c r="H574" s="28"/>
      <c r="I574" s="28"/>
      <c r="L574" s="25"/>
    </row>
    <row r="575" spans="1:16">
      <c r="A575" s="14">
        <v>11174</v>
      </c>
      <c r="B575" s="14"/>
      <c r="C575" s="14" t="s">
        <v>1220</v>
      </c>
      <c r="D575" s="14"/>
      <c r="E575" s="14"/>
      <c r="F575" s="14"/>
      <c r="G575" s="14"/>
      <c r="H575" s="28"/>
      <c r="I575" s="28"/>
      <c r="L575" s="25"/>
    </row>
    <row r="576" spans="1:16">
      <c r="A576" s="14">
        <v>11175</v>
      </c>
      <c r="B576" s="14" t="s">
        <v>3832</v>
      </c>
      <c r="C576" s="14" t="s">
        <v>1220</v>
      </c>
      <c r="D576" s="4" t="s">
        <v>19</v>
      </c>
      <c r="E576" s="14">
        <v>110091</v>
      </c>
      <c r="F576" s="14">
        <v>14742926838</v>
      </c>
      <c r="G576" s="14">
        <v>501459321</v>
      </c>
      <c r="H576" s="28" t="s">
        <v>3833</v>
      </c>
      <c r="I576" s="28" t="s">
        <v>3833</v>
      </c>
      <c r="J576" s="3" t="s">
        <v>3834</v>
      </c>
      <c r="K576" s="15" t="s">
        <v>3835</v>
      </c>
      <c r="L576" s="25"/>
      <c r="N576" s="15" t="s">
        <v>3836</v>
      </c>
      <c r="P576" s="37" t="s">
        <v>25</v>
      </c>
    </row>
    <row r="577" spans="1:16">
      <c r="A577" s="14">
        <v>11176</v>
      </c>
      <c r="B577" s="14" t="s">
        <v>1979</v>
      </c>
      <c r="C577" s="14" t="s">
        <v>1220</v>
      </c>
      <c r="D577" s="4" t="s">
        <v>19</v>
      </c>
      <c r="E577" s="14">
        <v>109472</v>
      </c>
      <c r="F577" s="14">
        <v>14295524490</v>
      </c>
      <c r="G577" s="14">
        <v>495621063</v>
      </c>
      <c r="H577" s="28" t="s">
        <v>1980</v>
      </c>
      <c r="I577" s="28" t="s">
        <v>1980</v>
      </c>
      <c r="J577" s="3" t="s">
        <v>1981</v>
      </c>
      <c r="K577" s="15" t="s">
        <v>3837</v>
      </c>
      <c r="L577" s="25"/>
      <c r="N577" s="15" t="s">
        <v>3838</v>
      </c>
      <c r="P577" s="37" t="s">
        <v>25</v>
      </c>
    </row>
    <row r="578" spans="1:16">
      <c r="A578" s="14">
        <v>11177</v>
      </c>
      <c r="B578" s="14" t="s">
        <v>3839</v>
      </c>
      <c r="C578" s="14" t="s">
        <v>1220</v>
      </c>
      <c r="D578" s="4" t="s">
        <v>19</v>
      </c>
      <c r="E578" s="14">
        <v>111764</v>
      </c>
      <c r="F578" s="14">
        <v>15770540343</v>
      </c>
      <c r="G578" s="14">
        <v>514739917</v>
      </c>
      <c r="H578" s="28" t="s">
        <v>3840</v>
      </c>
      <c r="I578" s="28" t="s">
        <v>3840</v>
      </c>
      <c r="J578" s="3" t="s">
        <v>3841</v>
      </c>
      <c r="K578" s="15" t="s">
        <v>3842</v>
      </c>
      <c r="L578" s="25"/>
      <c r="N578" s="15" t="s">
        <v>3843</v>
      </c>
      <c r="P578" s="37" t="s">
        <v>25</v>
      </c>
    </row>
    <row r="579" spans="1:16">
      <c r="A579" s="14">
        <v>11178</v>
      </c>
      <c r="B579" s="14" t="s">
        <v>2026</v>
      </c>
      <c r="C579" s="14" t="s">
        <v>1220</v>
      </c>
      <c r="D579" s="4" t="s">
        <v>19</v>
      </c>
      <c r="E579" s="14">
        <v>111765</v>
      </c>
      <c r="F579" s="14">
        <v>15770540527</v>
      </c>
      <c r="G579" s="14">
        <v>514739735</v>
      </c>
      <c r="H579" s="28" t="s">
        <v>3844</v>
      </c>
      <c r="I579" s="28" t="s">
        <v>3844</v>
      </c>
      <c r="J579" s="3" t="s">
        <v>2026</v>
      </c>
      <c r="K579" s="15" t="s">
        <v>3845</v>
      </c>
      <c r="L579" s="25"/>
      <c r="N579" s="15" t="s">
        <v>3846</v>
      </c>
      <c r="P579" s="37" t="s">
        <v>25</v>
      </c>
    </row>
    <row r="580" spans="1:16">
      <c r="A580" s="14">
        <v>11179</v>
      </c>
      <c r="B580" s="14"/>
      <c r="C580" s="14" t="s">
        <v>1220</v>
      </c>
      <c r="D580" s="14"/>
      <c r="E580" s="14"/>
      <c r="F580" s="14"/>
      <c r="G580" s="14"/>
      <c r="H580" s="28"/>
      <c r="I580" s="28"/>
      <c r="L580" s="25"/>
    </row>
    <row r="581" spans="1:16">
      <c r="A581" s="14">
        <v>11180</v>
      </c>
      <c r="B581" s="14"/>
      <c r="C581" s="14" t="s">
        <v>1220</v>
      </c>
      <c r="D581" s="14"/>
      <c r="E581" s="14"/>
      <c r="F581" s="14"/>
      <c r="G581" s="14"/>
      <c r="H581" s="28"/>
      <c r="I581" s="28"/>
      <c r="L581" s="25"/>
    </row>
    <row r="582" spans="1:16">
      <c r="A582" s="14">
        <v>11181</v>
      </c>
      <c r="B582" s="14" t="s">
        <v>2030</v>
      </c>
      <c r="C582" s="14" t="s">
        <v>1220</v>
      </c>
      <c r="D582" s="4" t="s">
        <v>19</v>
      </c>
      <c r="E582" s="14">
        <v>109547</v>
      </c>
      <c r="F582" s="14">
        <v>14295682280</v>
      </c>
      <c r="G582" s="14">
        <v>495621139</v>
      </c>
      <c r="H582" s="28" t="s">
        <v>2031</v>
      </c>
      <c r="I582" s="28" t="s">
        <v>2031</v>
      </c>
      <c r="J582" s="3" t="s">
        <v>2032</v>
      </c>
      <c r="K582" s="15" t="s">
        <v>3847</v>
      </c>
      <c r="L582" s="25"/>
      <c r="N582" s="15" t="s">
        <v>3848</v>
      </c>
      <c r="P582" s="37" t="s">
        <v>25</v>
      </c>
    </row>
    <row r="583" spans="1:16">
      <c r="A583" s="14">
        <v>11182</v>
      </c>
      <c r="B583" s="14" t="s">
        <v>2040</v>
      </c>
      <c r="C583" s="14" t="s">
        <v>1220</v>
      </c>
      <c r="D583" s="4" t="s">
        <v>19</v>
      </c>
      <c r="E583" s="14">
        <v>109591</v>
      </c>
      <c r="F583" s="14">
        <v>14299667370</v>
      </c>
      <c r="G583" s="14">
        <v>495621073</v>
      </c>
      <c r="H583" s="28" t="s">
        <v>2039</v>
      </c>
      <c r="I583" s="28" t="s">
        <v>2039</v>
      </c>
      <c r="J583" s="3" t="s">
        <v>2040</v>
      </c>
      <c r="K583" s="15" t="s">
        <v>3849</v>
      </c>
      <c r="L583" s="25"/>
      <c r="N583" s="15" t="s">
        <v>3850</v>
      </c>
      <c r="P583" s="37" t="s">
        <v>25</v>
      </c>
    </row>
    <row r="584" spans="1:16">
      <c r="A584" s="14">
        <v>11183</v>
      </c>
      <c r="B584" s="14" t="s">
        <v>3851</v>
      </c>
      <c r="C584" s="14" t="s">
        <v>1220</v>
      </c>
      <c r="D584" s="4" t="s">
        <v>19</v>
      </c>
      <c r="E584" s="14">
        <v>111794</v>
      </c>
      <c r="F584" s="14">
        <v>15771527072</v>
      </c>
      <c r="G584" s="14">
        <v>514739745</v>
      </c>
      <c r="H584" s="28" t="s">
        <v>3852</v>
      </c>
      <c r="I584" s="28" t="s">
        <v>3852</v>
      </c>
      <c r="J584" s="3" t="s">
        <v>3853</v>
      </c>
      <c r="K584" s="15" t="s">
        <v>3854</v>
      </c>
      <c r="L584" s="25"/>
      <c r="N584" s="15" t="s">
        <v>3855</v>
      </c>
      <c r="P584" s="37" t="s">
        <v>25</v>
      </c>
    </row>
    <row r="585" spans="1:16">
      <c r="A585" s="14">
        <v>11184</v>
      </c>
      <c r="B585" s="14"/>
      <c r="C585" s="14" t="s">
        <v>1220</v>
      </c>
      <c r="D585" s="14"/>
      <c r="E585" s="14"/>
      <c r="F585" s="14"/>
      <c r="G585" s="14"/>
      <c r="H585" s="28"/>
      <c r="I585" s="28"/>
      <c r="L585" s="25"/>
    </row>
    <row r="586" spans="1:16">
      <c r="A586" s="14">
        <v>11185</v>
      </c>
      <c r="B586" s="14"/>
      <c r="C586" s="14" t="s">
        <v>1220</v>
      </c>
      <c r="D586" s="14"/>
      <c r="E586" s="14"/>
      <c r="F586" s="14"/>
      <c r="G586" s="14"/>
      <c r="H586" s="28"/>
      <c r="I586" s="28"/>
      <c r="L586" s="25"/>
    </row>
    <row r="587" spans="1:16">
      <c r="A587" s="14">
        <v>11186</v>
      </c>
      <c r="B587" s="14" t="s">
        <v>2019</v>
      </c>
      <c r="C587" s="14" t="s">
        <v>1220</v>
      </c>
      <c r="D587" s="4" t="s">
        <v>19</v>
      </c>
      <c r="E587" s="14">
        <v>109530</v>
      </c>
      <c r="F587" s="14">
        <v>14295608426</v>
      </c>
      <c r="G587" s="14">
        <v>495621140</v>
      </c>
      <c r="H587" s="28" t="s">
        <v>2020</v>
      </c>
      <c r="I587" s="28" t="s">
        <v>2020</v>
      </c>
      <c r="J587" s="3" t="s">
        <v>2021</v>
      </c>
      <c r="K587" s="15" t="s">
        <v>3856</v>
      </c>
      <c r="L587" s="25"/>
      <c r="N587" s="15" t="s">
        <v>3857</v>
      </c>
      <c r="P587" s="37" t="s">
        <v>25</v>
      </c>
    </row>
    <row r="588" spans="1:16">
      <c r="A588" s="14">
        <v>11187</v>
      </c>
      <c r="B588" s="14" t="s">
        <v>3858</v>
      </c>
      <c r="C588" s="14" t="s">
        <v>1220</v>
      </c>
      <c r="D588" s="4" t="s">
        <v>19</v>
      </c>
      <c r="E588" s="14">
        <v>111898</v>
      </c>
      <c r="F588" s="14">
        <v>15775623973</v>
      </c>
      <c r="G588" s="14">
        <v>514739927</v>
      </c>
      <c r="H588" s="28" t="s">
        <v>3859</v>
      </c>
      <c r="I588" s="28" t="s">
        <v>3859</v>
      </c>
      <c r="J588" s="3" t="s">
        <v>3858</v>
      </c>
      <c r="K588" s="15" t="s">
        <v>3860</v>
      </c>
      <c r="L588" s="25"/>
      <c r="N588" s="15" t="s">
        <v>3861</v>
      </c>
      <c r="P588" s="37" t="s">
        <v>25</v>
      </c>
    </row>
    <row r="589" spans="1:16">
      <c r="A589" s="14">
        <v>11188</v>
      </c>
      <c r="B589" s="14" t="s">
        <v>3862</v>
      </c>
      <c r="C589" s="14" t="s">
        <v>1220</v>
      </c>
      <c r="D589" s="4" t="s">
        <v>19</v>
      </c>
      <c r="E589" s="14">
        <v>111825</v>
      </c>
      <c r="F589" s="14">
        <v>15775284107</v>
      </c>
      <c r="G589" s="14">
        <v>514739928</v>
      </c>
      <c r="H589" s="28" t="s">
        <v>3863</v>
      </c>
      <c r="I589" s="28" t="s">
        <v>3863</v>
      </c>
      <c r="J589" s="3" t="s">
        <v>3864</v>
      </c>
      <c r="K589" s="15" t="s">
        <v>3865</v>
      </c>
      <c r="L589" s="25"/>
      <c r="N589" s="15" t="s">
        <v>3866</v>
      </c>
      <c r="P589" s="37" t="s">
        <v>25</v>
      </c>
    </row>
    <row r="590" spans="1:16">
      <c r="A590" s="14">
        <v>11189</v>
      </c>
      <c r="B590" s="14" t="s">
        <v>3867</v>
      </c>
      <c r="C590" s="14" t="s">
        <v>1220</v>
      </c>
      <c r="D590" s="4" t="s">
        <v>19</v>
      </c>
      <c r="E590" s="14">
        <v>111820</v>
      </c>
      <c r="F590" s="14">
        <v>15775251693</v>
      </c>
      <c r="G590" s="14">
        <v>514739867</v>
      </c>
      <c r="H590" s="28" t="s">
        <v>3868</v>
      </c>
      <c r="I590" s="28" t="s">
        <v>3868</v>
      </c>
      <c r="J590" s="3" t="s">
        <v>3869</v>
      </c>
      <c r="K590" s="15" t="s">
        <v>3870</v>
      </c>
      <c r="L590" s="25"/>
      <c r="N590" s="15" t="s">
        <v>3871</v>
      </c>
      <c r="P590" s="37" t="s">
        <v>25</v>
      </c>
    </row>
    <row r="591" spans="1:16">
      <c r="A591" s="14">
        <v>11190</v>
      </c>
      <c r="B591" s="14" t="s">
        <v>3872</v>
      </c>
      <c r="C591" s="14" t="s">
        <v>1220</v>
      </c>
      <c r="D591" s="4" t="s">
        <v>19</v>
      </c>
      <c r="E591" s="14">
        <v>111829</v>
      </c>
      <c r="F591" s="14">
        <v>15775300221</v>
      </c>
      <c r="G591" s="14">
        <v>514739762</v>
      </c>
      <c r="H591" s="28" t="s">
        <v>3873</v>
      </c>
      <c r="I591" s="28" t="s">
        <v>3873</v>
      </c>
      <c r="J591" s="3" t="s">
        <v>3874</v>
      </c>
      <c r="K591" s="15" t="s">
        <v>3875</v>
      </c>
      <c r="L591" s="25"/>
      <c r="N591" s="15" t="s">
        <v>3876</v>
      </c>
      <c r="P591" s="37" t="s">
        <v>25</v>
      </c>
    </row>
    <row r="592" spans="1:16">
      <c r="A592" s="14">
        <v>11191</v>
      </c>
      <c r="B592" s="14" t="s">
        <v>3877</v>
      </c>
      <c r="C592" s="14" t="s">
        <v>1220</v>
      </c>
      <c r="D592" s="4" t="s">
        <v>19</v>
      </c>
      <c r="E592" s="14">
        <v>111885</v>
      </c>
      <c r="F592" s="14">
        <v>15775565269</v>
      </c>
      <c r="G592" s="14">
        <v>514739773</v>
      </c>
      <c r="H592" s="28" t="s">
        <v>3878</v>
      </c>
      <c r="I592" s="28" t="s">
        <v>3878</v>
      </c>
      <c r="J592" s="3" t="s">
        <v>3879</v>
      </c>
      <c r="K592" s="15" t="s">
        <v>3880</v>
      </c>
      <c r="L592" s="25"/>
      <c r="N592" s="15" t="s">
        <v>3881</v>
      </c>
      <c r="P592" s="37" t="s">
        <v>25</v>
      </c>
    </row>
    <row r="593" spans="1:16">
      <c r="A593" s="14">
        <v>11192</v>
      </c>
      <c r="B593" s="14" t="s">
        <v>3882</v>
      </c>
      <c r="C593" s="14" t="s">
        <v>1220</v>
      </c>
      <c r="D593" s="4" t="s">
        <v>19</v>
      </c>
      <c r="E593" s="14">
        <v>111712</v>
      </c>
      <c r="F593" s="14">
        <v>15770487608</v>
      </c>
      <c r="G593" s="14">
        <v>514739893</v>
      </c>
      <c r="H593" s="28" t="s">
        <v>3883</v>
      </c>
      <c r="I593" s="28" t="s">
        <v>3883</v>
      </c>
      <c r="J593" s="3" t="s">
        <v>3884</v>
      </c>
      <c r="K593" s="15" t="s">
        <v>3885</v>
      </c>
      <c r="L593" s="25"/>
      <c r="N593" s="15" t="s">
        <v>3886</v>
      </c>
      <c r="P593" s="37" t="s">
        <v>25</v>
      </c>
    </row>
    <row r="594" spans="1:16">
      <c r="A594" s="14">
        <v>11193</v>
      </c>
      <c r="B594" s="14"/>
      <c r="C594" s="14" t="s">
        <v>1220</v>
      </c>
      <c r="D594" s="14"/>
      <c r="E594" s="14"/>
      <c r="F594" s="14"/>
      <c r="G594" s="14"/>
      <c r="H594" s="28"/>
      <c r="I594" s="28"/>
      <c r="L594" s="25"/>
    </row>
    <row r="595" spans="1:16">
      <c r="A595" s="14">
        <v>11194</v>
      </c>
      <c r="B595" s="14"/>
      <c r="C595" s="14" t="s">
        <v>1220</v>
      </c>
      <c r="D595" s="14"/>
      <c r="E595" s="14"/>
      <c r="F595" s="14"/>
      <c r="G595" s="14"/>
      <c r="H595" s="28"/>
      <c r="I595" s="28"/>
      <c r="L595" s="25"/>
    </row>
    <row r="596" spans="1:16">
      <c r="A596" s="14">
        <v>11195</v>
      </c>
      <c r="B596" s="14"/>
      <c r="C596" s="14" t="s">
        <v>1220</v>
      </c>
      <c r="D596" s="14"/>
      <c r="E596" s="14"/>
      <c r="F596" s="14"/>
      <c r="G596" s="14"/>
      <c r="H596" s="28"/>
      <c r="I596" s="28"/>
      <c r="L596" s="25"/>
    </row>
    <row r="597" spans="1:16">
      <c r="A597" s="14">
        <v>11196</v>
      </c>
      <c r="B597" s="14"/>
      <c r="C597" s="14" t="s">
        <v>1220</v>
      </c>
      <c r="D597" s="14"/>
      <c r="E597" s="14"/>
      <c r="F597" s="14"/>
      <c r="G597" s="14"/>
      <c r="H597" s="28"/>
      <c r="I597" s="28"/>
      <c r="L597" s="25"/>
    </row>
    <row r="598" spans="1:16">
      <c r="A598" s="14">
        <v>11197</v>
      </c>
      <c r="B598" s="14" t="s">
        <v>2074</v>
      </c>
      <c r="C598" s="14" t="s">
        <v>1220</v>
      </c>
      <c r="D598" s="4" t="s">
        <v>19</v>
      </c>
      <c r="E598" s="14">
        <v>109558</v>
      </c>
      <c r="F598" s="14">
        <v>14295774168</v>
      </c>
      <c r="G598" s="14">
        <v>495621061</v>
      </c>
      <c r="H598" s="28" t="s">
        <v>2075</v>
      </c>
      <c r="I598" s="28" t="s">
        <v>2075</v>
      </c>
      <c r="J598" s="3" t="s">
        <v>2076</v>
      </c>
      <c r="K598" s="15" t="s">
        <v>3887</v>
      </c>
      <c r="L598" s="25"/>
      <c r="N598" s="15" t="s">
        <v>3888</v>
      </c>
      <c r="P598" s="37" t="s">
        <v>25</v>
      </c>
    </row>
    <row r="599" spans="1:16">
      <c r="A599" s="14">
        <v>11198</v>
      </c>
      <c r="B599" s="14" t="s">
        <v>3889</v>
      </c>
      <c r="C599" s="14" t="s">
        <v>1220</v>
      </c>
      <c r="D599" s="4" t="s">
        <v>19</v>
      </c>
      <c r="E599" s="14">
        <v>111699</v>
      </c>
      <c r="F599" s="14">
        <v>15770479226</v>
      </c>
      <c r="G599" s="14">
        <v>514739896</v>
      </c>
      <c r="H599" s="28" t="s">
        <v>3890</v>
      </c>
      <c r="I599" s="28" t="s">
        <v>3890</v>
      </c>
      <c r="J599" s="3" t="s">
        <v>3891</v>
      </c>
      <c r="K599" s="15" t="s">
        <v>3892</v>
      </c>
      <c r="L599" s="25"/>
      <c r="N599" s="15" t="s">
        <v>3893</v>
      </c>
      <c r="P599" s="37" t="s">
        <v>25</v>
      </c>
    </row>
    <row r="600" spans="1:16">
      <c r="A600" s="14">
        <v>11199</v>
      </c>
      <c r="B600" s="14"/>
      <c r="C600" s="14" t="s">
        <v>1220</v>
      </c>
      <c r="D600" s="14"/>
      <c r="E600" s="14"/>
      <c r="F600" s="14"/>
      <c r="G600" s="14"/>
      <c r="H600" s="28"/>
      <c r="I600" s="28"/>
      <c r="L600" s="25"/>
    </row>
    <row r="601" spans="1:16">
      <c r="A601" s="14">
        <v>11200</v>
      </c>
      <c r="B601" s="14"/>
      <c r="C601" s="14" t="s">
        <v>1220</v>
      </c>
      <c r="D601" s="14"/>
      <c r="E601" s="14"/>
      <c r="F601" s="14"/>
      <c r="G601" s="14"/>
      <c r="H601" s="28"/>
      <c r="I601" s="28"/>
      <c r="L601" s="25"/>
    </row>
    <row r="602" spans="1:16">
      <c r="A602" s="14">
        <v>11201</v>
      </c>
      <c r="B602" s="14" t="s">
        <v>3894</v>
      </c>
      <c r="C602" s="14" t="s">
        <v>1220</v>
      </c>
      <c r="D602" s="4" t="s">
        <v>19</v>
      </c>
      <c r="E602" s="14">
        <v>111741</v>
      </c>
      <c r="F602" s="14">
        <v>15770523149</v>
      </c>
      <c r="G602" s="14">
        <v>514739864</v>
      </c>
      <c r="H602" s="28" t="s">
        <v>3895</v>
      </c>
      <c r="I602" s="28" t="s">
        <v>3895</v>
      </c>
      <c r="J602" s="3" t="s">
        <v>3896</v>
      </c>
      <c r="K602" s="15" t="s">
        <v>3897</v>
      </c>
      <c r="L602" s="25"/>
      <c r="N602" s="15" t="s">
        <v>3898</v>
      </c>
      <c r="P602" s="37" t="s">
        <v>25</v>
      </c>
    </row>
    <row r="603" spans="1:16">
      <c r="A603" s="14">
        <v>11202</v>
      </c>
      <c r="B603" s="14"/>
      <c r="C603" s="14" t="s">
        <v>1220</v>
      </c>
      <c r="D603" s="14"/>
      <c r="E603" s="14"/>
      <c r="F603" s="14"/>
      <c r="G603" s="14"/>
      <c r="H603" s="28"/>
      <c r="I603" s="28"/>
      <c r="L603" s="25"/>
    </row>
    <row r="604" spans="1:16">
      <c r="A604" s="14">
        <v>11203</v>
      </c>
      <c r="B604" s="14"/>
      <c r="C604" s="14" t="s">
        <v>1220</v>
      </c>
      <c r="D604" s="14"/>
      <c r="E604" s="14"/>
      <c r="F604" s="14"/>
      <c r="G604" s="14"/>
      <c r="H604" s="28"/>
      <c r="I604" s="28"/>
      <c r="L604" s="25"/>
    </row>
    <row r="605" spans="1:16">
      <c r="A605" s="14">
        <v>11204</v>
      </c>
      <c r="B605" s="14"/>
      <c r="C605" s="14" t="s">
        <v>1220</v>
      </c>
      <c r="D605" s="14"/>
      <c r="E605" s="14"/>
      <c r="F605" s="14"/>
      <c r="G605" s="14"/>
      <c r="H605" s="28"/>
      <c r="I605" s="28"/>
      <c r="L605" s="25"/>
    </row>
    <row r="606" spans="1:16">
      <c r="A606" s="14">
        <v>11205</v>
      </c>
      <c r="B606" s="14"/>
      <c r="C606" s="14" t="s">
        <v>1220</v>
      </c>
      <c r="D606" s="14"/>
      <c r="E606" s="14"/>
      <c r="F606" s="14"/>
      <c r="G606" s="14"/>
      <c r="H606" s="28"/>
      <c r="I606" s="28"/>
      <c r="L606" s="25"/>
    </row>
    <row r="607" spans="1:16">
      <c r="A607" s="14">
        <v>11206</v>
      </c>
      <c r="B607" s="14"/>
      <c r="C607" s="14" t="s">
        <v>1220</v>
      </c>
      <c r="D607" s="14"/>
      <c r="E607" s="14"/>
      <c r="F607" s="14"/>
      <c r="G607" s="14"/>
      <c r="H607" s="28"/>
      <c r="I607" s="28"/>
      <c r="L607" s="25"/>
    </row>
    <row r="608" spans="1:16">
      <c r="A608" s="14">
        <v>11207</v>
      </c>
      <c r="B608" s="14" t="s">
        <v>2142</v>
      </c>
      <c r="C608" s="14" t="s">
        <v>1220</v>
      </c>
      <c r="D608" s="4" t="s">
        <v>19</v>
      </c>
      <c r="E608" s="14">
        <v>108977</v>
      </c>
      <c r="F608" s="14">
        <v>13818431583</v>
      </c>
      <c r="G608" s="14">
        <v>489011246</v>
      </c>
      <c r="H608" s="28" t="s">
        <v>2143</v>
      </c>
      <c r="I608" s="28" t="s">
        <v>2143</v>
      </c>
      <c r="J608" s="3" t="s">
        <v>2144</v>
      </c>
      <c r="K608" s="15" t="s">
        <v>3899</v>
      </c>
      <c r="L608" s="25"/>
      <c r="N608" s="15" t="s">
        <v>3900</v>
      </c>
      <c r="P608" s="37" t="s">
        <v>25</v>
      </c>
    </row>
    <row r="609" spans="1:16">
      <c r="A609" s="14">
        <v>11208</v>
      </c>
      <c r="B609" s="14" t="s">
        <v>3901</v>
      </c>
      <c r="C609" s="14" t="s">
        <v>1220</v>
      </c>
      <c r="D609" s="4" t="s">
        <v>19</v>
      </c>
      <c r="E609" s="14">
        <v>108972</v>
      </c>
      <c r="F609" s="14">
        <v>13818385759</v>
      </c>
      <c r="G609" s="14">
        <v>489011251</v>
      </c>
      <c r="H609" s="28" t="s">
        <v>2139</v>
      </c>
      <c r="I609" s="28" t="s">
        <v>2139</v>
      </c>
      <c r="J609" s="3" t="s">
        <v>2140</v>
      </c>
      <c r="K609" s="15" t="s">
        <v>3902</v>
      </c>
      <c r="L609" s="25"/>
      <c r="N609" s="15" t="s">
        <v>3903</v>
      </c>
      <c r="P609" s="37" t="s">
        <v>25</v>
      </c>
    </row>
    <row r="610" spans="1:16">
      <c r="A610" s="14">
        <v>11209</v>
      </c>
      <c r="B610" s="14"/>
      <c r="C610" s="14" t="s">
        <v>1220</v>
      </c>
      <c r="D610" s="14"/>
      <c r="E610" s="14"/>
      <c r="F610" s="14"/>
      <c r="G610" s="14"/>
      <c r="H610" s="28"/>
      <c r="I610" s="28"/>
      <c r="L610" s="25"/>
    </row>
    <row r="611" spans="1:16">
      <c r="A611" s="14">
        <v>11210</v>
      </c>
      <c r="B611" s="14"/>
      <c r="C611" s="14" t="s">
        <v>1220</v>
      </c>
      <c r="D611" s="14"/>
      <c r="E611" s="14"/>
      <c r="F611" s="14"/>
      <c r="G611" s="14"/>
      <c r="H611" s="28"/>
      <c r="I611" s="28"/>
      <c r="L611" s="25"/>
    </row>
    <row r="612" spans="1:16">
      <c r="A612" s="14">
        <v>11211</v>
      </c>
      <c r="B612" s="14"/>
      <c r="C612" s="14" t="s">
        <v>1220</v>
      </c>
      <c r="D612" s="14"/>
      <c r="E612" s="14"/>
      <c r="F612" s="14"/>
      <c r="G612" s="14"/>
      <c r="H612" s="28"/>
      <c r="I612" s="28"/>
      <c r="L612" s="25"/>
    </row>
    <row r="613" spans="1:16">
      <c r="A613" s="14">
        <v>11212</v>
      </c>
      <c r="B613" s="14" t="s">
        <v>2110</v>
      </c>
      <c r="C613" s="14" t="s">
        <v>1220</v>
      </c>
      <c r="D613" s="4" t="s">
        <v>19</v>
      </c>
      <c r="E613" s="14">
        <v>108971</v>
      </c>
      <c r="F613" s="14">
        <v>13818369240</v>
      </c>
      <c r="G613" s="14">
        <v>489011247</v>
      </c>
      <c r="H613" s="28" t="s">
        <v>2111</v>
      </c>
      <c r="I613" s="28" t="s">
        <v>2111</v>
      </c>
      <c r="J613" s="3" t="s">
        <v>2112</v>
      </c>
      <c r="K613" s="15" t="s">
        <v>3904</v>
      </c>
      <c r="L613" s="25"/>
      <c r="N613" s="15" t="s">
        <v>3905</v>
      </c>
      <c r="P613" s="37" t="s">
        <v>25</v>
      </c>
    </row>
    <row r="614" spans="1:16">
      <c r="A614" s="14">
        <v>11213</v>
      </c>
      <c r="B614" s="14" t="s">
        <v>2102</v>
      </c>
      <c r="C614" s="14" t="s">
        <v>1220</v>
      </c>
      <c r="D614" s="4" t="s">
        <v>19</v>
      </c>
      <c r="E614" s="14">
        <v>109526</v>
      </c>
      <c r="F614" s="14">
        <v>14295604746</v>
      </c>
      <c r="G614" s="14">
        <v>495621074</v>
      </c>
      <c r="H614" s="28" t="s">
        <v>2103</v>
      </c>
      <c r="I614" s="28" t="s">
        <v>2103</v>
      </c>
      <c r="J614" s="3" t="s">
        <v>2104</v>
      </c>
      <c r="K614" s="15" t="s">
        <v>3906</v>
      </c>
      <c r="L614" s="25"/>
      <c r="N614" s="15" t="s">
        <v>3907</v>
      </c>
      <c r="P614" s="37" t="s">
        <v>25</v>
      </c>
    </row>
    <row r="615" spans="1:16">
      <c r="A615" s="14">
        <v>11214</v>
      </c>
      <c r="B615" s="14" t="s">
        <v>2106</v>
      </c>
      <c r="C615" s="14" t="s">
        <v>1220</v>
      </c>
      <c r="D615" s="4" t="s">
        <v>19</v>
      </c>
      <c r="E615" s="14">
        <v>108973</v>
      </c>
      <c r="F615" s="14">
        <v>13818403734</v>
      </c>
      <c r="G615" s="14">
        <v>489011250</v>
      </c>
      <c r="H615" s="28" t="s">
        <v>2107</v>
      </c>
      <c r="I615" s="28" t="s">
        <v>2107</v>
      </c>
      <c r="J615" s="3" t="s">
        <v>2108</v>
      </c>
      <c r="K615" s="15" t="s">
        <v>3908</v>
      </c>
      <c r="L615" s="25"/>
      <c r="N615" s="15" t="s">
        <v>3909</v>
      </c>
      <c r="P615" s="37" t="s">
        <v>25</v>
      </c>
    </row>
    <row r="616" spans="1:16">
      <c r="A616" s="14">
        <v>11215</v>
      </c>
      <c r="B616" s="14" t="s">
        <v>3910</v>
      </c>
      <c r="C616" s="14" t="s">
        <v>1220</v>
      </c>
      <c r="D616" s="4" t="s">
        <v>19</v>
      </c>
      <c r="E616" s="14">
        <v>111843</v>
      </c>
      <c r="F616" s="14">
        <v>15775357186</v>
      </c>
      <c r="G616" s="14">
        <v>514739741</v>
      </c>
      <c r="H616" s="28" t="s">
        <v>3911</v>
      </c>
      <c r="I616" s="28" t="s">
        <v>3911</v>
      </c>
      <c r="J616" s="3" t="s">
        <v>3912</v>
      </c>
      <c r="K616" s="15" t="s">
        <v>3913</v>
      </c>
      <c r="L616" s="25"/>
      <c r="N616" s="15" t="s">
        <v>3914</v>
      </c>
      <c r="P616" s="37" t="s">
        <v>25</v>
      </c>
    </row>
    <row r="617" spans="1:16">
      <c r="A617" s="14">
        <v>11216</v>
      </c>
      <c r="B617" s="14" t="s">
        <v>3915</v>
      </c>
      <c r="C617" s="14" t="s">
        <v>1220</v>
      </c>
      <c r="D617" s="4" t="s">
        <v>19</v>
      </c>
      <c r="E617" s="14">
        <v>111854</v>
      </c>
      <c r="F617" s="14">
        <v>15775393961</v>
      </c>
      <c r="G617" s="14">
        <v>514739831</v>
      </c>
      <c r="H617" s="28" t="s">
        <v>3916</v>
      </c>
      <c r="I617" s="28" t="s">
        <v>3916</v>
      </c>
      <c r="J617" s="3" t="s">
        <v>3917</v>
      </c>
      <c r="K617" s="15" t="s">
        <v>3918</v>
      </c>
      <c r="L617" s="25"/>
      <c r="N617" s="15" t="s">
        <v>3919</v>
      </c>
      <c r="P617" s="37" t="s">
        <v>25</v>
      </c>
    </row>
    <row r="618" spans="1:16">
      <c r="A618" s="14">
        <v>11217</v>
      </c>
      <c r="B618" s="14" t="s">
        <v>3920</v>
      </c>
      <c r="C618" s="14" t="s">
        <v>1220</v>
      </c>
      <c r="D618" s="4" t="s">
        <v>19</v>
      </c>
      <c r="E618" s="14">
        <v>111859</v>
      </c>
      <c r="F618" s="14">
        <v>15775421053</v>
      </c>
      <c r="G618" s="14">
        <v>514739856</v>
      </c>
      <c r="H618" s="28" t="s">
        <v>3921</v>
      </c>
      <c r="I618" s="28" t="s">
        <v>3921</v>
      </c>
      <c r="J618" s="3" t="s">
        <v>3922</v>
      </c>
      <c r="K618" s="15" t="s">
        <v>3923</v>
      </c>
      <c r="L618" s="25"/>
      <c r="N618" s="15" t="s">
        <v>3924</v>
      </c>
      <c r="P618" s="37" t="s">
        <v>25</v>
      </c>
    </row>
    <row r="619" spans="1:16">
      <c r="A619" s="14">
        <v>11218</v>
      </c>
      <c r="B619" s="14"/>
      <c r="C619" s="14" t="s">
        <v>1220</v>
      </c>
      <c r="D619" s="14"/>
      <c r="E619" s="14"/>
      <c r="F619" s="14"/>
      <c r="G619" s="14"/>
      <c r="H619" s="28"/>
      <c r="I619" s="28"/>
      <c r="L619" s="25"/>
    </row>
    <row r="620" spans="1:16">
      <c r="A620" s="14">
        <v>11219</v>
      </c>
      <c r="B620" s="14"/>
      <c r="C620" s="14" t="s">
        <v>1220</v>
      </c>
      <c r="D620" s="14"/>
      <c r="E620" s="14"/>
      <c r="F620" s="14"/>
      <c r="G620" s="14"/>
      <c r="H620" s="28"/>
      <c r="I620" s="28"/>
      <c r="L620" s="25"/>
    </row>
    <row r="621" spans="1:16">
      <c r="A621" s="14">
        <v>11220</v>
      </c>
      <c r="B621" s="14" t="s">
        <v>3925</v>
      </c>
      <c r="C621" s="14" t="s">
        <v>1220</v>
      </c>
      <c r="D621" s="4" t="s">
        <v>19</v>
      </c>
      <c r="E621" s="14">
        <v>108974</v>
      </c>
      <c r="F621" s="14">
        <v>13818413479</v>
      </c>
      <c r="G621" s="14">
        <v>489011253</v>
      </c>
      <c r="H621" s="28" t="s">
        <v>2135</v>
      </c>
      <c r="I621" s="28" t="s">
        <v>2135</v>
      </c>
      <c r="J621" s="3" t="s">
        <v>2136</v>
      </c>
      <c r="K621" s="15" t="s">
        <v>3926</v>
      </c>
      <c r="L621" s="25"/>
      <c r="N621" s="15" t="s">
        <v>3927</v>
      </c>
      <c r="P621" s="37" t="s">
        <v>25</v>
      </c>
    </row>
    <row r="622" spans="1:16">
      <c r="A622" s="14">
        <v>11221</v>
      </c>
      <c r="B622" s="14" t="s">
        <v>2126</v>
      </c>
      <c r="C622" s="14" t="s">
        <v>1220</v>
      </c>
      <c r="D622" s="4" t="s">
        <v>19</v>
      </c>
      <c r="E622" s="14">
        <v>108976</v>
      </c>
      <c r="F622" s="14">
        <v>13818427018</v>
      </c>
      <c r="G622" s="14">
        <v>489011259</v>
      </c>
      <c r="H622" s="28" t="s">
        <v>2127</v>
      </c>
      <c r="I622" s="28" t="s">
        <v>2127</v>
      </c>
      <c r="J622" s="3" t="s">
        <v>2128</v>
      </c>
      <c r="K622" s="15" t="s">
        <v>3928</v>
      </c>
      <c r="L622" s="25"/>
      <c r="N622" s="15" t="s">
        <v>3929</v>
      </c>
      <c r="P622" s="37" t="s">
        <v>25</v>
      </c>
    </row>
    <row r="623" spans="1:16">
      <c r="A623" s="14">
        <v>11222</v>
      </c>
      <c r="B623" s="14" t="s">
        <v>2158</v>
      </c>
      <c r="C623" s="14" t="s">
        <v>1220</v>
      </c>
      <c r="D623" s="4" t="s">
        <v>19</v>
      </c>
      <c r="E623" s="14">
        <v>111861</v>
      </c>
      <c r="F623" s="14">
        <v>15775421055</v>
      </c>
      <c r="G623" s="14">
        <v>514739845</v>
      </c>
      <c r="H623" s="28" t="s">
        <v>3930</v>
      </c>
      <c r="I623" s="28" t="s">
        <v>3930</v>
      </c>
      <c r="J623" s="3" t="s">
        <v>3931</v>
      </c>
      <c r="K623" s="15" t="s">
        <v>3932</v>
      </c>
      <c r="L623" s="25"/>
      <c r="N623" s="15" t="s">
        <v>3933</v>
      </c>
      <c r="P623" s="37" t="s">
        <v>25</v>
      </c>
    </row>
    <row r="624" spans="1:16">
      <c r="A624" s="14">
        <v>11223</v>
      </c>
      <c r="B624" s="14" t="s">
        <v>3934</v>
      </c>
      <c r="C624" s="14" t="s">
        <v>1220</v>
      </c>
      <c r="D624" s="4" t="s">
        <v>19</v>
      </c>
      <c r="E624" s="14">
        <v>111810</v>
      </c>
      <c r="F624" s="14">
        <v>15771909876</v>
      </c>
      <c r="G624" s="14">
        <v>514739820</v>
      </c>
      <c r="H624" s="28" t="s">
        <v>3935</v>
      </c>
      <c r="I624" s="28" t="s">
        <v>3935</v>
      </c>
      <c r="J624" s="3" t="s">
        <v>3936</v>
      </c>
      <c r="K624" s="15" t="s">
        <v>3937</v>
      </c>
      <c r="L624" s="25"/>
      <c r="N624" s="15" t="s">
        <v>3938</v>
      </c>
      <c r="P624" s="37" t="s">
        <v>25</v>
      </c>
    </row>
    <row r="625" spans="1:16">
      <c r="A625" s="14">
        <v>11224</v>
      </c>
      <c r="B625" s="14" t="s">
        <v>3939</v>
      </c>
      <c r="C625" s="14" t="s">
        <v>1220</v>
      </c>
      <c r="D625" s="4" t="s">
        <v>19</v>
      </c>
      <c r="E625" s="14">
        <v>111711</v>
      </c>
      <c r="F625" s="14">
        <v>15770486921</v>
      </c>
      <c r="G625" s="14">
        <v>514739812</v>
      </c>
      <c r="H625" s="28" t="s">
        <v>3940</v>
      </c>
      <c r="I625" s="28" t="s">
        <v>3940</v>
      </c>
      <c r="J625" s="3" t="s">
        <v>3941</v>
      </c>
      <c r="K625" s="15" t="s">
        <v>3942</v>
      </c>
      <c r="L625" s="25"/>
      <c r="N625" s="15" t="s">
        <v>3943</v>
      </c>
      <c r="P625" s="37" t="s">
        <v>25</v>
      </c>
    </row>
    <row r="626" spans="1:16">
      <c r="A626" s="14">
        <v>11225</v>
      </c>
      <c r="B626" s="14"/>
      <c r="C626" s="14" t="s">
        <v>1220</v>
      </c>
      <c r="D626" s="14"/>
      <c r="E626" s="14"/>
      <c r="F626" s="14"/>
      <c r="G626" s="14"/>
      <c r="H626" s="28"/>
      <c r="I626" s="28"/>
      <c r="L626" s="25"/>
    </row>
    <row r="627" spans="1:16">
      <c r="A627" s="14">
        <v>11226</v>
      </c>
      <c r="B627" s="14"/>
      <c r="C627" s="14" t="s">
        <v>1220</v>
      </c>
      <c r="D627" s="14"/>
      <c r="E627" s="14"/>
      <c r="F627" s="14"/>
      <c r="G627" s="14"/>
      <c r="H627" s="28"/>
      <c r="I627" s="28"/>
      <c r="L627" s="25"/>
    </row>
    <row r="628" spans="1:16">
      <c r="A628" s="14">
        <v>11227</v>
      </c>
      <c r="B628" s="14" t="s">
        <v>3944</v>
      </c>
      <c r="C628" s="14" t="s">
        <v>1220</v>
      </c>
      <c r="D628" s="4" t="s">
        <v>19</v>
      </c>
      <c r="E628" s="14">
        <v>111695</v>
      </c>
      <c r="F628" s="14">
        <v>15770479111</v>
      </c>
      <c r="G628" s="14">
        <v>514739874</v>
      </c>
      <c r="H628" s="28" t="s">
        <v>3945</v>
      </c>
      <c r="I628" s="28" t="s">
        <v>3945</v>
      </c>
      <c r="J628" s="3" t="s">
        <v>3944</v>
      </c>
      <c r="K628" s="15" t="s">
        <v>3946</v>
      </c>
      <c r="L628" s="25"/>
      <c r="N628" s="15" t="s">
        <v>3947</v>
      </c>
      <c r="P628" s="37" t="s">
        <v>25</v>
      </c>
    </row>
    <row r="629" spans="1:16">
      <c r="A629" s="14">
        <v>11228</v>
      </c>
      <c r="B629" s="14" t="s">
        <v>3948</v>
      </c>
      <c r="C629" s="14" t="s">
        <v>1220</v>
      </c>
      <c r="D629" s="4" t="s">
        <v>19</v>
      </c>
      <c r="E629" s="14">
        <v>111707</v>
      </c>
      <c r="F629" s="14">
        <v>15770486676</v>
      </c>
      <c r="G629" s="14">
        <v>514739805</v>
      </c>
      <c r="H629" s="28" t="s">
        <v>3949</v>
      </c>
      <c r="I629" s="28" t="s">
        <v>3949</v>
      </c>
      <c r="J629" s="3" t="s">
        <v>3950</v>
      </c>
      <c r="K629" s="15" t="s">
        <v>3951</v>
      </c>
      <c r="L629" s="25"/>
      <c r="N629" s="15" t="s">
        <v>3952</v>
      </c>
      <c r="P629" s="37" t="s">
        <v>25</v>
      </c>
    </row>
    <row r="630" spans="1:16">
      <c r="A630" s="14">
        <v>11229</v>
      </c>
      <c r="B630" s="14" t="s">
        <v>2154</v>
      </c>
      <c r="C630" s="14" t="s">
        <v>1220</v>
      </c>
      <c r="D630" s="4" t="s">
        <v>19</v>
      </c>
      <c r="E630" s="14">
        <v>111742</v>
      </c>
      <c r="F630" s="14">
        <v>15770532899</v>
      </c>
      <c r="G630" s="14">
        <v>514739887</v>
      </c>
      <c r="H630" s="28" t="s">
        <v>3953</v>
      </c>
      <c r="I630" s="28" t="s">
        <v>3953</v>
      </c>
      <c r="J630" s="3" t="s">
        <v>3954</v>
      </c>
      <c r="K630" s="15" t="s">
        <v>3955</v>
      </c>
      <c r="L630" s="25"/>
      <c r="N630" s="15" t="s">
        <v>3956</v>
      </c>
      <c r="P630" s="37" t="s">
        <v>25</v>
      </c>
    </row>
    <row r="631" spans="1:16">
      <c r="A631" s="14">
        <v>11230</v>
      </c>
      <c r="B631" s="14" t="s">
        <v>3957</v>
      </c>
      <c r="C631" s="14" t="s">
        <v>1220</v>
      </c>
      <c r="D631" s="4" t="s">
        <v>19</v>
      </c>
      <c r="E631" s="14">
        <v>111818</v>
      </c>
      <c r="F631" s="14">
        <v>15775251691</v>
      </c>
      <c r="G631" s="14">
        <v>514739798</v>
      </c>
      <c r="H631" s="28" t="s">
        <v>3958</v>
      </c>
      <c r="I631" s="28" t="s">
        <v>3958</v>
      </c>
      <c r="J631" s="3" t="s">
        <v>3959</v>
      </c>
      <c r="K631" s="15" t="s">
        <v>3960</v>
      </c>
      <c r="L631" s="25"/>
      <c r="N631" s="15" t="s">
        <v>3961</v>
      </c>
      <c r="P631" s="37" t="s">
        <v>25</v>
      </c>
    </row>
    <row r="632" spans="1:16">
      <c r="A632" s="14">
        <v>11231</v>
      </c>
      <c r="B632" s="14" t="s">
        <v>2162</v>
      </c>
      <c r="C632" s="14" t="s">
        <v>1220</v>
      </c>
      <c r="D632" s="4" t="s">
        <v>19</v>
      </c>
      <c r="E632" s="14">
        <v>108978</v>
      </c>
      <c r="F632" s="14">
        <v>13818433356</v>
      </c>
      <c r="G632" s="14">
        <v>489011248</v>
      </c>
      <c r="H632" s="28" t="s">
        <v>2163</v>
      </c>
      <c r="I632" s="28" t="s">
        <v>2163</v>
      </c>
      <c r="J632" s="3" t="s">
        <v>2164</v>
      </c>
      <c r="K632" s="15" t="s">
        <v>3962</v>
      </c>
      <c r="L632" s="25"/>
      <c r="N632" s="15" t="s">
        <v>3963</v>
      </c>
      <c r="P632" s="37" t="s">
        <v>25</v>
      </c>
    </row>
    <row r="633" spans="1:16">
      <c r="A633" s="14">
        <v>11232</v>
      </c>
      <c r="B633" s="14" t="s">
        <v>3964</v>
      </c>
      <c r="C633" s="14" t="s">
        <v>1220</v>
      </c>
      <c r="D633" s="4" t="s">
        <v>19</v>
      </c>
      <c r="E633" s="14">
        <v>108975</v>
      </c>
      <c r="F633" s="14">
        <v>13818416843</v>
      </c>
      <c r="G633" s="14">
        <v>489011254</v>
      </c>
      <c r="H633" s="28" t="s">
        <v>3965</v>
      </c>
      <c r="I633" s="28" t="s">
        <v>3965</v>
      </c>
      <c r="J633" s="3" t="s">
        <v>3966</v>
      </c>
      <c r="K633" s="15" t="s">
        <v>3967</v>
      </c>
      <c r="L633" s="25"/>
      <c r="N633" s="15" t="s">
        <v>3968</v>
      </c>
      <c r="P633" s="37" t="s">
        <v>25</v>
      </c>
    </row>
    <row r="634" spans="1:16">
      <c r="A634" s="14">
        <v>11233</v>
      </c>
      <c r="B634" s="14" t="s">
        <v>2150</v>
      </c>
      <c r="C634" s="14" t="s">
        <v>1220</v>
      </c>
      <c r="D634" s="4" t="s">
        <v>19</v>
      </c>
      <c r="E634" s="14">
        <v>111842</v>
      </c>
      <c r="F634" s="14">
        <v>15775357185</v>
      </c>
      <c r="G634" s="14">
        <v>514739791</v>
      </c>
      <c r="H634" s="28" t="s">
        <v>3969</v>
      </c>
      <c r="I634" s="28" t="s">
        <v>3969</v>
      </c>
      <c r="J634" s="3" t="s">
        <v>3970</v>
      </c>
      <c r="K634" s="15" t="s">
        <v>3971</v>
      </c>
      <c r="L634" s="25"/>
      <c r="N634" s="15" t="s">
        <v>3972</v>
      </c>
      <c r="P634" s="37" t="s">
        <v>25</v>
      </c>
    </row>
    <row r="635" spans="1:16">
      <c r="A635" s="14">
        <v>11234</v>
      </c>
      <c r="B635" s="14" t="s">
        <v>2130</v>
      </c>
      <c r="C635" s="14" t="s">
        <v>1220</v>
      </c>
      <c r="D635" s="4" t="s">
        <v>19</v>
      </c>
      <c r="E635" s="14">
        <v>109553</v>
      </c>
      <c r="F635" s="14">
        <v>14295760150</v>
      </c>
      <c r="G635" s="14">
        <v>495621253</v>
      </c>
      <c r="H635" s="28" t="s">
        <v>3973</v>
      </c>
      <c r="I635" s="28" t="s">
        <v>3973</v>
      </c>
      <c r="J635" s="3" t="s">
        <v>3974</v>
      </c>
      <c r="K635" s="15" t="s">
        <v>3975</v>
      </c>
      <c r="L635" s="25"/>
      <c r="N635" s="15" t="s">
        <v>3976</v>
      </c>
      <c r="P635" s="37" t="s">
        <v>25</v>
      </c>
    </row>
    <row r="636" spans="1:16">
      <c r="A636" s="14">
        <v>11235</v>
      </c>
      <c r="B636" s="14"/>
      <c r="C636" s="14" t="s">
        <v>1220</v>
      </c>
      <c r="D636" s="14"/>
      <c r="E636" s="14"/>
      <c r="F636" s="14"/>
      <c r="G636" s="14"/>
      <c r="H636" s="28"/>
      <c r="I636" s="28"/>
      <c r="L636" s="25"/>
    </row>
    <row r="637" spans="1:16">
      <c r="A637" s="14">
        <v>11236</v>
      </c>
      <c r="B637" s="14"/>
      <c r="C637" s="14" t="s">
        <v>1220</v>
      </c>
      <c r="D637" s="14"/>
      <c r="E637" s="14"/>
      <c r="F637" s="14"/>
      <c r="G637" s="14"/>
      <c r="H637" s="28"/>
      <c r="I637" s="28"/>
      <c r="L637" s="25"/>
    </row>
    <row r="638" spans="1:16">
      <c r="A638" s="14">
        <v>11237</v>
      </c>
      <c r="B638" s="14"/>
      <c r="C638" s="14" t="s">
        <v>1220</v>
      </c>
      <c r="D638" s="14"/>
      <c r="E638" s="14"/>
      <c r="F638" s="14"/>
      <c r="G638" s="14"/>
      <c r="H638" s="28"/>
      <c r="I638" s="28"/>
      <c r="L638" s="25"/>
    </row>
    <row r="639" spans="1:16">
      <c r="A639" s="14">
        <v>11238</v>
      </c>
      <c r="B639" s="14"/>
      <c r="C639" s="14" t="s">
        <v>1220</v>
      </c>
      <c r="D639" s="14"/>
      <c r="E639" s="14"/>
      <c r="F639" s="14"/>
      <c r="G639" s="14"/>
      <c r="H639" s="28"/>
      <c r="I639" s="28"/>
      <c r="L639" s="25"/>
    </row>
    <row r="640" spans="1:16">
      <c r="A640" s="14">
        <v>11239</v>
      </c>
      <c r="B640" s="14" t="s">
        <v>3977</v>
      </c>
      <c r="C640" s="14" t="s">
        <v>1220</v>
      </c>
      <c r="D640" s="4" t="s">
        <v>19</v>
      </c>
      <c r="E640" s="14">
        <v>111821</v>
      </c>
      <c r="F640" s="14">
        <v>15775262345</v>
      </c>
      <c r="G640" s="14">
        <v>514739894</v>
      </c>
      <c r="H640" s="28" t="s">
        <v>3978</v>
      </c>
      <c r="I640" s="28" t="s">
        <v>3978</v>
      </c>
      <c r="J640" s="3" t="s">
        <v>3979</v>
      </c>
      <c r="K640" s="15" t="s">
        <v>3980</v>
      </c>
      <c r="L640" s="25"/>
      <c r="N640" s="15" t="s">
        <v>3981</v>
      </c>
      <c r="P640" s="37" t="s">
        <v>25</v>
      </c>
    </row>
    <row r="641" spans="1:16">
      <c r="A641" s="14">
        <v>11240</v>
      </c>
      <c r="B641" s="14" t="s">
        <v>3982</v>
      </c>
      <c r="C641" s="14" t="s">
        <v>1220</v>
      </c>
      <c r="D641" s="4" t="s">
        <v>19</v>
      </c>
      <c r="E641" s="14">
        <v>111710</v>
      </c>
      <c r="F641" s="14">
        <v>15770486920</v>
      </c>
      <c r="G641" s="14">
        <v>514739748</v>
      </c>
      <c r="H641" s="28" t="s">
        <v>3983</v>
      </c>
      <c r="I641" s="28" t="s">
        <v>3983</v>
      </c>
      <c r="J641" s="3" t="s">
        <v>3984</v>
      </c>
      <c r="K641" s="15" t="s">
        <v>3985</v>
      </c>
      <c r="L641" s="25"/>
      <c r="N641" s="15" t="s">
        <v>3986</v>
      </c>
      <c r="P641" s="37" t="s">
        <v>25</v>
      </c>
    </row>
    <row r="642" spans="1:16">
      <c r="A642" s="14">
        <v>11241</v>
      </c>
      <c r="B642" s="14" t="s">
        <v>3987</v>
      </c>
      <c r="C642" s="14" t="s">
        <v>1220</v>
      </c>
      <c r="D642" s="4" t="s">
        <v>19</v>
      </c>
      <c r="E642" s="14">
        <v>111791</v>
      </c>
      <c r="F642" s="14">
        <v>15771527069</v>
      </c>
      <c r="G642" s="14">
        <v>514739908</v>
      </c>
      <c r="H642" s="28" t="s">
        <v>3988</v>
      </c>
      <c r="I642" s="28" t="s">
        <v>3988</v>
      </c>
      <c r="J642" s="3" t="s">
        <v>3989</v>
      </c>
      <c r="K642" s="15" t="s">
        <v>3990</v>
      </c>
      <c r="L642" s="25"/>
      <c r="N642" s="15" t="s">
        <v>3991</v>
      </c>
      <c r="P642" s="37" t="s">
        <v>25</v>
      </c>
    </row>
    <row r="643" spans="1:16">
      <c r="A643" s="14">
        <v>11242</v>
      </c>
      <c r="B643" s="14" t="s">
        <v>3992</v>
      </c>
      <c r="C643" s="14" t="s">
        <v>1220</v>
      </c>
      <c r="D643" s="4" t="s">
        <v>19</v>
      </c>
      <c r="E643" s="14">
        <v>111745</v>
      </c>
      <c r="F643" s="14">
        <v>15770532902</v>
      </c>
      <c r="G643" s="14">
        <v>514739728</v>
      </c>
      <c r="H643" s="28" t="s">
        <v>3993</v>
      </c>
      <c r="I643" s="28" t="s">
        <v>3993</v>
      </c>
      <c r="J643" s="3" t="s">
        <v>3994</v>
      </c>
      <c r="K643" s="15" t="s">
        <v>3995</v>
      </c>
      <c r="L643" s="25"/>
      <c r="N643" s="15" t="s">
        <v>3996</v>
      </c>
      <c r="P643" s="37" t="s">
        <v>25</v>
      </c>
    </row>
    <row r="644" spans="1:16">
      <c r="A644" s="14">
        <v>11243</v>
      </c>
      <c r="B644" s="14"/>
      <c r="C644" s="14" t="s">
        <v>1220</v>
      </c>
      <c r="D644" s="14"/>
      <c r="E644" s="14"/>
      <c r="F644" s="14"/>
      <c r="G644" s="14"/>
      <c r="H644" s="28"/>
      <c r="I644" s="28"/>
      <c r="L644" s="25"/>
    </row>
    <row r="645" spans="1:16">
      <c r="A645" s="14">
        <v>11244</v>
      </c>
      <c r="B645" s="14"/>
      <c r="C645" s="14" t="s">
        <v>1220</v>
      </c>
      <c r="D645" s="14"/>
      <c r="E645" s="14"/>
      <c r="F645" s="14"/>
      <c r="G645" s="14"/>
      <c r="H645" s="28"/>
      <c r="I645" s="28"/>
      <c r="L645" s="25"/>
    </row>
    <row r="646" spans="1:16">
      <c r="A646" s="14">
        <v>11245</v>
      </c>
      <c r="B646" s="14" t="s">
        <v>2249</v>
      </c>
      <c r="C646" s="14" t="s">
        <v>1220</v>
      </c>
      <c r="D646" s="4" t="s">
        <v>19</v>
      </c>
      <c r="E646" s="14">
        <v>109682</v>
      </c>
      <c r="F646" s="14">
        <v>14507339012</v>
      </c>
      <c r="G646" s="14">
        <v>498373754</v>
      </c>
      <c r="H646" s="28" t="s">
        <v>2250</v>
      </c>
      <c r="I646" s="28" t="s">
        <v>2250</v>
      </c>
      <c r="J646" s="3" t="s">
        <v>2251</v>
      </c>
      <c r="K646" s="15" t="s">
        <v>3997</v>
      </c>
      <c r="L646" s="25"/>
      <c r="N646" s="15" t="s">
        <v>3998</v>
      </c>
      <c r="P646" s="37" t="s">
        <v>25</v>
      </c>
    </row>
    <row r="647" spans="1:16">
      <c r="A647" s="14">
        <v>11246</v>
      </c>
      <c r="B647" s="14" t="s">
        <v>2376</v>
      </c>
      <c r="C647" s="14" t="s">
        <v>1220</v>
      </c>
      <c r="D647" s="4" t="s">
        <v>19</v>
      </c>
      <c r="E647" s="14">
        <v>109446</v>
      </c>
      <c r="F647" s="14">
        <v>14295412063</v>
      </c>
      <c r="G647" s="14">
        <v>495621106</v>
      </c>
      <c r="H647" s="28" t="s">
        <v>2377</v>
      </c>
      <c r="I647" s="28" t="s">
        <v>2377</v>
      </c>
      <c r="J647" s="3" t="s">
        <v>2378</v>
      </c>
      <c r="K647" s="15" t="s">
        <v>3999</v>
      </c>
      <c r="L647" s="25"/>
      <c r="N647" s="15" t="s">
        <v>4000</v>
      </c>
      <c r="P647" s="37" t="s">
        <v>25</v>
      </c>
    </row>
    <row r="648" spans="1:16">
      <c r="A648" s="14">
        <v>11247</v>
      </c>
      <c r="B648" s="14" t="s">
        <v>2380</v>
      </c>
      <c r="C648" s="14" t="s">
        <v>1220</v>
      </c>
      <c r="D648" s="4" t="s">
        <v>19</v>
      </c>
      <c r="E648" s="14">
        <v>109589</v>
      </c>
      <c r="F648" s="14">
        <v>14299667368</v>
      </c>
      <c r="G648" s="14">
        <v>495621149</v>
      </c>
      <c r="H648" s="28" t="s">
        <v>2381</v>
      </c>
      <c r="I648" s="28" t="s">
        <v>2381</v>
      </c>
      <c r="J648" s="3" t="s">
        <v>2382</v>
      </c>
      <c r="K648" s="15" t="s">
        <v>4001</v>
      </c>
      <c r="L648" s="25"/>
      <c r="N648" s="15" t="s">
        <v>4002</v>
      </c>
      <c r="P648" s="37" t="s">
        <v>25</v>
      </c>
    </row>
    <row r="649" spans="1:16">
      <c r="A649" s="14">
        <v>11248</v>
      </c>
      <c r="B649" s="14" t="s">
        <v>2372</v>
      </c>
      <c r="C649" s="14" t="s">
        <v>1220</v>
      </c>
      <c r="D649" s="4" t="s">
        <v>19</v>
      </c>
      <c r="E649" s="14">
        <v>109556</v>
      </c>
      <c r="F649" s="14">
        <v>14295772091</v>
      </c>
      <c r="G649" s="14">
        <v>495621240</v>
      </c>
      <c r="H649" s="28" t="s">
        <v>2373</v>
      </c>
      <c r="I649" s="28" t="s">
        <v>2373</v>
      </c>
      <c r="J649" s="3" t="s">
        <v>2374</v>
      </c>
      <c r="K649" s="15" t="s">
        <v>4003</v>
      </c>
      <c r="L649" s="25"/>
      <c r="N649" s="15" t="s">
        <v>4004</v>
      </c>
      <c r="P649" s="37" t="s">
        <v>25</v>
      </c>
    </row>
    <row r="650" spans="1:16">
      <c r="A650" s="14">
        <v>11249</v>
      </c>
      <c r="B650" s="14" t="s">
        <v>4005</v>
      </c>
      <c r="C650" s="14" t="s">
        <v>1220</v>
      </c>
      <c r="D650" s="4" t="s">
        <v>19</v>
      </c>
      <c r="E650" s="14">
        <v>111709</v>
      </c>
      <c r="F650" s="14">
        <v>15770486919</v>
      </c>
      <c r="G650" s="14">
        <v>514739769</v>
      </c>
      <c r="H650" s="28" t="s">
        <v>4006</v>
      </c>
      <c r="I650" s="28" t="s">
        <v>4006</v>
      </c>
      <c r="J650" s="3" t="s">
        <v>4007</v>
      </c>
      <c r="K650" s="15" t="s">
        <v>4008</v>
      </c>
      <c r="L650" s="25"/>
      <c r="N650" s="15" t="s">
        <v>4009</v>
      </c>
      <c r="P650" s="37" t="s">
        <v>25</v>
      </c>
    </row>
    <row r="651" spans="1:16">
      <c r="A651" s="14">
        <v>11250</v>
      </c>
      <c r="B651" s="14" t="s">
        <v>4010</v>
      </c>
      <c r="C651" s="14" t="s">
        <v>1220</v>
      </c>
      <c r="D651" s="4" t="s">
        <v>19</v>
      </c>
      <c r="E651" s="14">
        <v>111702</v>
      </c>
      <c r="F651" s="14">
        <v>15770479304</v>
      </c>
      <c r="G651" s="14">
        <v>514739868</v>
      </c>
      <c r="H651" s="28" t="s">
        <v>4011</v>
      </c>
      <c r="I651" s="28" t="s">
        <v>4011</v>
      </c>
      <c r="J651" s="3" t="s">
        <v>4012</v>
      </c>
      <c r="K651" s="15" t="s">
        <v>4013</v>
      </c>
      <c r="L651" s="25"/>
      <c r="N651" s="15" t="s">
        <v>4014</v>
      </c>
      <c r="P651" s="37" t="s">
        <v>25</v>
      </c>
    </row>
    <row r="652" spans="1:16">
      <c r="A652" s="14">
        <v>11251</v>
      </c>
      <c r="B652" s="14" t="s">
        <v>4015</v>
      </c>
      <c r="C652" s="14" t="s">
        <v>1220</v>
      </c>
      <c r="D652" s="4" t="s">
        <v>19</v>
      </c>
      <c r="E652" s="14">
        <v>111874</v>
      </c>
      <c r="F652" s="14">
        <v>15775498439</v>
      </c>
      <c r="G652" s="14">
        <v>514739923</v>
      </c>
      <c r="H652" s="28" t="s">
        <v>4016</v>
      </c>
      <c r="I652" s="28" t="s">
        <v>4016</v>
      </c>
      <c r="J652" s="3" t="s">
        <v>4017</v>
      </c>
      <c r="K652" s="15" t="s">
        <v>4018</v>
      </c>
      <c r="L652" s="25"/>
      <c r="N652" s="15" t="s">
        <v>4019</v>
      </c>
      <c r="P652" s="37" t="s">
        <v>25</v>
      </c>
    </row>
    <row r="653" spans="1:16">
      <c r="A653" s="14">
        <v>11252</v>
      </c>
      <c r="B653" s="14"/>
      <c r="C653" s="14" t="s">
        <v>1220</v>
      </c>
      <c r="D653" s="14"/>
      <c r="E653" s="14"/>
      <c r="F653" s="14"/>
      <c r="G653" s="14"/>
      <c r="H653" s="28"/>
      <c r="I653" s="28"/>
      <c r="L653" s="25"/>
    </row>
    <row r="654" spans="1:16">
      <c r="A654" s="14">
        <v>11253</v>
      </c>
      <c r="B654" s="14"/>
      <c r="C654" s="14" t="s">
        <v>1220</v>
      </c>
      <c r="D654" s="14"/>
      <c r="E654" s="14"/>
      <c r="F654" s="14"/>
      <c r="G654" s="14"/>
      <c r="H654" s="28"/>
      <c r="I654" s="28"/>
      <c r="L654" s="25"/>
    </row>
    <row r="655" spans="1:16">
      <c r="A655" s="14">
        <v>11254</v>
      </c>
      <c r="B655" s="14" t="s">
        <v>4020</v>
      </c>
      <c r="C655" s="14" t="s">
        <v>1220</v>
      </c>
      <c r="D655" s="4" t="s">
        <v>19</v>
      </c>
      <c r="E655" s="14">
        <v>111786</v>
      </c>
      <c r="F655" s="14">
        <v>15771527064</v>
      </c>
      <c r="G655" s="14">
        <v>514739729</v>
      </c>
      <c r="H655" s="28" t="s">
        <v>4021</v>
      </c>
      <c r="I655" s="28" t="s">
        <v>4021</v>
      </c>
      <c r="J655" s="3" t="s">
        <v>4022</v>
      </c>
      <c r="K655" s="15" t="s">
        <v>4023</v>
      </c>
      <c r="L655" s="25"/>
      <c r="N655" s="15" t="s">
        <v>4024</v>
      </c>
      <c r="P655" s="37" t="s">
        <v>25</v>
      </c>
    </row>
    <row r="656" spans="1:16">
      <c r="A656" s="14">
        <v>11255</v>
      </c>
      <c r="B656" s="14" t="s">
        <v>4025</v>
      </c>
      <c r="C656" s="14" t="s">
        <v>1220</v>
      </c>
      <c r="D656" s="4" t="s">
        <v>19</v>
      </c>
      <c r="E656" s="14">
        <v>111828</v>
      </c>
      <c r="F656" s="14">
        <v>15775300220</v>
      </c>
      <c r="G656" s="14">
        <v>514739899</v>
      </c>
      <c r="H656" s="28" t="s">
        <v>4026</v>
      </c>
      <c r="I656" s="28" t="s">
        <v>4026</v>
      </c>
      <c r="J656" s="3" t="s">
        <v>4027</v>
      </c>
      <c r="K656" s="15" t="s">
        <v>4028</v>
      </c>
      <c r="L656" s="25"/>
      <c r="N656" s="15" t="s">
        <v>4029</v>
      </c>
      <c r="P656" s="37" t="s">
        <v>25</v>
      </c>
    </row>
    <row r="657" spans="1:16">
      <c r="A657" s="14">
        <v>11256</v>
      </c>
      <c r="B657" s="14" t="s">
        <v>2471</v>
      </c>
      <c r="C657" s="14" t="s">
        <v>1220</v>
      </c>
      <c r="D657" s="4" t="s">
        <v>19</v>
      </c>
      <c r="E657" s="14">
        <v>109512</v>
      </c>
      <c r="F657" s="14">
        <v>14295564807</v>
      </c>
      <c r="G657" s="14">
        <v>495621128</v>
      </c>
      <c r="H657" s="28" t="s">
        <v>2472</v>
      </c>
      <c r="I657" s="28" t="s">
        <v>2472</v>
      </c>
      <c r="J657" s="3" t="s">
        <v>2473</v>
      </c>
      <c r="K657" s="15" t="s">
        <v>4030</v>
      </c>
      <c r="L657" s="25"/>
      <c r="N657" s="15" t="s">
        <v>4031</v>
      </c>
      <c r="P657" s="37" t="s">
        <v>25</v>
      </c>
    </row>
    <row r="658" spans="1:16">
      <c r="A658" s="14">
        <v>11257</v>
      </c>
      <c r="B658" s="14" t="s">
        <v>2475</v>
      </c>
      <c r="C658" s="14" t="s">
        <v>1220</v>
      </c>
      <c r="D658" s="4" t="s">
        <v>19</v>
      </c>
      <c r="E658" s="14">
        <v>109449</v>
      </c>
      <c r="F658" s="14">
        <v>14295434813</v>
      </c>
      <c r="G658" s="14">
        <v>495621172</v>
      </c>
      <c r="H658" s="28" t="s">
        <v>2476</v>
      </c>
      <c r="I658" s="28" t="s">
        <v>2476</v>
      </c>
      <c r="J658" s="3" t="s">
        <v>2477</v>
      </c>
      <c r="K658" s="15" t="s">
        <v>4032</v>
      </c>
      <c r="L658" s="25"/>
      <c r="N658" s="15" t="s">
        <v>4033</v>
      </c>
      <c r="P658" s="37" t="s">
        <v>25</v>
      </c>
    </row>
    <row r="659" spans="1:16">
      <c r="A659" s="14">
        <v>11258</v>
      </c>
      <c r="B659" s="14" t="s">
        <v>4034</v>
      </c>
      <c r="C659" s="14" t="s">
        <v>1220</v>
      </c>
      <c r="D659" s="4" t="s">
        <v>19</v>
      </c>
      <c r="E659" s="14">
        <v>111902</v>
      </c>
      <c r="F659" s="14">
        <v>15775628882</v>
      </c>
      <c r="G659" s="14">
        <v>514739926</v>
      </c>
      <c r="H659" s="28" t="s">
        <v>4035</v>
      </c>
      <c r="I659" s="28" t="s">
        <v>4035</v>
      </c>
      <c r="J659" s="3" t="s">
        <v>4036</v>
      </c>
      <c r="K659" s="15" t="s">
        <v>4037</v>
      </c>
      <c r="L659" s="25"/>
      <c r="N659" s="15" t="s">
        <v>4038</v>
      </c>
      <c r="P659" s="37" t="s">
        <v>25</v>
      </c>
    </row>
    <row r="660" spans="1:16">
      <c r="A660" s="14">
        <v>11259</v>
      </c>
      <c r="B660" s="14"/>
      <c r="C660" s="14" t="s">
        <v>1220</v>
      </c>
      <c r="D660" s="14"/>
      <c r="E660" s="14"/>
      <c r="F660" s="14"/>
      <c r="G660" s="14"/>
      <c r="H660" s="28"/>
      <c r="I660" s="28"/>
      <c r="L660" s="25"/>
    </row>
    <row r="661" spans="1:16">
      <c r="A661" s="14">
        <v>11260</v>
      </c>
      <c r="B661" s="14"/>
      <c r="C661" s="14" t="s">
        <v>1220</v>
      </c>
      <c r="D661" s="14"/>
      <c r="E661" s="14"/>
      <c r="F661" s="14"/>
      <c r="G661" s="14"/>
      <c r="H661" s="28"/>
      <c r="I661" s="28"/>
      <c r="L661" s="25"/>
    </row>
    <row r="662" spans="1:16">
      <c r="A662" s="14">
        <v>11261</v>
      </c>
      <c r="B662" s="14" t="s">
        <v>4039</v>
      </c>
      <c r="C662" s="14" t="s">
        <v>1220</v>
      </c>
      <c r="D662" s="4" t="s">
        <v>19</v>
      </c>
      <c r="E662" s="14">
        <v>111836</v>
      </c>
      <c r="F662" s="14">
        <v>15775328387</v>
      </c>
      <c r="G662" s="14">
        <v>514739727</v>
      </c>
      <c r="H662" s="28" t="s">
        <v>4040</v>
      </c>
      <c r="I662" s="28" t="s">
        <v>4040</v>
      </c>
      <c r="J662" s="3" t="s">
        <v>4041</v>
      </c>
      <c r="K662" s="16" t="s">
        <v>4042</v>
      </c>
      <c r="L662" s="25"/>
      <c r="N662" s="15" t="s">
        <v>4043</v>
      </c>
      <c r="P662" s="37" t="s">
        <v>25</v>
      </c>
    </row>
    <row r="663" spans="1:16">
      <c r="A663" s="14">
        <v>11262</v>
      </c>
      <c r="B663" s="14"/>
      <c r="C663" s="14" t="s">
        <v>1220</v>
      </c>
      <c r="D663" s="14"/>
      <c r="E663" s="14"/>
      <c r="F663" s="14"/>
      <c r="G663" s="14"/>
      <c r="H663" s="28"/>
      <c r="I663" s="28"/>
      <c r="L663" s="25"/>
    </row>
    <row r="664" spans="1:16">
      <c r="A664" s="14">
        <v>11263</v>
      </c>
      <c r="B664" s="14"/>
      <c r="C664" s="14" t="s">
        <v>1220</v>
      </c>
      <c r="D664" s="14"/>
      <c r="E664" s="14"/>
      <c r="F664" s="14"/>
      <c r="G664" s="14"/>
      <c r="H664" s="28"/>
      <c r="I664" s="28"/>
      <c r="L664" s="25"/>
    </row>
    <row r="665" spans="1:16">
      <c r="A665" s="14">
        <v>11264</v>
      </c>
      <c r="B665" s="14" t="s">
        <v>2443</v>
      </c>
      <c r="C665" s="14" t="s">
        <v>1220</v>
      </c>
      <c r="D665" s="4" t="s">
        <v>19</v>
      </c>
      <c r="E665" s="14">
        <v>109461</v>
      </c>
      <c r="F665" s="14">
        <v>14295509124</v>
      </c>
      <c r="G665" s="14">
        <v>495621079</v>
      </c>
      <c r="H665" s="28" t="s">
        <v>2444</v>
      </c>
      <c r="I665" s="28" t="s">
        <v>2444</v>
      </c>
      <c r="J665" s="3" t="s">
        <v>2445</v>
      </c>
      <c r="K665" s="15" t="s">
        <v>4044</v>
      </c>
      <c r="L665" s="25"/>
      <c r="N665" s="15" t="s">
        <v>4045</v>
      </c>
      <c r="P665" s="37" t="s">
        <v>25</v>
      </c>
    </row>
    <row r="666" spans="1:16">
      <c r="A666" s="14">
        <v>11265</v>
      </c>
      <c r="B666" s="14" t="s">
        <v>4046</v>
      </c>
      <c r="C666" s="14" t="s">
        <v>1220</v>
      </c>
      <c r="D666" s="4" t="s">
        <v>19</v>
      </c>
      <c r="E666" s="14">
        <v>111822</v>
      </c>
      <c r="F666" s="14">
        <v>15775262346</v>
      </c>
      <c r="G666" s="14">
        <v>514739851</v>
      </c>
      <c r="H666" s="28" t="s">
        <v>4047</v>
      </c>
      <c r="I666" s="28" t="s">
        <v>4047</v>
      </c>
      <c r="J666" s="3" t="s">
        <v>4048</v>
      </c>
      <c r="K666" s="15" t="s">
        <v>4049</v>
      </c>
      <c r="L666" s="25"/>
      <c r="N666" s="15" t="s">
        <v>4050</v>
      </c>
      <c r="P666" s="37" t="s">
        <v>25</v>
      </c>
    </row>
    <row r="667" spans="1:16">
      <c r="A667" s="14">
        <v>11266</v>
      </c>
      <c r="B667" s="14"/>
      <c r="C667" s="14" t="s">
        <v>1220</v>
      </c>
      <c r="D667" s="14"/>
      <c r="E667" s="14"/>
      <c r="F667" s="14"/>
      <c r="G667" s="14"/>
      <c r="H667" s="28"/>
      <c r="I667" s="28"/>
      <c r="L667" s="25"/>
    </row>
    <row r="668" spans="1:16">
      <c r="A668" s="14">
        <v>11267</v>
      </c>
      <c r="B668" s="14"/>
      <c r="C668" s="14" t="s">
        <v>1220</v>
      </c>
      <c r="D668" s="14"/>
      <c r="E668" s="14"/>
      <c r="F668" s="14"/>
      <c r="G668" s="14"/>
      <c r="H668" s="28"/>
      <c r="I668" s="28"/>
      <c r="L668" s="25"/>
    </row>
    <row r="669" spans="1:16">
      <c r="A669" s="14">
        <v>11268</v>
      </c>
      <c r="B669" s="14" t="s">
        <v>4051</v>
      </c>
      <c r="C669" s="14" t="s">
        <v>1220</v>
      </c>
      <c r="D669" s="4" t="s">
        <v>19</v>
      </c>
      <c r="E669" s="14">
        <v>111814</v>
      </c>
      <c r="F669" s="14">
        <v>15775218699</v>
      </c>
      <c r="G669" s="14">
        <v>514739733</v>
      </c>
      <c r="H669" s="28" t="s">
        <v>4052</v>
      </c>
      <c r="I669" s="28" t="s">
        <v>4052</v>
      </c>
      <c r="J669" s="3" t="s">
        <v>4053</v>
      </c>
      <c r="K669" s="15" t="s">
        <v>4054</v>
      </c>
      <c r="L669" s="25"/>
      <c r="N669" s="15" t="s">
        <v>4055</v>
      </c>
      <c r="P669" s="37" t="s">
        <v>25</v>
      </c>
    </row>
    <row r="670" spans="1:16">
      <c r="A670" s="14">
        <v>11269</v>
      </c>
      <c r="B670" s="14" t="s">
        <v>2447</v>
      </c>
      <c r="C670" s="14" t="s">
        <v>1220</v>
      </c>
      <c r="D670" s="4" t="s">
        <v>19</v>
      </c>
      <c r="E670" s="14">
        <v>109434</v>
      </c>
      <c r="F670" s="14">
        <v>14294527003</v>
      </c>
      <c r="G670" s="14">
        <v>495621177</v>
      </c>
      <c r="H670" s="28" t="s">
        <v>2448</v>
      </c>
      <c r="I670" s="28" t="s">
        <v>2448</v>
      </c>
      <c r="J670" s="3" t="s">
        <v>2449</v>
      </c>
      <c r="K670" s="15" t="s">
        <v>4056</v>
      </c>
      <c r="L670" s="25"/>
      <c r="N670" s="15" t="s">
        <v>4057</v>
      </c>
      <c r="P670" s="37" t="s">
        <v>25</v>
      </c>
    </row>
    <row r="671" spans="1:16">
      <c r="A671" s="14">
        <v>11270</v>
      </c>
      <c r="B671" s="14" t="s">
        <v>2451</v>
      </c>
      <c r="C671" s="14" t="s">
        <v>1220</v>
      </c>
      <c r="D671" s="4" t="s">
        <v>19</v>
      </c>
      <c r="E671" s="14">
        <v>109535</v>
      </c>
      <c r="F671" s="14">
        <v>14295611407</v>
      </c>
      <c r="G671" s="14">
        <v>495621083</v>
      </c>
      <c r="H671" s="28" t="s">
        <v>2452</v>
      </c>
      <c r="I671" s="28" t="s">
        <v>2452</v>
      </c>
      <c r="J671" s="3" t="s">
        <v>2453</v>
      </c>
      <c r="K671" s="15" t="s">
        <v>4058</v>
      </c>
      <c r="L671" s="25"/>
      <c r="N671" s="15" t="s">
        <v>4059</v>
      </c>
      <c r="P671" s="37" t="s">
        <v>25</v>
      </c>
    </row>
    <row r="672" spans="1:16">
      <c r="A672" s="14">
        <v>11271</v>
      </c>
      <c r="B672" s="14" t="s">
        <v>2459</v>
      </c>
      <c r="C672" s="14" t="s">
        <v>1220</v>
      </c>
      <c r="D672" s="4" t="s">
        <v>19</v>
      </c>
      <c r="E672" s="14">
        <v>109435</v>
      </c>
      <c r="F672" s="14">
        <v>14294598514</v>
      </c>
      <c r="G672" s="14">
        <v>495621248</v>
      </c>
      <c r="H672" s="28" t="s">
        <v>2460</v>
      </c>
      <c r="I672" s="28" t="s">
        <v>2460</v>
      </c>
      <c r="J672" s="3" t="s">
        <v>2461</v>
      </c>
      <c r="K672" s="15" t="s">
        <v>4060</v>
      </c>
      <c r="L672" s="25"/>
      <c r="N672" s="15" t="s">
        <v>4061</v>
      </c>
      <c r="P672" s="37" t="s">
        <v>25</v>
      </c>
    </row>
    <row r="673" spans="1:16">
      <c r="A673" s="14">
        <v>11272</v>
      </c>
      <c r="B673" s="14" t="s">
        <v>4062</v>
      </c>
      <c r="C673" s="14" t="s">
        <v>1220</v>
      </c>
      <c r="D673" s="4" t="s">
        <v>19</v>
      </c>
      <c r="E673" s="14">
        <v>111808</v>
      </c>
      <c r="F673" s="14">
        <v>15771909874</v>
      </c>
      <c r="G673" s="14">
        <v>514739782</v>
      </c>
      <c r="H673" s="28" t="s">
        <v>4063</v>
      </c>
      <c r="I673" s="28" t="s">
        <v>4063</v>
      </c>
      <c r="J673" s="3" t="s">
        <v>4064</v>
      </c>
      <c r="K673" s="15" t="s">
        <v>4065</v>
      </c>
      <c r="L673" s="25"/>
      <c r="N673" s="15" t="s">
        <v>4066</v>
      </c>
      <c r="P673" s="37" t="s">
        <v>25</v>
      </c>
    </row>
    <row r="674" spans="1:16">
      <c r="A674" s="14">
        <v>11273</v>
      </c>
      <c r="B674" s="14" t="s">
        <v>4067</v>
      </c>
      <c r="C674" s="14" t="s">
        <v>1220</v>
      </c>
      <c r="D674" s="4" t="s">
        <v>19</v>
      </c>
      <c r="E674" s="14">
        <v>109585</v>
      </c>
      <c r="F674" s="14">
        <v>14299667364</v>
      </c>
      <c r="G674" s="14">
        <v>495621094</v>
      </c>
      <c r="H674" s="28" t="s">
        <v>2464</v>
      </c>
      <c r="I674" s="28" t="s">
        <v>2464</v>
      </c>
      <c r="J674" s="3" t="s">
        <v>2465</v>
      </c>
      <c r="K674" s="15" t="s">
        <v>4068</v>
      </c>
      <c r="L674" s="25"/>
      <c r="N674" s="15" t="s">
        <v>4069</v>
      </c>
      <c r="P674" s="37" t="s">
        <v>25</v>
      </c>
    </row>
    <row r="675" spans="1:16">
      <c r="A675" s="14">
        <v>11274</v>
      </c>
      <c r="B675" s="14" t="s">
        <v>2467</v>
      </c>
      <c r="C675" s="14" t="s">
        <v>1220</v>
      </c>
      <c r="D675" s="4" t="s">
        <v>19</v>
      </c>
      <c r="E675" s="14">
        <v>109457</v>
      </c>
      <c r="F675" s="14">
        <v>14295463085</v>
      </c>
      <c r="G675" s="14">
        <v>495621111</v>
      </c>
      <c r="H675" s="28" t="s">
        <v>2468</v>
      </c>
      <c r="I675" s="28" t="s">
        <v>2468</v>
      </c>
      <c r="J675" s="3" t="s">
        <v>2469</v>
      </c>
      <c r="K675" s="15" t="s">
        <v>4070</v>
      </c>
      <c r="L675" s="25"/>
      <c r="N675" s="15" t="s">
        <v>4071</v>
      </c>
      <c r="P675" s="37" t="s">
        <v>25</v>
      </c>
    </row>
    <row r="676" spans="1:16">
      <c r="A676" s="14">
        <v>11275</v>
      </c>
      <c r="B676" s="14" t="s">
        <v>4072</v>
      </c>
      <c r="C676" s="14" t="s">
        <v>1220</v>
      </c>
      <c r="D676" s="4" t="s">
        <v>19</v>
      </c>
      <c r="E676" s="14">
        <v>111886</v>
      </c>
      <c r="F676" s="14">
        <v>15775565270</v>
      </c>
      <c r="G676" s="14">
        <v>514739914</v>
      </c>
      <c r="H676" s="28" t="s">
        <v>4073</v>
      </c>
      <c r="I676" s="28" t="s">
        <v>4073</v>
      </c>
      <c r="J676" s="3" t="s">
        <v>4074</v>
      </c>
      <c r="K676" s="15" t="s">
        <v>4075</v>
      </c>
      <c r="L676" s="25"/>
      <c r="N676" s="15" t="s">
        <v>4076</v>
      </c>
      <c r="P676" s="37" t="s">
        <v>25</v>
      </c>
    </row>
    <row r="677" spans="1:16">
      <c r="A677" s="14">
        <v>11276</v>
      </c>
      <c r="B677" s="14" t="s">
        <v>4077</v>
      </c>
      <c r="C677" s="14" t="s">
        <v>1220</v>
      </c>
      <c r="D677" s="4" t="s">
        <v>19</v>
      </c>
      <c r="E677" s="14">
        <v>111800</v>
      </c>
      <c r="F677" s="14">
        <v>15771694466</v>
      </c>
      <c r="G677" s="14">
        <v>514739785</v>
      </c>
      <c r="H677" s="28" t="s">
        <v>4078</v>
      </c>
      <c r="I677" s="28" t="s">
        <v>4078</v>
      </c>
      <c r="J677" s="3" t="s">
        <v>4079</v>
      </c>
      <c r="K677" s="15" t="s">
        <v>4080</v>
      </c>
      <c r="L677" s="25"/>
      <c r="N677" s="15" t="s">
        <v>4081</v>
      </c>
      <c r="P677" s="37" t="s">
        <v>25</v>
      </c>
    </row>
    <row r="678" spans="1:16">
      <c r="A678" s="14">
        <v>11277</v>
      </c>
      <c r="B678" s="14" t="s">
        <v>4082</v>
      </c>
      <c r="C678" s="14" t="s">
        <v>1220</v>
      </c>
      <c r="D678" s="4" t="s">
        <v>19</v>
      </c>
      <c r="E678" s="14">
        <v>111744</v>
      </c>
      <c r="F678" s="14">
        <v>15770532901</v>
      </c>
      <c r="G678" s="14">
        <v>514739730</v>
      </c>
      <c r="H678" s="28" t="s">
        <v>4083</v>
      </c>
      <c r="I678" s="28" t="s">
        <v>4083</v>
      </c>
      <c r="J678" s="3" t="s">
        <v>4084</v>
      </c>
      <c r="K678" s="15" t="s">
        <v>4085</v>
      </c>
      <c r="L678" s="25"/>
      <c r="N678" s="15" t="s">
        <v>4086</v>
      </c>
      <c r="P678" s="37" t="s">
        <v>25</v>
      </c>
    </row>
    <row r="679" spans="1:16">
      <c r="A679" s="14">
        <v>11278</v>
      </c>
      <c r="B679" s="14" t="s">
        <v>4087</v>
      </c>
      <c r="C679" s="14" t="s">
        <v>1220</v>
      </c>
      <c r="D679" s="4" t="s">
        <v>19</v>
      </c>
      <c r="E679" s="14">
        <v>111746</v>
      </c>
      <c r="F679" s="14">
        <v>15770533017</v>
      </c>
      <c r="G679" s="14">
        <v>514739752</v>
      </c>
      <c r="H679" s="28" t="s">
        <v>4088</v>
      </c>
      <c r="I679" s="28" t="s">
        <v>4088</v>
      </c>
      <c r="J679" s="3" t="s">
        <v>4089</v>
      </c>
      <c r="K679" s="15" t="s">
        <v>4090</v>
      </c>
      <c r="L679" s="25"/>
      <c r="N679" s="15" t="s">
        <v>4091</v>
      </c>
      <c r="P679" s="37" t="s">
        <v>25</v>
      </c>
    </row>
    <row r="680" spans="1:16">
      <c r="A680" s="14">
        <v>11279</v>
      </c>
      <c r="B680" s="14" t="s">
        <v>4092</v>
      </c>
      <c r="C680" s="14" t="s">
        <v>1220</v>
      </c>
      <c r="D680" s="4" t="s">
        <v>19</v>
      </c>
      <c r="E680" s="14">
        <v>111747</v>
      </c>
      <c r="F680" s="14">
        <v>15770533235</v>
      </c>
      <c r="G680" s="14">
        <v>514739781</v>
      </c>
      <c r="H680" s="28" t="s">
        <v>4093</v>
      </c>
      <c r="I680" s="28" t="s">
        <v>4093</v>
      </c>
      <c r="J680" s="3" t="s">
        <v>4094</v>
      </c>
      <c r="K680" s="15" t="s">
        <v>4095</v>
      </c>
      <c r="L680" s="25"/>
      <c r="N680" s="15" t="s">
        <v>4096</v>
      </c>
      <c r="P680" s="37" t="s">
        <v>25</v>
      </c>
    </row>
    <row r="681" spans="1:16">
      <c r="A681" s="14">
        <v>11280</v>
      </c>
      <c r="B681" s="14"/>
      <c r="C681" s="14" t="s">
        <v>1220</v>
      </c>
      <c r="D681" s="14"/>
      <c r="E681" s="14"/>
      <c r="F681" s="14"/>
      <c r="G681" s="14"/>
      <c r="H681" s="28"/>
      <c r="I681" s="28"/>
      <c r="L681" s="25"/>
    </row>
    <row r="682" spans="1:16">
      <c r="A682" s="14">
        <v>11281</v>
      </c>
      <c r="B682" s="14"/>
      <c r="C682" s="14" t="s">
        <v>1220</v>
      </c>
      <c r="D682" s="14"/>
      <c r="E682" s="14"/>
      <c r="F682" s="14"/>
      <c r="G682" s="14"/>
      <c r="H682" s="28"/>
      <c r="I682" s="28"/>
      <c r="L682" s="25"/>
    </row>
    <row r="683" spans="1:16">
      <c r="A683" s="14">
        <v>11282</v>
      </c>
      <c r="B683" s="14"/>
      <c r="C683" s="14" t="s">
        <v>1220</v>
      </c>
      <c r="D683" s="14"/>
      <c r="E683" s="14"/>
      <c r="F683" s="14"/>
      <c r="G683" s="14"/>
      <c r="H683" s="28"/>
      <c r="I683" s="28"/>
      <c r="L683" s="25"/>
    </row>
    <row r="684" spans="1:16">
      <c r="A684" s="14">
        <v>11283</v>
      </c>
      <c r="B684" s="14"/>
      <c r="C684" s="14" t="s">
        <v>1220</v>
      </c>
      <c r="D684" s="14"/>
      <c r="E684" s="14"/>
      <c r="F684" s="14"/>
      <c r="G684" s="14"/>
      <c r="H684" s="28"/>
      <c r="I684" s="28"/>
      <c r="L684" s="25"/>
    </row>
    <row r="685" spans="1:16">
      <c r="A685" s="14">
        <v>11284</v>
      </c>
      <c r="B685" s="14" t="s">
        <v>4097</v>
      </c>
      <c r="C685" s="14" t="s">
        <v>1220</v>
      </c>
      <c r="D685" s="4" t="s">
        <v>19</v>
      </c>
      <c r="E685" s="14">
        <v>111701</v>
      </c>
      <c r="F685" s="14">
        <v>15770479303</v>
      </c>
      <c r="G685" s="14">
        <v>514739876</v>
      </c>
      <c r="H685" s="28" t="s">
        <v>4098</v>
      </c>
      <c r="I685" s="28" t="s">
        <v>4098</v>
      </c>
      <c r="J685" s="3" t="s">
        <v>4099</v>
      </c>
      <c r="K685" s="15" t="s">
        <v>4100</v>
      </c>
      <c r="L685" s="25"/>
      <c r="N685" s="3">
        <v>98000316</v>
      </c>
      <c r="P685" s="37" t="s">
        <v>25</v>
      </c>
    </row>
    <row r="686" spans="1:16">
      <c r="A686" s="14">
        <v>11285</v>
      </c>
      <c r="B686" s="14"/>
      <c r="C686" s="14" t="s">
        <v>1220</v>
      </c>
      <c r="D686" s="14"/>
      <c r="E686" s="14"/>
      <c r="F686" s="14"/>
      <c r="G686" s="14"/>
      <c r="H686" s="28"/>
      <c r="I686" s="28"/>
      <c r="L686" s="25"/>
    </row>
    <row r="687" spans="1:16">
      <c r="A687" s="14">
        <v>11286</v>
      </c>
      <c r="B687" s="14"/>
      <c r="C687" s="14" t="s">
        <v>1220</v>
      </c>
      <c r="D687" s="14"/>
      <c r="E687" s="14"/>
      <c r="F687" s="14"/>
      <c r="G687" s="14"/>
      <c r="H687" s="28"/>
      <c r="I687" s="28"/>
      <c r="L687" s="25"/>
    </row>
    <row r="688" spans="1:16">
      <c r="A688" s="14">
        <v>11287</v>
      </c>
      <c r="B688" s="14"/>
      <c r="C688" s="14" t="s">
        <v>1220</v>
      </c>
      <c r="D688" s="14"/>
      <c r="E688" s="14"/>
      <c r="F688" s="14"/>
      <c r="G688" s="14"/>
      <c r="H688" s="28"/>
      <c r="I688" s="28"/>
      <c r="L688" s="25"/>
    </row>
    <row r="689" spans="1:16">
      <c r="A689" s="14">
        <v>11288</v>
      </c>
      <c r="B689" s="14"/>
      <c r="C689" s="14" t="s">
        <v>1220</v>
      </c>
      <c r="D689" s="14"/>
      <c r="E689" s="14"/>
      <c r="F689" s="14"/>
      <c r="G689" s="14"/>
      <c r="H689" s="28"/>
      <c r="I689" s="28"/>
      <c r="L689" s="25"/>
    </row>
    <row r="690" spans="1:16">
      <c r="A690" s="14">
        <v>11289</v>
      </c>
      <c r="B690" s="14" t="s">
        <v>2479</v>
      </c>
      <c r="C690" s="14" t="s">
        <v>1220</v>
      </c>
      <c r="D690" s="4" t="s">
        <v>19</v>
      </c>
      <c r="E690" s="14">
        <v>109590</v>
      </c>
      <c r="F690" s="14">
        <v>14299667369</v>
      </c>
      <c r="G690" s="14">
        <v>495621060</v>
      </c>
      <c r="H690" s="28" t="s">
        <v>2480</v>
      </c>
      <c r="I690" s="28" t="s">
        <v>2480</v>
      </c>
      <c r="J690" s="3" t="s">
        <v>2481</v>
      </c>
      <c r="K690" s="15" t="s">
        <v>4101</v>
      </c>
      <c r="L690" s="25"/>
      <c r="N690" s="15" t="s">
        <v>4102</v>
      </c>
      <c r="P690" s="37" t="s">
        <v>25</v>
      </c>
    </row>
    <row r="691" spans="1:16">
      <c r="A691" s="14">
        <v>11290</v>
      </c>
      <c r="B691" s="14" t="s">
        <v>2483</v>
      </c>
      <c r="C691" s="14" t="s">
        <v>1220</v>
      </c>
      <c r="D691" s="4" t="s">
        <v>19</v>
      </c>
      <c r="E691" s="14">
        <v>109580</v>
      </c>
      <c r="F691" s="14">
        <v>14299420868</v>
      </c>
      <c r="G691" s="14">
        <v>495621173</v>
      </c>
      <c r="H691" s="28" t="s">
        <v>2484</v>
      </c>
      <c r="I691" s="28" t="s">
        <v>2484</v>
      </c>
      <c r="J691" s="3" t="s">
        <v>2485</v>
      </c>
      <c r="K691" s="15" t="s">
        <v>4103</v>
      </c>
      <c r="L691" s="25"/>
      <c r="N691" s="15" t="s">
        <v>4104</v>
      </c>
      <c r="P691" s="37" t="s">
        <v>25</v>
      </c>
    </row>
    <row r="692" spans="1:16">
      <c r="A692" s="14">
        <v>11291</v>
      </c>
      <c r="B692" s="14"/>
      <c r="C692" s="14" t="s">
        <v>1220</v>
      </c>
      <c r="D692" s="14"/>
      <c r="E692" s="14"/>
      <c r="F692" s="14"/>
      <c r="G692" s="14"/>
      <c r="H692" s="28"/>
      <c r="I692" s="28"/>
      <c r="L692" s="25"/>
    </row>
    <row r="693" spans="1:16">
      <c r="A693" s="14">
        <v>11292</v>
      </c>
      <c r="B693" s="14"/>
      <c r="C693" s="14" t="s">
        <v>1220</v>
      </c>
      <c r="D693" s="14"/>
      <c r="E693" s="14"/>
      <c r="F693" s="14"/>
      <c r="G693" s="14"/>
      <c r="H693" s="28"/>
      <c r="I693" s="28"/>
      <c r="L693" s="25"/>
    </row>
    <row r="694" spans="1:16">
      <c r="A694" s="14">
        <v>11293</v>
      </c>
      <c r="B694" s="14" t="s">
        <v>4105</v>
      </c>
      <c r="C694" s="14" t="s">
        <v>1220</v>
      </c>
      <c r="D694" s="4" t="s">
        <v>19</v>
      </c>
      <c r="E694" s="14">
        <v>111879</v>
      </c>
      <c r="F694" s="14">
        <v>15775513409</v>
      </c>
      <c r="G694" s="14">
        <v>514739804</v>
      </c>
      <c r="H694" s="28" t="s">
        <v>4106</v>
      </c>
      <c r="I694" s="28" t="s">
        <v>4106</v>
      </c>
      <c r="J694" s="3" t="s">
        <v>4107</v>
      </c>
      <c r="K694" s="15" t="s">
        <v>4108</v>
      </c>
      <c r="L694" s="25"/>
      <c r="N694" s="15" t="s">
        <v>4109</v>
      </c>
      <c r="P694" s="37" t="s">
        <v>25</v>
      </c>
    </row>
    <row r="695" spans="1:16">
      <c r="A695" s="14">
        <v>11294</v>
      </c>
      <c r="B695" s="14" t="s">
        <v>2490</v>
      </c>
      <c r="C695" s="14" t="s">
        <v>1220</v>
      </c>
      <c r="D695" s="4" t="s">
        <v>19</v>
      </c>
      <c r="E695" s="14">
        <v>109608</v>
      </c>
      <c r="F695" s="14">
        <v>14351324489</v>
      </c>
      <c r="G695" s="14">
        <v>496287338</v>
      </c>
      <c r="H695" s="28" t="s">
        <v>2491</v>
      </c>
      <c r="I695" s="28" t="s">
        <v>2491</v>
      </c>
      <c r="J695" s="3" t="s">
        <v>2492</v>
      </c>
      <c r="K695" s="15" t="s">
        <v>4110</v>
      </c>
      <c r="L695" s="25"/>
      <c r="N695" s="15" t="s">
        <v>4111</v>
      </c>
      <c r="P695" s="37" t="s">
        <v>25</v>
      </c>
    </row>
    <row r="696" spans="1:16">
      <c r="A696" s="14">
        <v>11295</v>
      </c>
      <c r="B696" s="14" t="s">
        <v>2494</v>
      </c>
      <c r="C696" s="14" t="s">
        <v>1220</v>
      </c>
      <c r="D696" s="4" t="s">
        <v>19</v>
      </c>
      <c r="E696" s="14">
        <v>109478</v>
      </c>
      <c r="F696" s="14">
        <v>14295534349</v>
      </c>
      <c r="G696" s="14">
        <v>495621097</v>
      </c>
      <c r="H696" s="28" t="s">
        <v>2495</v>
      </c>
      <c r="I696" s="28" t="s">
        <v>2495</v>
      </c>
      <c r="J696" s="3" t="s">
        <v>2496</v>
      </c>
      <c r="K696" s="15" t="s">
        <v>4112</v>
      </c>
      <c r="L696" s="25"/>
      <c r="N696" s="15" t="s">
        <v>4113</v>
      </c>
      <c r="P696" s="37" t="s">
        <v>25</v>
      </c>
    </row>
    <row r="697" spans="1:16">
      <c r="A697" s="14">
        <v>11296</v>
      </c>
      <c r="B697" s="14" t="s">
        <v>2498</v>
      </c>
      <c r="C697" s="14" t="s">
        <v>1220</v>
      </c>
      <c r="D697" s="4" t="s">
        <v>19</v>
      </c>
      <c r="E697" s="14">
        <v>109471</v>
      </c>
      <c r="F697" s="14">
        <v>14295524489</v>
      </c>
      <c r="G697" s="14">
        <v>495621244</v>
      </c>
      <c r="H697" s="28" t="s">
        <v>2499</v>
      </c>
      <c r="I697" s="28" t="s">
        <v>2499</v>
      </c>
      <c r="J697" s="3" t="s">
        <v>2500</v>
      </c>
      <c r="K697" s="15" t="s">
        <v>4114</v>
      </c>
      <c r="L697" s="25"/>
      <c r="N697" s="15" t="s">
        <v>4115</v>
      </c>
      <c r="P697" s="37" t="s">
        <v>25</v>
      </c>
    </row>
    <row r="698" spans="1:16">
      <c r="A698" s="14">
        <v>11297</v>
      </c>
      <c r="B698" s="14" t="s">
        <v>4116</v>
      </c>
      <c r="C698" s="14" t="s">
        <v>1220</v>
      </c>
      <c r="D698" s="4" t="s">
        <v>19</v>
      </c>
      <c r="E698" s="14">
        <v>111815</v>
      </c>
      <c r="F698" s="14">
        <v>15775230943</v>
      </c>
      <c r="G698" s="14">
        <v>514739931</v>
      </c>
      <c r="H698" s="28" t="s">
        <v>4117</v>
      </c>
      <c r="I698" s="28" t="s">
        <v>4117</v>
      </c>
      <c r="J698" s="3" t="s">
        <v>4118</v>
      </c>
      <c r="K698" s="15" t="s">
        <v>4119</v>
      </c>
      <c r="L698" s="25"/>
      <c r="N698" s="15" t="s">
        <v>4120</v>
      </c>
      <c r="P698" s="37" t="s">
        <v>25</v>
      </c>
    </row>
    <row r="699" spans="1:16">
      <c r="A699" s="14">
        <v>11298</v>
      </c>
      <c r="B699" s="14" t="s">
        <v>4121</v>
      </c>
      <c r="C699" s="14" t="s">
        <v>1220</v>
      </c>
      <c r="D699" s="4" t="s">
        <v>19</v>
      </c>
      <c r="E699" s="14">
        <v>111900</v>
      </c>
      <c r="F699" s="14">
        <v>15775623975</v>
      </c>
      <c r="G699" s="14">
        <v>514739747</v>
      </c>
      <c r="H699" s="28" t="s">
        <v>4122</v>
      </c>
      <c r="I699" s="28" t="s">
        <v>4122</v>
      </c>
      <c r="J699" s="3" t="s">
        <v>4121</v>
      </c>
      <c r="K699" s="15" t="s">
        <v>4123</v>
      </c>
      <c r="L699" s="25"/>
      <c r="N699" s="15" t="s">
        <v>4124</v>
      </c>
      <c r="P699" s="37" t="s">
        <v>25</v>
      </c>
    </row>
    <row r="700" spans="1:16">
      <c r="A700" s="14">
        <v>11299</v>
      </c>
      <c r="B700" s="14" t="s">
        <v>4125</v>
      </c>
      <c r="C700" s="14" t="s">
        <v>1220</v>
      </c>
      <c r="D700" s="4" t="s">
        <v>19</v>
      </c>
      <c r="E700" s="14">
        <v>111826</v>
      </c>
      <c r="F700" s="14">
        <v>15775284108</v>
      </c>
      <c r="G700" s="14">
        <v>514739846</v>
      </c>
      <c r="H700" s="28" t="s">
        <v>4126</v>
      </c>
      <c r="I700" s="28" t="s">
        <v>4126</v>
      </c>
      <c r="J700" s="3" t="s">
        <v>4127</v>
      </c>
      <c r="K700" s="15" t="s">
        <v>4128</v>
      </c>
      <c r="L700" s="25"/>
      <c r="N700" s="15" t="s">
        <v>4129</v>
      </c>
      <c r="P700" s="37" t="s">
        <v>25</v>
      </c>
    </row>
    <row r="701" spans="1:16" s="6" customFormat="1" ht="15.75" thickBot="1">
      <c r="A701" s="17">
        <v>11300</v>
      </c>
      <c r="B701" s="17" t="s">
        <v>4130</v>
      </c>
      <c r="C701" s="17" t="s">
        <v>1220</v>
      </c>
      <c r="D701" s="6" t="s">
        <v>19</v>
      </c>
      <c r="E701" s="17">
        <v>111835</v>
      </c>
      <c r="F701" s="17">
        <v>15775328386</v>
      </c>
      <c r="G701" s="17">
        <v>514739826</v>
      </c>
      <c r="H701" s="30" t="s">
        <v>4131</v>
      </c>
      <c r="I701" s="30" t="s">
        <v>4131</v>
      </c>
      <c r="J701" s="6" t="s">
        <v>4132</v>
      </c>
      <c r="K701" s="18" t="s">
        <v>4133</v>
      </c>
      <c r="L701" s="26"/>
      <c r="N701" s="18" t="s">
        <v>4134</v>
      </c>
      <c r="P701" s="44" t="s">
        <v>25</v>
      </c>
    </row>
    <row r="702" spans="1:16" s="4" customFormat="1">
      <c r="G702" s="75"/>
      <c r="H702" s="10"/>
      <c r="I702" s="10"/>
      <c r="L702" s="24"/>
    </row>
    <row r="703" spans="1:16">
      <c r="G703" s="76"/>
      <c r="L703" s="25"/>
    </row>
    <row r="704" spans="1:16">
      <c r="G704" s="76"/>
      <c r="L704" s="25"/>
    </row>
    <row r="705" spans="7:12">
      <c r="G705" s="76"/>
      <c r="L705" s="25"/>
    </row>
    <row r="706" spans="7:12">
      <c r="G706" s="76"/>
    </row>
    <row r="707" spans="7:12">
      <c r="G707" s="76"/>
    </row>
    <row r="708" spans="7:12">
      <c r="G708" s="76"/>
    </row>
    <row r="709" spans="7:12">
      <c r="G709" s="76"/>
    </row>
    <row r="710" spans="7:12">
      <c r="G710" s="76"/>
    </row>
    <row r="711" spans="7:12">
      <c r="G711" s="76"/>
    </row>
    <row r="712" spans="7:12">
      <c r="G712" s="76"/>
    </row>
    <row r="713" spans="7:12">
      <c r="G713" s="76"/>
    </row>
    <row r="714" spans="7:12">
      <c r="G714" s="76"/>
    </row>
    <row r="715" spans="7:12">
      <c r="G715" s="76"/>
    </row>
    <row r="716" spans="7:12">
      <c r="G716" s="76"/>
    </row>
    <row r="717" spans="7:12">
      <c r="G717" s="76"/>
    </row>
    <row r="718" spans="7:12">
      <c r="G718" s="76"/>
    </row>
    <row r="719" spans="7:12">
      <c r="G719" s="76"/>
    </row>
    <row r="720" spans="7:12">
      <c r="G720" s="76"/>
    </row>
    <row r="721" spans="7:7">
      <c r="G721" s="76"/>
    </row>
    <row r="722" spans="7:7">
      <c r="G722" s="76"/>
    </row>
    <row r="723" spans="7:7">
      <c r="G723" s="76"/>
    </row>
    <row r="724" spans="7:7">
      <c r="G724" s="76"/>
    </row>
    <row r="725" spans="7:7">
      <c r="G725" s="76"/>
    </row>
    <row r="726" spans="7:7">
      <c r="G726" s="76"/>
    </row>
    <row r="727" spans="7:7">
      <c r="G727" s="76"/>
    </row>
    <row r="728" spans="7:7">
      <c r="G728" s="76"/>
    </row>
  </sheetData>
  <autoFilter ref="A1:Q705" xr:uid="{A414CD6E-D554-41E9-B9AE-3C1E86D1A60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BA311-829F-43C7-AA8D-1733539D531D}">
  <dimension ref="A1:M1035"/>
  <sheetViews>
    <sheetView tabSelected="1" zoomScaleNormal="100" workbookViewId="0">
      <pane ySplit="1" topLeftCell="A139" activePane="bottomLeft" state="frozen"/>
      <selection pane="bottomLeft" activeCell="H141" sqref="H141"/>
    </sheetView>
  </sheetViews>
  <sheetFormatPr defaultColWidth="8.5703125" defaultRowHeight="15"/>
  <cols>
    <col min="1" max="1" width="15.5703125" style="3" bestFit="1" customWidth="1"/>
    <col min="2" max="2" width="32.42578125" style="3" customWidth="1"/>
    <col min="3" max="3" width="13.140625" style="3" bestFit="1" customWidth="1"/>
    <col min="4" max="4" width="19.42578125" style="3" customWidth="1"/>
    <col min="5" max="5" width="21.42578125" style="3" bestFit="1" customWidth="1"/>
    <col min="6" max="7" width="21.42578125" style="3" customWidth="1"/>
    <col min="8" max="8" width="32.42578125" style="32" bestFit="1" customWidth="1"/>
    <col min="9" max="9" width="26.140625" style="32" bestFit="1" customWidth="1"/>
    <col min="10" max="10" width="255.7109375" style="32" bestFit="1" customWidth="1"/>
    <col min="11" max="11" width="16.5703125" style="3" bestFit="1" customWidth="1"/>
    <col min="12" max="12" width="30.42578125" style="3" bestFit="1" customWidth="1"/>
    <col min="13" max="13" width="34.140625" style="3" bestFit="1" customWidth="1"/>
    <col min="14" max="16384" width="8.5703125" style="3"/>
  </cols>
  <sheetData>
    <row r="1" spans="1:13" s="2" customFormat="1">
      <c r="A1" s="2" t="s">
        <v>0</v>
      </c>
      <c r="B1" s="2" t="s">
        <v>1</v>
      </c>
      <c r="C1" s="2" t="s">
        <v>2</v>
      </c>
      <c r="D1" s="1" t="s">
        <v>3</v>
      </c>
      <c r="E1" s="2" t="s">
        <v>4</v>
      </c>
      <c r="F1" s="2" t="s">
        <v>5</v>
      </c>
      <c r="G1" s="2" t="s">
        <v>6</v>
      </c>
      <c r="H1" s="1" t="s">
        <v>7</v>
      </c>
      <c r="I1" s="1" t="s">
        <v>8</v>
      </c>
      <c r="J1" s="1" t="s">
        <v>4135</v>
      </c>
      <c r="K1" s="2" t="s">
        <v>14</v>
      </c>
      <c r="L1" s="2" t="s">
        <v>4136</v>
      </c>
      <c r="M1" s="2" t="s">
        <v>4137</v>
      </c>
    </row>
    <row r="2" spans="1:13" s="4" customFormat="1">
      <c r="A2" s="4">
        <v>8101</v>
      </c>
      <c r="B2" s="4" t="s">
        <v>17</v>
      </c>
      <c r="C2" s="3" t="s">
        <v>18</v>
      </c>
      <c r="D2" s="4" t="s">
        <v>19</v>
      </c>
      <c r="E2" s="4">
        <v>100371</v>
      </c>
      <c r="F2" s="4">
        <v>9010079773</v>
      </c>
      <c r="G2" s="4">
        <v>427517053</v>
      </c>
      <c r="H2" s="33" t="s">
        <v>20</v>
      </c>
      <c r="I2" s="33" t="s">
        <v>21</v>
      </c>
      <c r="J2" s="10"/>
      <c r="L2" s="37" t="s">
        <v>25</v>
      </c>
    </row>
    <row r="3" spans="1:13">
      <c r="A3" s="3">
        <v>8102</v>
      </c>
      <c r="B3" s="3" t="s">
        <v>26</v>
      </c>
      <c r="C3" s="3" t="s">
        <v>18</v>
      </c>
      <c r="D3" s="4" t="s">
        <v>19</v>
      </c>
      <c r="E3" s="3">
        <v>100582</v>
      </c>
      <c r="F3" s="3">
        <v>9192516135</v>
      </c>
      <c r="G3" s="3">
        <v>429861982</v>
      </c>
      <c r="H3" s="32" t="s">
        <v>27</v>
      </c>
      <c r="I3" s="32" t="s">
        <v>28</v>
      </c>
      <c r="J3" s="8"/>
      <c r="L3" s="37" t="s">
        <v>25</v>
      </c>
    </row>
    <row r="4" spans="1:13">
      <c r="A4" s="4">
        <v>8103</v>
      </c>
      <c r="C4" s="3" t="s">
        <v>18</v>
      </c>
      <c r="J4" s="8"/>
    </row>
    <row r="5" spans="1:13">
      <c r="A5" s="3">
        <v>8104</v>
      </c>
      <c r="B5" s="3" t="s">
        <v>31</v>
      </c>
      <c r="C5" s="3" t="s">
        <v>18</v>
      </c>
      <c r="D5" s="4" t="s">
        <v>19</v>
      </c>
      <c r="E5" s="3">
        <v>100432</v>
      </c>
      <c r="F5" s="3">
        <v>9010105410</v>
      </c>
      <c r="G5" s="3">
        <v>427517050</v>
      </c>
      <c r="H5" s="32" t="s">
        <v>32</v>
      </c>
      <c r="I5" s="32" t="s">
        <v>33</v>
      </c>
      <c r="J5" s="8"/>
      <c r="L5" s="37" t="s">
        <v>25</v>
      </c>
    </row>
    <row r="6" spans="1:13">
      <c r="A6" s="4">
        <v>8105</v>
      </c>
      <c r="C6" s="3" t="s">
        <v>18</v>
      </c>
      <c r="J6" s="8"/>
    </row>
    <row r="7" spans="1:13">
      <c r="A7" s="3">
        <v>8106</v>
      </c>
      <c r="C7" s="3" t="s">
        <v>18</v>
      </c>
      <c r="J7" s="8"/>
    </row>
    <row r="8" spans="1:13">
      <c r="A8" s="4">
        <v>8107</v>
      </c>
      <c r="C8" s="3" t="s">
        <v>18</v>
      </c>
      <c r="J8" s="8"/>
    </row>
    <row r="9" spans="1:13">
      <c r="A9" s="3">
        <v>8108</v>
      </c>
      <c r="C9" s="3" t="s">
        <v>18</v>
      </c>
      <c r="J9" s="8"/>
    </row>
    <row r="10" spans="1:13">
      <c r="A10" s="4">
        <v>8109</v>
      </c>
      <c r="C10" s="3" t="s">
        <v>18</v>
      </c>
      <c r="J10" s="8"/>
    </row>
    <row r="11" spans="1:13">
      <c r="A11" s="3">
        <v>8110</v>
      </c>
      <c r="C11" s="3" t="s">
        <v>18</v>
      </c>
      <c r="J11" s="8"/>
    </row>
    <row r="12" spans="1:13">
      <c r="A12" s="3">
        <v>8111</v>
      </c>
      <c r="B12" s="3" t="s">
        <v>36</v>
      </c>
      <c r="C12" s="3" t="s">
        <v>18</v>
      </c>
      <c r="D12" s="4" t="s">
        <v>19</v>
      </c>
      <c r="E12" s="3">
        <v>100417</v>
      </c>
      <c r="F12" s="3">
        <v>9010098841</v>
      </c>
      <c r="G12" s="3">
        <v>427517061</v>
      </c>
      <c r="H12" s="32" t="s">
        <v>37</v>
      </c>
      <c r="I12" s="32" t="s">
        <v>38</v>
      </c>
      <c r="J12" s="8"/>
      <c r="L12" s="37" t="s">
        <v>25</v>
      </c>
    </row>
    <row r="13" spans="1:13">
      <c r="A13" s="3">
        <v>8112</v>
      </c>
      <c r="B13" s="3" t="s">
        <v>41</v>
      </c>
      <c r="C13" s="3" t="s">
        <v>18</v>
      </c>
      <c r="D13" s="4" t="s">
        <v>19</v>
      </c>
      <c r="E13" s="3">
        <v>37159</v>
      </c>
      <c r="F13" s="3">
        <v>312864873</v>
      </c>
      <c r="G13" s="3">
        <v>235665557</v>
      </c>
      <c r="H13" s="32" t="s">
        <v>42</v>
      </c>
      <c r="I13" s="32" t="s">
        <v>43</v>
      </c>
      <c r="J13" s="8"/>
      <c r="L13" s="37" t="s">
        <v>25</v>
      </c>
    </row>
    <row r="14" spans="1:13">
      <c r="A14" s="4">
        <v>8113</v>
      </c>
      <c r="C14" s="3" t="s">
        <v>18</v>
      </c>
      <c r="J14" s="8"/>
    </row>
    <row r="15" spans="1:13">
      <c r="A15" s="3">
        <v>8114</v>
      </c>
      <c r="C15" s="3" t="s">
        <v>18</v>
      </c>
      <c r="J15" s="8"/>
    </row>
    <row r="16" spans="1:13">
      <c r="A16" s="4">
        <v>8115</v>
      </c>
      <c r="C16" s="3" t="s">
        <v>18</v>
      </c>
      <c r="J16" s="8"/>
    </row>
    <row r="17" spans="1:12">
      <c r="A17" s="3">
        <v>8116</v>
      </c>
      <c r="C17" s="3" t="s">
        <v>18</v>
      </c>
      <c r="J17" s="8"/>
    </row>
    <row r="18" spans="1:12">
      <c r="A18" s="3">
        <v>8117</v>
      </c>
      <c r="B18" s="3" t="s">
        <v>46</v>
      </c>
      <c r="C18" s="3" t="s">
        <v>18</v>
      </c>
      <c r="D18" s="4" t="s">
        <v>19</v>
      </c>
      <c r="E18" s="3">
        <v>109771</v>
      </c>
      <c r="F18" s="3">
        <v>14580966827</v>
      </c>
      <c r="G18" s="3">
        <v>499315358</v>
      </c>
      <c r="H18" s="32" t="s">
        <v>47</v>
      </c>
      <c r="I18" s="32" t="s">
        <v>48</v>
      </c>
      <c r="J18" s="8"/>
      <c r="L18" s="37" t="s">
        <v>25</v>
      </c>
    </row>
    <row r="19" spans="1:12" ht="30">
      <c r="A19" s="3">
        <v>8118</v>
      </c>
      <c r="B19" s="3" t="s">
        <v>52</v>
      </c>
      <c r="C19" s="3" t="s">
        <v>18</v>
      </c>
      <c r="D19" s="4" t="s">
        <v>19</v>
      </c>
      <c r="E19" s="3">
        <v>100370</v>
      </c>
      <c r="F19" s="3">
        <v>9010079772</v>
      </c>
      <c r="G19" s="3">
        <v>427517072</v>
      </c>
      <c r="H19" s="32" t="s">
        <v>53</v>
      </c>
      <c r="I19" s="32" t="s">
        <v>54</v>
      </c>
      <c r="J19" s="8"/>
      <c r="L19" s="37" t="s">
        <v>25</v>
      </c>
    </row>
    <row r="20" spans="1:12">
      <c r="A20" s="3">
        <v>8119</v>
      </c>
      <c r="B20" s="3" t="s">
        <v>57</v>
      </c>
      <c r="C20" s="3" t="s">
        <v>18</v>
      </c>
      <c r="D20" s="4" t="s">
        <v>19</v>
      </c>
      <c r="E20" s="3">
        <v>100400</v>
      </c>
      <c r="F20" s="3">
        <v>9010089140</v>
      </c>
      <c r="G20" s="3">
        <v>427517024</v>
      </c>
      <c r="H20" s="32" t="s">
        <v>58</v>
      </c>
      <c r="I20" s="32" t="s">
        <v>59</v>
      </c>
      <c r="J20" s="8"/>
      <c r="L20" s="37" t="s">
        <v>25</v>
      </c>
    </row>
    <row r="21" spans="1:12">
      <c r="A21" s="3">
        <v>8120</v>
      </c>
      <c r="B21" s="3" t="s">
        <v>62</v>
      </c>
      <c r="C21" s="3" t="s">
        <v>18</v>
      </c>
      <c r="D21" s="4" t="s">
        <v>19</v>
      </c>
      <c r="E21" s="3">
        <v>100364</v>
      </c>
      <c r="F21" s="3">
        <v>9010077077</v>
      </c>
      <c r="G21" s="3">
        <v>427517054</v>
      </c>
      <c r="H21" s="32" t="s">
        <v>63</v>
      </c>
      <c r="I21" s="32" t="s">
        <v>64</v>
      </c>
      <c r="J21" s="8"/>
      <c r="L21" s="37" t="s">
        <v>25</v>
      </c>
    </row>
    <row r="22" spans="1:12">
      <c r="A22" s="3">
        <v>8121</v>
      </c>
      <c r="B22" s="3" t="s">
        <v>67</v>
      </c>
      <c r="C22" s="3" t="s">
        <v>18</v>
      </c>
      <c r="D22" s="4" t="s">
        <v>19</v>
      </c>
      <c r="E22" s="3">
        <v>100408</v>
      </c>
      <c r="F22" s="3">
        <v>9010092582</v>
      </c>
      <c r="G22" s="3">
        <v>427517034</v>
      </c>
      <c r="H22" s="32" t="s">
        <v>68</v>
      </c>
      <c r="I22" s="32" t="s">
        <v>69</v>
      </c>
      <c r="J22" s="8"/>
      <c r="L22" s="37" t="s">
        <v>25</v>
      </c>
    </row>
    <row r="23" spans="1:12">
      <c r="A23" s="3">
        <v>8122</v>
      </c>
      <c r="B23" s="3" t="s">
        <v>72</v>
      </c>
      <c r="C23" s="3" t="s">
        <v>18</v>
      </c>
      <c r="D23" s="4" t="s">
        <v>19</v>
      </c>
      <c r="E23" s="3">
        <v>100416</v>
      </c>
      <c r="F23" s="3">
        <v>9010098708</v>
      </c>
      <c r="G23" s="3">
        <v>427517019</v>
      </c>
      <c r="H23" s="32" t="s">
        <v>73</v>
      </c>
      <c r="I23" s="32" t="s">
        <v>74</v>
      </c>
      <c r="J23" s="8"/>
      <c r="L23" s="37" t="s">
        <v>25</v>
      </c>
    </row>
    <row r="24" spans="1:12">
      <c r="A24" s="3">
        <v>8123</v>
      </c>
      <c r="B24" s="3" t="s">
        <v>77</v>
      </c>
      <c r="C24" s="3" t="s">
        <v>18</v>
      </c>
      <c r="D24" s="4" t="s">
        <v>19</v>
      </c>
      <c r="E24" s="3">
        <v>100413</v>
      </c>
      <c r="F24" s="3">
        <v>9010096138</v>
      </c>
      <c r="G24" s="3">
        <v>427517067</v>
      </c>
      <c r="H24" s="32" t="s">
        <v>78</v>
      </c>
      <c r="I24" s="32" t="s">
        <v>79</v>
      </c>
      <c r="J24" s="8"/>
      <c r="L24" s="37" t="s">
        <v>25</v>
      </c>
    </row>
    <row r="25" spans="1:12" ht="30">
      <c r="A25" s="3">
        <v>8124</v>
      </c>
      <c r="B25" s="3" t="s">
        <v>82</v>
      </c>
      <c r="C25" s="3" t="s">
        <v>18</v>
      </c>
      <c r="D25" s="4" t="s">
        <v>19</v>
      </c>
      <c r="E25" s="3">
        <v>100405</v>
      </c>
      <c r="F25" s="3">
        <v>9010089821</v>
      </c>
      <c r="G25" s="3">
        <v>427517068</v>
      </c>
      <c r="H25" s="32" t="s">
        <v>83</v>
      </c>
      <c r="I25" s="32" t="s">
        <v>84</v>
      </c>
      <c r="J25" s="8"/>
      <c r="L25" s="37" t="s">
        <v>25</v>
      </c>
    </row>
    <row r="26" spans="1:12" ht="30">
      <c r="A26" s="3">
        <v>8125</v>
      </c>
      <c r="B26" s="3" t="s">
        <v>87</v>
      </c>
      <c r="C26" s="3" t="s">
        <v>18</v>
      </c>
      <c r="D26" s="4" t="s">
        <v>19</v>
      </c>
      <c r="E26" s="3">
        <v>100406</v>
      </c>
      <c r="F26" s="3">
        <v>9010092184</v>
      </c>
      <c r="G26" s="3">
        <v>427517040</v>
      </c>
      <c r="H26" s="32" t="s">
        <v>88</v>
      </c>
      <c r="I26" s="32" t="s">
        <v>89</v>
      </c>
      <c r="J26" s="8"/>
      <c r="L26" s="37" t="s">
        <v>25</v>
      </c>
    </row>
    <row r="27" spans="1:12">
      <c r="A27" s="3">
        <v>8126</v>
      </c>
      <c r="B27" s="3" t="s">
        <v>92</v>
      </c>
      <c r="C27" s="3" t="s">
        <v>18</v>
      </c>
      <c r="D27" s="4" t="s">
        <v>19</v>
      </c>
      <c r="E27" s="3">
        <v>100407</v>
      </c>
      <c r="F27" s="3">
        <v>9010092350</v>
      </c>
      <c r="G27" s="3">
        <v>427517073</v>
      </c>
      <c r="H27" s="32" t="s">
        <v>93</v>
      </c>
      <c r="I27" s="32" t="s">
        <v>94</v>
      </c>
      <c r="J27" s="8"/>
      <c r="L27" s="37" t="s">
        <v>25</v>
      </c>
    </row>
    <row r="28" spans="1:12">
      <c r="A28" s="4">
        <v>8127</v>
      </c>
      <c r="C28" s="3" t="s">
        <v>18</v>
      </c>
      <c r="J28" s="8"/>
    </row>
    <row r="29" spans="1:12">
      <c r="A29" s="3">
        <v>8128</v>
      </c>
      <c r="B29" s="3" t="s">
        <v>97</v>
      </c>
      <c r="C29" s="3" t="s">
        <v>18</v>
      </c>
      <c r="D29" s="4" t="s">
        <v>19</v>
      </c>
      <c r="E29" s="3">
        <v>100412</v>
      </c>
      <c r="F29" s="3">
        <v>9010094694</v>
      </c>
      <c r="G29" s="3">
        <v>427571159</v>
      </c>
      <c r="H29" s="32" t="s">
        <v>98</v>
      </c>
      <c r="I29" s="32" t="s">
        <v>99</v>
      </c>
      <c r="J29" s="8"/>
      <c r="L29" s="37" t="s">
        <v>25</v>
      </c>
    </row>
    <row r="30" spans="1:12">
      <c r="A30" s="3">
        <v>8129</v>
      </c>
      <c r="B30" s="3" t="s">
        <v>102</v>
      </c>
      <c r="C30" s="3" t="s">
        <v>18</v>
      </c>
      <c r="D30" s="4" t="s">
        <v>19</v>
      </c>
      <c r="E30" s="3">
        <v>100414</v>
      </c>
      <c r="F30" s="3">
        <v>9010098650</v>
      </c>
      <c r="G30" s="3">
        <v>427517026</v>
      </c>
      <c r="H30" s="32" t="s">
        <v>103</v>
      </c>
      <c r="I30" s="32" t="s">
        <v>104</v>
      </c>
      <c r="J30" s="8"/>
      <c r="L30" s="37" t="s">
        <v>25</v>
      </c>
    </row>
    <row r="31" spans="1:12">
      <c r="A31" s="3">
        <v>8130</v>
      </c>
      <c r="B31" s="3" t="s">
        <v>107</v>
      </c>
      <c r="C31" s="3" t="s">
        <v>18</v>
      </c>
      <c r="D31" s="4" t="s">
        <v>19</v>
      </c>
      <c r="E31" s="3">
        <v>100399</v>
      </c>
      <c r="F31" s="3">
        <v>9010089139</v>
      </c>
      <c r="G31" s="3">
        <v>427517006</v>
      </c>
      <c r="H31" s="32" t="s">
        <v>108</v>
      </c>
      <c r="I31" s="32" t="s">
        <v>109</v>
      </c>
      <c r="J31" s="8"/>
      <c r="L31" s="37" t="s">
        <v>25</v>
      </c>
    </row>
    <row r="32" spans="1:12">
      <c r="A32" s="3">
        <v>8131</v>
      </c>
      <c r="B32" s="3" t="s">
        <v>112</v>
      </c>
      <c r="C32" s="3" t="s">
        <v>18</v>
      </c>
      <c r="D32" s="4" t="s">
        <v>19</v>
      </c>
      <c r="E32" s="3">
        <v>101607</v>
      </c>
      <c r="F32" s="3">
        <v>10158522042</v>
      </c>
      <c r="G32" s="3">
        <v>442803426</v>
      </c>
      <c r="H32" s="32" t="s">
        <v>113</v>
      </c>
      <c r="I32" s="32" t="s">
        <v>114</v>
      </c>
      <c r="J32" s="8"/>
      <c r="L32" s="37" t="s">
        <v>25</v>
      </c>
    </row>
    <row r="33" spans="1:12">
      <c r="A33" s="3">
        <v>8132</v>
      </c>
      <c r="B33" s="3" t="s">
        <v>117</v>
      </c>
      <c r="C33" s="3" t="s">
        <v>18</v>
      </c>
      <c r="D33" s="4" t="s">
        <v>19</v>
      </c>
      <c r="E33" s="3">
        <v>101606</v>
      </c>
      <c r="F33" s="3">
        <v>10158517642</v>
      </c>
      <c r="G33" s="3">
        <v>442803415</v>
      </c>
      <c r="H33" s="32" t="s">
        <v>118</v>
      </c>
      <c r="I33" s="32" t="s">
        <v>119</v>
      </c>
      <c r="J33" s="8"/>
      <c r="L33" s="37" t="s">
        <v>25</v>
      </c>
    </row>
    <row r="34" spans="1:12">
      <c r="A34" s="3">
        <v>8133</v>
      </c>
      <c r="B34" s="3" t="s">
        <v>122</v>
      </c>
      <c r="C34" s="3" t="s">
        <v>18</v>
      </c>
      <c r="D34" s="4" t="s">
        <v>19</v>
      </c>
      <c r="E34" s="3">
        <v>101605</v>
      </c>
      <c r="F34" s="3">
        <v>10157721666</v>
      </c>
      <c r="G34" s="3">
        <v>442803411</v>
      </c>
      <c r="H34" s="32" t="s">
        <v>123</v>
      </c>
      <c r="I34" s="32" t="s">
        <v>124</v>
      </c>
      <c r="J34" s="8"/>
      <c r="L34" s="37" t="s">
        <v>25</v>
      </c>
    </row>
    <row r="35" spans="1:12">
      <c r="A35" s="4">
        <v>8134</v>
      </c>
      <c r="C35" s="3" t="s">
        <v>18</v>
      </c>
      <c r="J35" s="8"/>
    </row>
    <row r="36" spans="1:12">
      <c r="A36" s="3">
        <v>8135</v>
      </c>
      <c r="C36" s="3" t="s">
        <v>18</v>
      </c>
      <c r="J36" s="8"/>
    </row>
    <row r="37" spans="1:12">
      <c r="A37" s="4">
        <v>8136</v>
      </c>
      <c r="C37" s="3" t="s">
        <v>18</v>
      </c>
      <c r="J37" s="8"/>
    </row>
    <row r="38" spans="1:12">
      <c r="A38" s="3">
        <v>8137</v>
      </c>
      <c r="C38" s="3" t="s">
        <v>18</v>
      </c>
      <c r="J38" s="8"/>
    </row>
    <row r="39" spans="1:12">
      <c r="A39" s="3">
        <v>8138</v>
      </c>
      <c r="B39" s="3" t="s">
        <v>127</v>
      </c>
      <c r="C39" s="3" t="s">
        <v>18</v>
      </c>
      <c r="D39" s="4" t="s">
        <v>19</v>
      </c>
      <c r="E39" s="3">
        <v>100375</v>
      </c>
      <c r="F39" s="3">
        <v>9010081021</v>
      </c>
      <c r="G39" s="3">
        <v>427517066</v>
      </c>
      <c r="H39" s="32" t="s">
        <v>128</v>
      </c>
      <c r="I39" s="32" t="s">
        <v>129</v>
      </c>
      <c r="J39" s="8"/>
      <c r="L39" s="37" t="s">
        <v>25</v>
      </c>
    </row>
    <row r="40" spans="1:12">
      <c r="A40" s="3">
        <v>8139</v>
      </c>
      <c r="B40" s="3" t="s">
        <v>132</v>
      </c>
      <c r="C40" s="3" t="s">
        <v>18</v>
      </c>
      <c r="D40" s="4" t="s">
        <v>19</v>
      </c>
      <c r="E40" s="3">
        <v>100380</v>
      </c>
      <c r="F40" s="3">
        <v>9010083617</v>
      </c>
      <c r="G40" s="3">
        <v>427517014</v>
      </c>
      <c r="H40" s="32" t="s">
        <v>133</v>
      </c>
      <c r="I40" s="32" t="s">
        <v>134</v>
      </c>
      <c r="J40" s="8"/>
      <c r="L40" s="37" t="s">
        <v>25</v>
      </c>
    </row>
    <row r="41" spans="1:12" ht="30">
      <c r="A41" s="3">
        <v>8140</v>
      </c>
      <c r="B41" s="3" t="s">
        <v>137</v>
      </c>
      <c r="C41" s="3" t="s">
        <v>18</v>
      </c>
      <c r="D41" s="4" t="s">
        <v>19</v>
      </c>
      <c r="E41" s="3">
        <v>100372</v>
      </c>
      <c r="F41" s="3">
        <v>9010081018</v>
      </c>
      <c r="G41" s="3">
        <v>427517043</v>
      </c>
      <c r="H41" s="32" t="s">
        <v>138</v>
      </c>
      <c r="I41" s="32" t="s">
        <v>139</v>
      </c>
      <c r="J41" s="8"/>
      <c r="L41" s="37" t="s">
        <v>25</v>
      </c>
    </row>
    <row r="42" spans="1:12">
      <c r="A42" s="3">
        <v>8141</v>
      </c>
      <c r="B42" s="3" t="s">
        <v>142</v>
      </c>
      <c r="C42" s="3" t="s">
        <v>18</v>
      </c>
      <c r="D42" s="4" t="s">
        <v>19</v>
      </c>
      <c r="E42" s="3">
        <v>109747</v>
      </c>
      <c r="F42" s="3">
        <v>14580532928</v>
      </c>
      <c r="G42" s="3">
        <v>499315356</v>
      </c>
      <c r="H42" s="32" t="s">
        <v>143</v>
      </c>
      <c r="I42" s="32" t="s">
        <v>144</v>
      </c>
      <c r="J42" s="8"/>
      <c r="L42" s="37" t="s">
        <v>25</v>
      </c>
    </row>
    <row r="43" spans="1:12">
      <c r="A43" s="3">
        <v>8142</v>
      </c>
      <c r="B43" s="3" t="s">
        <v>147</v>
      </c>
      <c r="C43" s="3" t="s">
        <v>18</v>
      </c>
      <c r="D43" s="4" t="s">
        <v>19</v>
      </c>
      <c r="E43" s="3">
        <v>100422</v>
      </c>
      <c r="F43" s="3">
        <v>9010099841</v>
      </c>
      <c r="G43" s="3">
        <v>427517042</v>
      </c>
      <c r="H43" s="32" t="s">
        <v>148</v>
      </c>
      <c r="I43" s="32" t="s">
        <v>149</v>
      </c>
      <c r="J43" s="8"/>
      <c r="L43" s="37" t="s">
        <v>25</v>
      </c>
    </row>
    <row r="44" spans="1:12">
      <c r="A44" s="3">
        <v>8143</v>
      </c>
      <c r="B44" s="3" t="s">
        <v>152</v>
      </c>
      <c r="C44" s="3" t="s">
        <v>18</v>
      </c>
      <c r="D44" s="4" t="s">
        <v>19</v>
      </c>
      <c r="E44" s="3">
        <v>101613</v>
      </c>
      <c r="F44" s="3">
        <v>10158690267</v>
      </c>
      <c r="G44" s="3">
        <v>442803422</v>
      </c>
      <c r="H44" s="32" t="s">
        <v>153</v>
      </c>
      <c r="I44" s="32" t="s">
        <v>154</v>
      </c>
      <c r="J44" s="8"/>
      <c r="L44" s="37" t="s">
        <v>25</v>
      </c>
    </row>
    <row r="45" spans="1:12">
      <c r="A45" s="4">
        <v>8144</v>
      </c>
      <c r="C45" s="3" t="s">
        <v>18</v>
      </c>
      <c r="J45" s="8"/>
    </row>
    <row r="46" spans="1:12">
      <c r="A46" s="3">
        <v>8145</v>
      </c>
      <c r="C46" s="3" t="s">
        <v>18</v>
      </c>
      <c r="J46" s="8"/>
    </row>
    <row r="47" spans="1:12">
      <c r="A47" s="4">
        <v>8146</v>
      </c>
      <c r="C47" s="3" t="s">
        <v>18</v>
      </c>
      <c r="J47" s="8"/>
    </row>
    <row r="48" spans="1:12">
      <c r="A48" s="3">
        <v>8147</v>
      </c>
      <c r="C48" s="3" t="s">
        <v>18</v>
      </c>
      <c r="J48" s="8"/>
    </row>
    <row r="49" spans="1:12">
      <c r="A49" s="3">
        <v>8148</v>
      </c>
      <c r="B49" s="3" t="s">
        <v>157</v>
      </c>
      <c r="C49" s="3" t="s">
        <v>18</v>
      </c>
      <c r="D49" s="4" t="s">
        <v>19</v>
      </c>
      <c r="E49" s="3">
        <v>100376</v>
      </c>
      <c r="F49" s="3">
        <v>9010081022</v>
      </c>
      <c r="G49" s="3">
        <v>427517047</v>
      </c>
      <c r="H49" s="32" t="s">
        <v>158</v>
      </c>
      <c r="I49" s="32" t="s">
        <v>159</v>
      </c>
      <c r="J49" s="8"/>
      <c r="L49" s="37" t="s">
        <v>25</v>
      </c>
    </row>
    <row r="50" spans="1:12">
      <c r="A50" s="3">
        <v>8149</v>
      </c>
      <c r="B50" s="3" t="s">
        <v>163</v>
      </c>
      <c r="C50" s="3" t="s">
        <v>18</v>
      </c>
      <c r="D50" s="4" t="s">
        <v>19</v>
      </c>
      <c r="E50" s="3">
        <v>109757</v>
      </c>
      <c r="F50" s="3">
        <v>14580951994</v>
      </c>
      <c r="G50" s="3">
        <v>499315289</v>
      </c>
      <c r="H50" s="32" t="s">
        <v>164</v>
      </c>
      <c r="I50" s="32" t="s">
        <v>165</v>
      </c>
      <c r="J50" s="8"/>
      <c r="L50" s="37" t="s">
        <v>25</v>
      </c>
    </row>
    <row r="51" spans="1:12">
      <c r="A51" s="3">
        <v>8150</v>
      </c>
      <c r="B51" s="3" t="s">
        <v>168</v>
      </c>
      <c r="C51" s="3" t="s">
        <v>18</v>
      </c>
      <c r="D51" s="4" t="s">
        <v>19</v>
      </c>
      <c r="E51" s="3">
        <v>109759</v>
      </c>
      <c r="F51" s="3">
        <v>14580957527</v>
      </c>
      <c r="G51" s="3">
        <v>499315303</v>
      </c>
      <c r="H51" s="32" t="s">
        <v>169</v>
      </c>
      <c r="I51" s="32" t="s">
        <v>170</v>
      </c>
      <c r="J51" s="8"/>
      <c r="L51" s="37" t="s">
        <v>25</v>
      </c>
    </row>
    <row r="52" spans="1:12">
      <c r="A52" s="3">
        <v>8151</v>
      </c>
      <c r="B52" s="3" t="s">
        <v>173</v>
      </c>
      <c r="C52" s="3" t="s">
        <v>18</v>
      </c>
      <c r="D52" s="4" t="s">
        <v>19</v>
      </c>
      <c r="E52" s="3">
        <v>101614</v>
      </c>
      <c r="F52" s="3">
        <v>10158701567</v>
      </c>
      <c r="G52" s="3">
        <v>442803400</v>
      </c>
      <c r="H52" s="32" t="s">
        <v>174</v>
      </c>
      <c r="I52" s="32" t="s">
        <v>175</v>
      </c>
      <c r="J52" s="8"/>
      <c r="L52" s="37" t="s">
        <v>25</v>
      </c>
    </row>
    <row r="53" spans="1:12">
      <c r="A53" s="3">
        <v>8152</v>
      </c>
      <c r="B53" s="3" t="s">
        <v>178</v>
      </c>
      <c r="C53" s="3" t="s">
        <v>18</v>
      </c>
      <c r="D53" s="4" t="s">
        <v>19</v>
      </c>
      <c r="E53" s="3">
        <v>100390</v>
      </c>
      <c r="F53" s="3">
        <v>9010086093</v>
      </c>
      <c r="G53" s="3">
        <v>427517046</v>
      </c>
      <c r="H53" s="32" t="s">
        <v>179</v>
      </c>
      <c r="I53" s="32" t="s">
        <v>180</v>
      </c>
      <c r="J53" s="8"/>
      <c r="L53" s="37" t="s">
        <v>25</v>
      </c>
    </row>
    <row r="54" spans="1:12">
      <c r="A54" s="3">
        <v>8153</v>
      </c>
      <c r="B54" s="3" t="s">
        <v>183</v>
      </c>
      <c r="C54" s="3" t="s">
        <v>18</v>
      </c>
      <c r="D54" s="4" t="s">
        <v>19</v>
      </c>
      <c r="E54" s="3">
        <v>100420</v>
      </c>
      <c r="F54" s="3">
        <v>9010099620</v>
      </c>
      <c r="G54" s="3">
        <v>427517076</v>
      </c>
      <c r="H54" s="32" t="s">
        <v>184</v>
      </c>
      <c r="I54" s="32" t="s">
        <v>185</v>
      </c>
      <c r="J54" s="8"/>
      <c r="L54" s="37" t="s">
        <v>25</v>
      </c>
    </row>
    <row r="55" spans="1:12">
      <c r="A55" s="4">
        <v>8154</v>
      </c>
      <c r="C55" s="3" t="s">
        <v>18</v>
      </c>
      <c r="J55" s="8"/>
    </row>
    <row r="56" spans="1:12">
      <c r="A56" s="3">
        <v>8155</v>
      </c>
      <c r="C56" s="3" t="s">
        <v>18</v>
      </c>
      <c r="J56" s="8"/>
    </row>
    <row r="57" spans="1:12">
      <c r="A57" s="4">
        <v>8156</v>
      </c>
      <c r="C57" s="3" t="s">
        <v>18</v>
      </c>
      <c r="J57" s="8"/>
    </row>
    <row r="58" spans="1:12">
      <c r="A58" s="3">
        <v>8157</v>
      </c>
      <c r="C58" s="3" t="s">
        <v>18</v>
      </c>
      <c r="J58" s="8"/>
    </row>
    <row r="59" spans="1:12">
      <c r="A59" s="3">
        <v>8158</v>
      </c>
      <c r="B59" s="3" t="s">
        <v>189</v>
      </c>
      <c r="C59" s="3" t="s">
        <v>18</v>
      </c>
      <c r="D59" s="4" t="s">
        <v>19</v>
      </c>
      <c r="E59" s="3">
        <v>109769</v>
      </c>
      <c r="F59" s="3">
        <v>14580964229</v>
      </c>
      <c r="G59" s="3">
        <v>499315351</v>
      </c>
      <c r="H59" s="32" t="s">
        <v>190</v>
      </c>
      <c r="I59" s="32" t="s">
        <v>191</v>
      </c>
      <c r="J59" s="8"/>
      <c r="L59" s="37" t="s">
        <v>25</v>
      </c>
    </row>
    <row r="60" spans="1:12" ht="30">
      <c r="A60" s="3">
        <v>8159</v>
      </c>
      <c r="B60" s="3" t="s">
        <v>194</v>
      </c>
      <c r="C60" s="3" t="s">
        <v>18</v>
      </c>
      <c r="D60" s="4" t="s">
        <v>19</v>
      </c>
      <c r="E60" s="3">
        <v>109728</v>
      </c>
      <c r="F60" s="3">
        <v>14568761564</v>
      </c>
      <c r="G60" s="3">
        <v>499197895</v>
      </c>
      <c r="H60" s="32" t="s">
        <v>195</v>
      </c>
      <c r="I60" s="32" t="s">
        <v>196</v>
      </c>
      <c r="J60" s="8"/>
      <c r="L60" s="37" t="s">
        <v>25</v>
      </c>
    </row>
    <row r="61" spans="1:12" ht="30">
      <c r="A61" s="3">
        <v>8160</v>
      </c>
      <c r="B61" s="3" t="s">
        <v>199</v>
      </c>
      <c r="C61" s="3" t="s">
        <v>18</v>
      </c>
      <c r="D61" s="4" t="s">
        <v>19</v>
      </c>
      <c r="E61" s="3">
        <v>109784</v>
      </c>
      <c r="F61" s="3">
        <v>14580986141</v>
      </c>
      <c r="G61" s="3">
        <v>499315294</v>
      </c>
      <c r="H61" s="32" t="s">
        <v>200</v>
      </c>
      <c r="I61" s="32" t="s">
        <v>201</v>
      </c>
      <c r="J61" s="8"/>
      <c r="L61" s="37" t="s">
        <v>25</v>
      </c>
    </row>
    <row r="62" spans="1:12">
      <c r="A62" s="3">
        <v>8161</v>
      </c>
      <c r="B62" s="3" t="s">
        <v>204</v>
      </c>
      <c r="C62" s="3" t="s">
        <v>18</v>
      </c>
      <c r="D62" s="4" t="s">
        <v>19</v>
      </c>
      <c r="E62" s="3">
        <v>109775</v>
      </c>
      <c r="F62" s="3">
        <v>14580971546</v>
      </c>
      <c r="G62" s="3">
        <v>499315291</v>
      </c>
      <c r="H62" s="32" t="s">
        <v>205</v>
      </c>
      <c r="I62" s="32" t="s">
        <v>206</v>
      </c>
      <c r="J62" s="8"/>
      <c r="L62" s="37" t="s">
        <v>25</v>
      </c>
    </row>
    <row r="63" spans="1:12">
      <c r="A63" s="3">
        <v>8162</v>
      </c>
      <c r="B63" s="3" t="s">
        <v>209</v>
      </c>
      <c r="C63" s="3" t="s">
        <v>18</v>
      </c>
      <c r="D63" s="4" t="s">
        <v>19</v>
      </c>
      <c r="E63" s="3">
        <v>110732</v>
      </c>
      <c r="F63" s="3">
        <v>15270911490</v>
      </c>
      <c r="G63" s="3">
        <v>508375947</v>
      </c>
      <c r="H63" s="32" t="s">
        <v>210</v>
      </c>
      <c r="I63" s="32" t="s">
        <v>211</v>
      </c>
      <c r="J63" s="8"/>
      <c r="L63" s="37" t="s">
        <v>25</v>
      </c>
    </row>
    <row r="64" spans="1:12">
      <c r="A64" s="3">
        <v>8163</v>
      </c>
      <c r="B64" s="3" t="s">
        <v>214</v>
      </c>
      <c r="C64" s="3" t="s">
        <v>18</v>
      </c>
      <c r="D64" s="4" t="s">
        <v>19</v>
      </c>
      <c r="E64" s="3">
        <v>109772</v>
      </c>
      <c r="F64" s="3">
        <v>14580968031</v>
      </c>
      <c r="G64" s="3">
        <v>499315400</v>
      </c>
      <c r="H64" s="32" t="s">
        <v>215</v>
      </c>
      <c r="I64" s="32" t="s">
        <v>216</v>
      </c>
      <c r="J64" s="8"/>
      <c r="L64" s="37" t="s">
        <v>25</v>
      </c>
    </row>
    <row r="65" spans="1:12">
      <c r="A65" s="3">
        <v>8164</v>
      </c>
      <c r="B65" s="3">
        <v>90210</v>
      </c>
      <c r="C65" s="3" t="s">
        <v>18</v>
      </c>
      <c r="D65" s="4" t="s">
        <v>19</v>
      </c>
      <c r="E65" s="3">
        <v>109748</v>
      </c>
      <c r="F65" s="3">
        <v>14580607525</v>
      </c>
      <c r="G65" s="3">
        <v>499315349</v>
      </c>
      <c r="H65" s="32">
        <v>90210</v>
      </c>
      <c r="I65" s="32" t="s">
        <v>219</v>
      </c>
      <c r="J65" s="8"/>
      <c r="L65" s="37" t="s">
        <v>25</v>
      </c>
    </row>
    <row r="66" spans="1:12">
      <c r="A66" s="4">
        <v>8165</v>
      </c>
      <c r="C66" s="3" t="s">
        <v>18</v>
      </c>
      <c r="J66" s="8"/>
    </row>
    <row r="67" spans="1:12">
      <c r="A67" s="3">
        <v>8166</v>
      </c>
      <c r="C67" s="3" t="s">
        <v>18</v>
      </c>
      <c r="J67" s="8"/>
    </row>
    <row r="68" spans="1:12">
      <c r="A68" s="4">
        <v>8167</v>
      </c>
      <c r="C68" s="3" t="s">
        <v>18</v>
      </c>
      <c r="J68" s="8"/>
    </row>
    <row r="69" spans="1:12">
      <c r="A69" s="3">
        <v>8168</v>
      </c>
      <c r="C69" s="3" t="s">
        <v>18</v>
      </c>
      <c r="J69" s="8"/>
    </row>
    <row r="70" spans="1:12">
      <c r="A70" s="4">
        <v>8169</v>
      </c>
      <c r="C70" s="3" t="s">
        <v>18</v>
      </c>
      <c r="J70" s="8"/>
    </row>
    <row r="71" spans="1:12">
      <c r="A71" s="3">
        <v>8170</v>
      </c>
      <c r="C71" s="3" t="s">
        <v>18</v>
      </c>
      <c r="J71" s="8"/>
    </row>
    <row r="72" spans="1:12">
      <c r="A72" s="3">
        <v>8171</v>
      </c>
      <c r="B72" s="3" t="s">
        <v>223</v>
      </c>
      <c r="C72" s="3" t="s">
        <v>18</v>
      </c>
      <c r="D72" s="4" t="s">
        <v>19</v>
      </c>
      <c r="E72" s="3">
        <v>109762</v>
      </c>
      <c r="F72" s="3">
        <v>14580957845</v>
      </c>
      <c r="G72" s="3">
        <v>499315399</v>
      </c>
      <c r="H72" s="32" t="s">
        <v>224</v>
      </c>
      <c r="I72" s="32" t="s">
        <v>225</v>
      </c>
      <c r="J72" s="8"/>
      <c r="L72" s="37" t="s">
        <v>25</v>
      </c>
    </row>
    <row r="73" spans="1:12">
      <c r="A73" s="3">
        <v>8172</v>
      </c>
      <c r="B73" s="3" t="s">
        <v>228</v>
      </c>
      <c r="C73" s="3" t="s">
        <v>18</v>
      </c>
      <c r="D73" s="4" t="s">
        <v>19</v>
      </c>
      <c r="E73" s="3">
        <v>109779</v>
      </c>
      <c r="F73" s="3">
        <v>14580986136</v>
      </c>
      <c r="G73" s="3">
        <v>499315365</v>
      </c>
      <c r="H73" s="32" t="s">
        <v>229</v>
      </c>
      <c r="I73" s="32" t="s">
        <v>230</v>
      </c>
      <c r="J73" s="8"/>
      <c r="L73" s="37" t="s">
        <v>25</v>
      </c>
    </row>
    <row r="74" spans="1:12">
      <c r="A74" s="3">
        <v>8173</v>
      </c>
      <c r="B74" s="3" t="s">
        <v>233</v>
      </c>
      <c r="C74" s="3" t="s">
        <v>18</v>
      </c>
      <c r="D74" s="4" t="s">
        <v>19</v>
      </c>
      <c r="E74" s="3">
        <v>109763</v>
      </c>
      <c r="F74" s="3">
        <v>14580960427</v>
      </c>
      <c r="G74" s="3">
        <v>499315290</v>
      </c>
      <c r="H74" s="32" t="s">
        <v>234</v>
      </c>
      <c r="I74" s="32" t="s">
        <v>235</v>
      </c>
      <c r="J74" s="8"/>
      <c r="L74" s="37" t="s">
        <v>25</v>
      </c>
    </row>
    <row r="75" spans="1:12">
      <c r="A75" s="3">
        <v>8174</v>
      </c>
      <c r="B75" s="3" t="s">
        <v>238</v>
      </c>
      <c r="C75" s="3" t="s">
        <v>18</v>
      </c>
      <c r="D75" s="4" t="s">
        <v>19</v>
      </c>
      <c r="E75" s="3">
        <v>100377</v>
      </c>
      <c r="F75" s="3">
        <v>9010083016</v>
      </c>
      <c r="G75" s="3">
        <v>427517075</v>
      </c>
      <c r="H75" s="32" t="s">
        <v>239</v>
      </c>
      <c r="I75" s="32" t="s">
        <v>240</v>
      </c>
      <c r="J75" s="8"/>
      <c r="L75" s="37" t="s">
        <v>25</v>
      </c>
    </row>
    <row r="76" spans="1:12">
      <c r="A76" s="3">
        <v>8175</v>
      </c>
      <c r="B76" s="3" t="s">
        <v>243</v>
      </c>
      <c r="C76" s="3" t="s">
        <v>18</v>
      </c>
      <c r="D76" s="4" t="s">
        <v>19</v>
      </c>
      <c r="E76" s="3">
        <v>109751</v>
      </c>
      <c r="F76" s="3">
        <v>14580912646</v>
      </c>
      <c r="G76" s="3">
        <v>499315286</v>
      </c>
      <c r="H76" s="32" t="s">
        <v>244</v>
      </c>
      <c r="I76" s="32" t="s">
        <v>245</v>
      </c>
      <c r="J76" s="8"/>
      <c r="L76" s="37" t="s">
        <v>25</v>
      </c>
    </row>
    <row r="77" spans="1:12">
      <c r="A77" s="3">
        <v>8176</v>
      </c>
      <c r="B77" s="3" t="s">
        <v>248</v>
      </c>
      <c r="C77" s="3" t="s">
        <v>18</v>
      </c>
      <c r="D77" s="4" t="s">
        <v>19</v>
      </c>
      <c r="E77" s="3">
        <v>109781</v>
      </c>
      <c r="F77" s="3">
        <v>14580986138</v>
      </c>
      <c r="G77" s="3">
        <v>499315357</v>
      </c>
      <c r="H77" s="32" t="s">
        <v>249</v>
      </c>
      <c r="I77" s="32" t="s">
        <v>250</v>
      </c>
      <c r="J77" s="8"/>
      <c r="L77" s="37" t="s">
        <v>25</v>
      </c>
    </row>
    <row r="78" spans="1:12">
      <c r="A78" s="3">
        <v>8177</v>
      </c>
      <c r="B78" s="3" t="s">
        <v>253</v>
      </c>
      <c r="C78" s="3" t="s">
        <v>18</v>
      </c>
      <c r="D78" s="4" t="s">
        <v>19</v>
      </c>
      <c r="E78" s="3">
        <v>109764</v>
      </c>
      <c r="F78" s="3">
        <v>14580960428</v>
      </c>
      <c r="G78" s="3">
        <v>499315296</v>
      </c>
      <c r="H78" s="32" t="s">
        <v>254</v>
      </c>
      <c r="I78" s="32" t="s">
        <v>255</v>
      </c>
      <c r="J78" s="8"/>
      <c r="L78" s="37" t="s">
        <v>25</v>
      </c>
    </row>
    <row r="79" spans="1:12">
      <c r="A79" s="4">
        <v>8178</v>
      </c>
      <c r="C79" s="3" t="s">
        <v>18</v>
      </c>
      <c r="J79" s="8"/>
    </row>
    <row r="80" spans="1:12">
      <c r="A80" s="3">
        <v>8179</v>
      </c>
      <c r="C80" s="3" t="s">
        <v>18</v>
      </c>
      <c r="J80" s="8"/>
    </row>
    <row r="81" spans="1:12">
      <c r="A81" s="3">
        <v>8180</v>
      </c>
      <c r="B81" s="3" t="s">
        <v>258</v>
      </c>
      <c r="C81" s="3" t="s">
        <v>18</v>
      </c>
      <c r="D81" s="4" t="s">
        <v>19</v>
      </c>
      <c r="E81" s="3">
        <v>100423</v>
      </c>
      <c r="F81" s="3">
        <v>9010100026</v>
      </c>
      <c r="G81" s="3">
        <v>427517020</v>
      </c>
      <c r="H81" s="32" t="s">
        <v>259</v>
      </c>
      <c r="I81" s="32" t="s">
        <v>260</v>
      </c>
      <c r="J81" s="8"/>
      <c r="L81" s="37" t="s">
        <v>25</v>
      </c>
    </row>
    <row r="82" spans="1:12">
      <c r="A82" s="3">
        <v>8181</v>
      </c>
      <c r="B82" s="3" t="s">
        <v>263</v>
      </c>
      <c r="C82" s="3" t="s">
        <v>18</v>
      </c>
      <c r="D82" s="4" t="s">
        <v>19</v>
      </c>
      <c r="E82" s="3">
        <v>109782</v>
      </c>
      <c r="F82" s="3">
        <v>14580986139</v>
      </c>
      <c r="G82" s="3">
        <v>499315380</v>
      </c>
      <c r="H82" s="32" t="s">
        <v>264</v>
      </c>
      <c r="I82" s="32" t="s">
        <v>265</v>
      </c>
      <c r="J82" s="8"/>
      <c r="L82" s="37" t="s">
        <v>25</v>
      </c>
    </row>
    <row r="83" spans="1:12">
      <c r="A83" s="3">
        <v>8182</v>
      </c>
      <c r="B83" s="3" t="s">
        <v>269</v>
      </c>
      <c r="C83" s="3" t="s">
        <v>18</v>
      </c>
      <c r="D83" s="4" t="s">
        <v>19</v>
      </c>
      <c r="E83" s="3">
        <v>109729</v>
      </c>
      <c r="F83" s="3">
        <v>14568769872</v>
      </c>
      <c r="G83" s="3">
        <v>499197894</v>
      </c>
      <c r="H83" s="32" t="s">
        <v>270</v>
      </c>
      <c r="I83" s="32" t="s">
        <v>271</v>
      </c>
      <c r="J83" s="8"/>
      <c r="L83" s="37" t="s">
        <v>25</v>
      </c>
    </row>
    <row r="84" spans="1:12">
      <c r="A84" s="3">
        <v>8183</v>
      </c>
      <c r="B84" s="3" t="s">
        <v>274</v>
      </c>
      <c r="C84" s="3" t="s">
        <v>18</v>
      </c>
      <c r="D84" s="4" t="s">
        <v>19</v>
      </c>
      <c r="E84" s="3">
        <v>109766</v>
      </c>
      <c r="F84" s="3">
        <v>14580961176</v>
      </c>
      <c r="G84" s="3">
        <v>499315359</v>
      </c>
      <c r="H84" s="32" t="s">
        <v>275</v>
      </c>
      <c r="I84" s="32" t="s">
        <v>276</v>
      </c>
      <c r="J84" s="8"/>
      <c r="L84" s="37" t="s">
        <v>25</v>
      </c>
    </row>
    <row r="85" spans="1:12">
      <c r="A85" s="3">
        <v>8184</v>
      </c>
      <c r="B85" s="3" t="s">
        <v>279</v>
      </c>
      <c r="C85" s="3" t="s">
        <v>18</v>
      </c>
      <c r="D85" s="4" t="s">
        <v>19</v>
      </c>
      <c r="E85" s="3">
        <v>101634</v>
      </c>
      <c r="F85" s="3">
        <v>10158885696</v>
      </c>
      <c r="G85" s="3">
        <v>442803409</v>
      </c>
      <c r="H85" s="32" t="s">
        <v>280</v>
      </c>
      <c r="I85" s="32" t="s">
        <v>281</v>
      </c>
      <c r="J85" s="8"/>
      <c r="L85" s="37" t="s">
        <v>25</v>
      </c>
    </row>
    <row r="86" spans="1:12" ht="30">
      <c r="A86" s="3">
        <v>8185</v>
      </c>
      <c r="B86" s="3" t="s">
        <v>284</v>
      </c>
      <c r="C86" s="3" t="s">
        <v>18</v>
      </c>
      <c r="D86" s="4" t="s">
        <v>19</v>
      </c>
      <c r="E86" s="3">
        <v>101611</v>
      </c>
      <c r="F86" s="3">
        <v>10158686757</v>
      </c>
      <c r="G86" s="3">
        <v>442803414</v>
      </c>
      <c r="H86" s="32" t="s">
        <v>285</v>
      </c>
      <c r="I86" s="32" t="s">
        <v>286</v>
      </c>
      <c r="J86" s="8"/>
      <c r="L86" s="37" t="s">
        <v>25</v>
      </c>
    </row>
    <row r="87" spans="1:12" ht="30">
      <c r="A87" s="3">
        <v>8186</v>
      </c>
      <c r="B87" s="3" t="s">
        <v>289</v>
      </c>
      <c r="C87" s="3" t="s">
        <v>18</v>
      </c>
      <c r="D87" s="4" t="s">
        <v>19</v>
      </c>
      <c r="E87" s="3">
        <v>101612</v>
      </c>
      <c r="F87" s="3">
        <v>10158687900</v>
      </c>
      <c r="G87" s="3">
        <v>442803420</v>
      </c>
      <c r="H87" s="32" t="s">
        <v>290</v>
      </c>
      <c r="I87" s="32" t="s">
        <v>291</v>
      </c>
      <c r="J87" s="8"/>
      <c r="L87" s="37" t="s">
        <v>25</v>
      </c>
    </row>
    <row r="88" spans="1:12">
      <c r="A88" s="3">
        <v>8187</v>
      </c>
      <c r="B88" s="3" t="s">
        <v>294</v>
      </c>
      <c r="C88" s="3" t="s">
        <v>18</v>
      </c>
      <c r="D88" s="4" t="s">
        <v>19</v>
      </c>
      <c r="E88" s="3">
        <v>109755</v>
      </c>
      <c r="F88" s="3">
        <v>14580950297</v>
      </c>
      <c r="G88" s="3">
        <v>499315352</v>
      </c>
      <c r="H88" s="32" t="s">
        <v>295</v>
      </c>
      <c r="I88" s="32" t="s">
        <v>296</v>
      </c>
      <c r="J88" s="8"/>
      <c r="L88" s="37" t="s">
        <v>25</v>
      </c>
    </row>
    <row r="89" spans="1:12">
      <c r="A89" s="4">
        <v>8188</v>
      </c>
      <c r="C89" s="3" t="s">
        <v>18</v>
      </c>
      <c r="J89" s="8"/>
    </row>
    <row r="90" spans="1:12">
      <c r="A90" s="3">
        <v>8189</v>
      </c>
      <c r="B90" s="3" t="s">
        <v>300</v>
      </c>
      <c r="C90" s="3" t="s">
        <v>18</v>
      </c>
      <c r="D90" s="4" t="s">
        <v>19</v>
      </c>
      <c r="E90" s="3">
        <v>101615</v>
      </c>
      <c r="F90" s="3">
        <v>10158702650</v>
      </c>
      <c r="G90" s="3">
        <v>442803403</v>
      </c>
      <c r="H90" s="32" t="s">
        <v>301</v>
      </c>
      <c r="I90" s="32" t="s">
        <v>302</v>
      </c>
      <c r="J90" s="8"/>
      <c r="L90" s="37" t="s">
        <v>25</v>
      </c>
    </row>
    <row r="91" spans="1:12">
      <c r="A91" s="3">
        <v>8190</v>
      </c>
      <c r="B91" s="3" t="s">
        <v>305</v>
      </c>
      <c r="C91" s="3" t="s">
        <v>18</v>
      </c>
      <c r="D91" s="4" t="s">
        <v>19</v>
      </c>
      <c r="E91" s="3">
        <v>100424</v>
      </c>
      <c r="F91" s="3">
        <v>9010100147</v>
      </c>
      <c r="G91" s="3">
        <v>427517051</v>
      </c>
      <c r="H91" s="32" t="s">
        <v>306</v>
      </c>
      <c r="I91" s="32" t="s">
        <v>307</v>
      </c>
      <c r="J91" s="8"/>
      <c r="L91" s="37" t="s">
        <v>25</v>
      </c>
    </row>
    <row r="92" spans="1:12">
      <c r="A92" s="4">
        <v>8191</v>
      </c>
      <c r="C92" s="3" t="s">
        <v>18</v>
      </c>
      <c r="J92" s="8"/>
    </row>
    <row r="93" spans="1:12">
      <c r="A93" s="3">
        <v>8192</v>
      </c>
      <c r="B93" s="3" t="s">
        <v>310</v>
      </c>
      <c r="C93" s="3" t="s">
        <v>18</v>
      </c>
      <c r="D93" s="4" t="s">
        <v>19</v>
      </c>
      <c r="E93" s="3">
        <v>100428</v>
      </c>
      <c r="F93" s="3">
        <v>9010100430</v>
      </c>
      <c r="G93" s="3">
        <v>427517013</v>
      </c>
      <c r="H93" s="32" t="s">
        <v>311</v>
      </c>
      <c r="I93" s="32" t="s">
        <v>312</v>
      </c>
      <c r="J93" s="8"/>
      <c r="L93" s="37" t="s">
        <v>25</v>
      </c>
    </row>
    <row r="94" spans="1:12">
      <c r="A94" s="3">
        <v>8193</v>
      </c>
      <c r="C94" s="3" t="s">
        <v>18</v>
      </c>
      <c r="J94" s="8"/>
    </row>
    <row r="95" spans="1:12">
      <c r="A95" s="3">
        <v>8194</v>
      </c>
      <c r="B95" s="3" t="s">
        <v>315</v>
      </c>
      <c r="C95" s="3" t="s">
        <v>18</v>
      </c>
      <c r="D95" s="4" t="s">
        <v>19</v>
      </c>
      <c r="E95" s="3">
        <v>100401</v>
      </c>
      <c r="F95" s="3">
        <v>9010089276</v>
      </c>
      <c r="G95" s="3">
        <v>427517011</v>
      </c>
      <c r="H95" s="32" t="s">
        <v>316</v>
      </c>
      <c r="I95" s="32" t="s">
        <v>317</v>
      </c>
      <c r="J95" s="8"/>
      <c r="L95" s="37" t="s">
        <v>25</v>
      </c>
    </row>
    <row r="96" spans="1:12">
      <c r="A96" s="4">
        <v>8195</v>
      </c>
      <c r="C96" s="3" t="s">
        <v>18</v>
      </c>
      <c r="J96" s="8"/>
    </row>
    <row r="97" spans="1:12">
      <c r="A97" s="3">
        <v>8196</v>
      </c>
      <c r="C97" s="3" t="s">
        <v>18</v>
      </c>
      <c r="J97" s="8"/>
    </row>
    <row r="98" spans="1:12">
      <c r="A98" s="4">
        <v>8197</v>
      </c>
      <c r="C98" s="3" t="s">
        <v>18</v>
      </c>
      <c r="J98" s="8"/>
    </row>
    <row r="99" spans="1:12">
      <c r="A99" s="3">
        <v>8198</v>
      </c>
      <c r="B99" s="3" t="s">
        <v>321</v>
      </c>
      <c r="C99" s="3" t="s">
        <v>18</v>
      </c>
      <c r="D99" s="4" t="s">
        <v>19</v>
      </c>
      <c r="E99" s="3">
        <v>109776</v>
      </c>
      <c r="F99" s="3">
        <v>14580971547</v>
      </c>
      <c r="G99" s="3">
        <v>499315373</v>
      </c>
      <c r="H99" s="32" t="s">
        <v>322</v>
      </c>
      <c r="I99" s="32" t="s">
        <v>323</v>
      </c>
      <c r="J99" s="8"/>
      <c r="L99" s="37" t="s">
        <v>25</v>
      </c>
    </row>
    <row r="100" spans="1:12">
      <c r="A100" s="3">
        <v>8199</v>
      </c>
      <c r="B100" s="3" t="s">
        <v>327</v>
      </c>
      <c r="C100" s="3" t="s">
        <v>18</v>
      </c>
      <c r="D100" s="4" t="s">
        <v>19</v>
      </c>
      <c r="E100" s="3">
        <v>109778</v>
      </c>
      <c r="F100" s="3">
        <v>14580981344</v>
      </c>
      <c r="G100" s="3">
        <v>499315362</v>
      </c>
      <c r="H100" s="32" t="s">
        <v>328</v>
      </c>
      <c r="I100" s="32" t="s">
        <v>329</v>
      </c>
      <c r="J100" s="8"/>
      <c r="L100" s="37" t="s">
        <v>25</v>
      </c>
    </row>
    <row r="101" spans="1:12">
      <c r="A101" s="3">
        <v>8200</v>
      </c>
      <c r="B101" s="3" t="s">
        <v>332</v>
      </c>
      <c r="C101" s="3" t="s">
        <v>18</v>
      </c>
      <c r="D101" s="4" t="s">
        <v>19</v>
      </c>
      <c r="E101" s="3">
        <v>109780</v>
      </c>
      <c r="F101" s="3">
        <v>14580986137</v>
      </c>
      <c r="G101" s="3">
        <v>499315375</v>
      </c>
      <c r="H101" s="32" t="s">
        <v>333</v>
      </c>
      <c r="I101" s="32" t="s">
        <v>334</v>
      </c>
      <c r="J101" s="8"/>
      <c r="L101" s="37" t="s">
        <v>25</v>
      </c>
    </row>
    <row r="102" spans="1:12">
      <c r="A102" s="3">
        <v>8201</v>
      </c>
      <c r="B102" s="3" t="s">
        <v>337</v>
      </c>
      <c r="C102" s="3" t="s">
        <v>18</v>
      </c>
      <c r="D102" s="4" t="s">
        <v>19</v>
      </c>
      <c r="E102" s="3">
        <v>100392</v>
      </c>
      <c r="F102" s="3">
        <v>9010088290</v>
      </c>
      <c r="G102" s="3">
        <v>427517037</v>
      </c>
      <c r="H102" s="32" t="s">
        <v>338</v>
      </c>
      <c r="I102" s="32" t="s">
        <v>339</v>
      </c>
      <c r="J102" s="8"/>
      <c r="L102" s="37" t="s">
        <v>25</v>
      </c>
    </row>
    <row r="103" spans="1:12">
      <c r="A103" s="3">
        <v>8202</v>
      </c>
      <c r="B103" s="3" t="s">
        <v>343</v>
      </c>
      <c r="C103" s="3" t="s">
        <v>18</v>
      </c>
      <c r="D103" s="4" t="s">
        <v>19</v>
      </c>
      <c r="E103" s="3">
        <v>109765</v>
      </c>
      <c r="F103" s="3">
        <v>14580960618</v>
      </c>
      <c r="G103" s="3">
        <v>499315287</v>
      </c>
      <c r="H103" s="32" t="s">
        <v>344</v>
      </c>
      <c r="I103" s="32" t="s">
        <v>345</v>
      </c>
      <c r="J103" s="8"/>
      <c r="L103" s="37" t="s">
        <v>25</v>
      </c>
    </row>
    <row r="104" spans="1:12">
      <c r="A104" s="3">
        <v>8203</v>
      </c>
      <c r="B104" s="3" t="s">
        <v>348</v>
      </c>
      <c r="C104" s="3" t="s">
        <v>18</v>
      </c>
      <c r="D104" s="4" t="s">
        <v>19</v>
      </c>
      <c r="E104" s="3">
        <v>109777</v>
      </c>
      <c r="F104" s="3">
        <v>14580971548</v>
      </c>
      <c r="G104" s="3">
        <v>499315361</v>
      </c>
      <c r="H104" s="32" t="s">
        <v>349</v>
      </c>
      <c r="I104" s="32" t="s">
        <v>350</v>
      </c>
      <c r="J104" s="8"/>
      <c r="L104" s="37" t="s">
        <v>25</v>
      </c>
    </row>
    <row r="105" spans="1:12">
      <c r="A105" s="4">
        <v>8204</v>
      </c>
      <c r="C105" s="3" t="s">
        <v>18</v>
      </c>
      <c r="J105" s="8"/>
    </row>
    <row r="106" spans="1:12">
      <c r="A106" s="3">
        <v>8205</v>
      </c>
      <c r="C106" s="3" t="s">
        <v>18</v>
      </c>
      <c r="J106" s="8"/>
    </row>
    <row r="107" spans="1:12">
      <c r="A107" s="4">
        <v>8206</v>
      </c>
      <c r="C107" s="3" t="s">
        <v>18</v>
      </c>
      <c r="J107" s="8"/>
    </row>
    <row r="108" spans="1:12">
      <c r="A108" s="3">
        <v>8207</v>
      </c>
      <c r="C108" s="3" t="s">
        <v>18</v>
      </c>
      <c r="J108" s="8"/>
    </row>
    <row r="109" spans="1:12">
      <c r="A109" s="4">
        <v>8208</v>
      </c>
      <c r="C109" s="3" t="s">
        <v>18</v>
      </c>
      <c r="J109" s="8"/>
    </row>
    <row r="110" spans="1:12">
      <c r="A110" s="3">
        <v>8209</v>
      </c>
      <c r="B110" s="3" t="s">
        <v>353</v>
      </c>
      <c r="C110" s="3" t="s">
        <v>18</v>
      </c>
      <c r="D110" s="4" t="s">
        <v>19</v>
      </c>
      <c r="E110" s="3">
        <v>100363</v>
      </c>
      <c r="F110" s="3">
        <v>9010076789</v>
      </c>
      <c r="G110" s="3">
        <v>427517049</v>
      </c>
      <c r="H110" s="32" t="s">
        <v>354</v>
      </c>
      <c r="I110" s="32" t="s">
        <v>355</v>
      </c>
      <c r="J110" s="8"/>
      <c r="L110" s="37" t="s">
        <v>25</v>
      </c>
    </row>
    <row r="111" spans="1:12">
      <c r="A111" s="4">
        <v>8210</v>
      </c>
      <c r="C111" s="3" t="s">
        <v>18</v>
      </c>
      <c r="J111" s="8"/>
    </row>
    <row r="112" spans="1:12">
      <c r="A112" s="3">
        <v>8211</v>
      </c>
      <c r="C112" s="3" t="s">
        <v>18</v>
      </c>
      <c r="J112" s="8"/>
    </row>
    <row r="113" spans="1:12">
      <c r="A113" s="3">
        <v>8212</v>
      </c>
      <c r="B113" s="3" t="s">
        <v>358</v>
      </c>
      <c r="C113" s="3" t="s">
        <v>18</v>
      </c>
      <c r="D113" s="4" t="s">
        <v>19</v>
      </c>
      <c r="E113" s="3">
        <v>100388</v>
      </c>
      <c r="F113" s="3">
        <v>9010085782</v>
      </c>
      <c r="G113" s="3">
        <v>427517033</v>
      </c>
      <c r="H113" s="32" t="s">
        <v>359</v>
      </c>
      <c r="I113" s="32" t="s">
        <v>360</v>
      </c>
      <c r="J113" s="8"/>
      <c r="L113" s="37" t="s">
        <v>25</v>
      </c>
    </row>
    <row r="114" spans="1:12">
      <c r="A114" s="3">
        <v>8213</v>
      </c>
      <c r="B114" s="3" t="s">
        <v>363</v>
      </c>
      <c r="C114" s="3" t="s">
        <v>18</v>
      </c>
      <c r="D114" s="4" t="s">
        <v>19</v>
      </c>
      <c r="E114" s="3">
        <v>100365</v>
      </c>
      <c r="F114" s="3">
        <v>9010077419</v>
      </c>
      <c r="G114" s="3">
        <v>427517010</v>
      </c>
      <c r="H114" s="32" t="s">
        <v>364</v>
      </c>
      <c r="I114" s="32" t="s">
        <v>365</v>
      </c>
      <c r="J114" s="8"/>
      <c r="L114" s="37" t="s">
        <v>25</v>
      </c>
    </row>
    <row r="115" spans="1:12">
      <c r="A115" s="3">
        <v>8214</v>
      </c>
      <c r="B115" s="3" t="s">
        <v>368</v>
      </c>
      <c r="C115" s="3" t="s">
        <v>18</v>
      </c>
      <c r="D115" s="4" t="s">
        <v>19</v>
      </c>
      <c r="E115" s="3">
        <v>109730</v>
      </c>
      <c r="F115" s="3">
        <v>14568774276</v>
      </c>
      <c r="G115" s="3">
        <v>499197896</v>
      </c>
      <c r="H115" s="32" t="s">
        <v>369</v>
      </c>
      <c r="I115" s="32" t="s">
        <v>370</v>
      </c>
      <c r="J115" s="8"/>
      <c r="L115" s="37" t="s">
        <v>25</v>
      </c>
    </row>
    <row r="116" spans="1:12">
      <c r="A116" s="3">
        <v>8215</v>
      </c>
      <c r="B116" s="3" t="s">
        <v>373</v>
      </c>
      <c r="C116" s="3" t="s">
        <v>18</v>
      </c>
      <c r="D116" s="4" t="s">
        <v>19</v>
      </c>
      <c r="E116" s="3">
        <v>109761</v>
      </c>
      <c r="F116" s="3">
        <v>14580957844</v>
      </c>
      <c r="G116" s="3">
        <v>499315353</v>
      </c>
      <c r="H116" s="32" t="s">
        <v>374</v>
      </c>
      <c r="I116" s="32" t="s">
        <v>375</v>
      </c>
      <c r="J116" s="8"/>
      <c r="L116" s="37" t="s">
        <v>25</v>
      </c>
    </row>
    <row r="117" spans="1:12">
      <c r="A117" s="3">
        <v>8216</v>
      </c>
      <c r="B117" s="3" t="s">
        <v>378</v>
      </c>
      <c r="C117" s="3" t="s">
        <v>18</v>
      </c>
      <c r="D117" s="4" t="s">
        <v>19</v>
      </c>
      <c r="E117" s="3">
        <v>109774</v>
      </c>
      <c r="F117" s="3">
        <v>14580970873</v>
      </c>
      <c r="G117" s="3">
        <v>499315285</v>
      </c>
      <c r="H117" s="32" t="s">
        <v>379</v>
      </c>
      <c r="I117" s="32" t="s">
        <v>380</v>
      </c>
      <c r="J117" s="8"/>
      <c r="L117" s="37" t="s">
        <v>25</v>
      </c>
    </row>
    <row r="118" spans="1:12">
      <c r="A118" s="3">
        <v>8217</v>
      </c>
      <c r="B118" s="3" t="s">
        <v>384</v>
      </c>
      <c r="C118" s="3" t="s">
        <v>18</v>
      </c>
      <c r="D118" s="4" t="s">
        <v>19</v>
      </c>
      <c r="E118" s="3">
        <v>110719</v>
      </c>
      <c r="F118" s="3">
        <v>15270407239</v>
      </c>
      <c r="G118" s="3">
        <v>508375938</v>
      </c>
      <c r="H118" s="32" t="s">
        <v>385</v>
      </c>
      <c r="I118" s="32" t="s">
        <v>386</v>
      </c>
      <c r="J118" s="8"/>
      <c r="L118" s="37" t="s">
        <v>25</v>
      </c>
    </row>
    <row r="119" spans="1:12">
      <c r="A119" s="4">
        <v>8218</v>
      </c>
      <c r="C119" s="3" t="s">
        <v>18</v>
      </c>
      <c r="J119" s="8"/>
    </row>
    <row r="120" spans="1:12">
      <c r="A120" s="3">
        <v>8219</v>
      </c>
      <c r="C120" s="3" t="s">
        <v>18</v>
      </c>
      <c r="J120" s="8"/>
    </row>
    <row r="121" spans="1:12">
      <c r="A121" s="3">
        <v>8220</v>
      </c>
      <c r="B121" s="3" t="s">
        <v>389</v>
      </c>
      <c r="C121" s="3" t="s">
        <v>18</v>
      </c>
      <c r="D121" s="4" t="s">
        <v>19</v>
      </c>
      <c r="E121" s="3">
        <v>101609</v>
      </c>
      <c r="F121" s="3">
        <v>10158684947</v>
      </c>
      <c r="G121" s="3">
        <v>442803398</v>
      </c>
      <c r="H121" s="32" t="s">
        <v>390</v>
      </c>
      <c r="I121" s="32" t="s">
        <v>391</v>
      </c>
      <c r="J121" s="8"/>
      <c r="L121" s="37" t="s">
        <v>25</v>
      </c>
    </row>
    <row r="122" spans="1:12">
      <c r="A122" s="4">
        <v>8221</v>
      </c>
      <c r="C122" s="3" t="s">
        <v>18</v>
      </c>
      <c r="J122" s="8"/>
    </row>
    <row r="123" spans="1:12">
      <c r="A123" s="3">
        <v>8222</v>
      </c>
      <c r="C123" s="3" t="s">
        <v>18</v>
      </c>
      <c r="J123" s="8"/>
    </row>
    <row r="124" spans="1:12">
      <c r="A124" s="4">
        <v>8223</v>
      </c>
      <c r="C124" s="3" t="s">
        <v>18</v>
      </c>
      <c r="J124" s="8"/>
    </row>
    <row r="125" spans="1:12" ht="30">
      <c r="A125" s="3">
        <v>8224</v>
      </c>
      <c r="B125" s="3" t="s">
        <v>394</v>
      </c>
      <c r="C125" s="3" t="s">
        <v>18</v>
      </c>
      <c r="D125" s="4" t="s">
        <v>19</v>
      </c>
      <c r="E125" s="3">
        <v>101629</v>
      </c>
      <c r="F125" s="3">
        <v>10158857034</v>
      </c>
      <c r="G125" s="3">
        <v>442803423</v>
      </c>
      <c r="H125" s="32" t="s">
        <v>395</v>
      </c>
      <c r="I125" s="32" t="s">
        <v>396</v>
      </c>
      <c r="J125" s="8"/>
      <c r="L125" s="37" t="s">
        <v>25</v>
      </c>
    </row>
    <row r="126" spans="1:12">
      <c r="A126" s="3">
        <v>8225</v>
      </c>
      <c r="B126" s="3" t="s">
        <v>400</v>
      </c>
      <c r="C126" s="3" t="s">
        <v>18</v>
      </c>
      <c r="D126" s="4" t="s">
        <v>19</v>
      </c>
      <c r="E126" s="3">
        <v>100361</v>
      </c>
      <c r="F126" s="3">
        <v>9010067219</v>
      </c>
      <c r="G126" s="3">
        <v>427517065</v>
      </c>
      <c r="H126" s="32" t="s">
        <v>401</v>
      </c>
      <c r="I126" s="32" t="s">
        <v>402</v>
      </c>
      <c r="J126" s="8"/>
      <c r="L126" s="37" t="s">
        <v>25</v>
      </c>
    </row>
    <row r="127" spans="1:12" ht="30">
      <c r="A127" s="3">
        <v>8226</v>
      </c>
      <c r="B127" s="3" t="s">
        <v>405</v>
      </c>
      <c r="C127" s="3" t="s">
        <v>18</v>
      </c>
      <c r="D127" s="4" t="s">
        <v>19</v>
      </c>
      <c r="E127" s="3">
        <v>100394</v>
      </c>
      <c r="F127" s="3">
        <v>9010088401</v>
      </c>
      <c r="G127" s="3">
        <v>427517023</v>
      </c>
      <c r="H127" s="32" t="s">
        <v>406</v>
      </c>
      <c r="I127" s="32" t="s">
        <v>407</v>
      </c>
      <c r="J127" s="8"/>
      <c r="L127" s="37" t="s">
        <v>25</v>
      </c>
    </row>
    <row r="128" spans="1:12">
      <c r="A128" s="3">
        <v>8227</v>
      </c>
      <c r="B128" s="3" t="s">
        <v>411</v>
      </c>
      <c r="C128" s="3" t="s">
        <v>18</v>
      </c>
      <c r="D128" s="4" t="s">
        <v>19</v>
      </c>
      <c r="E128" s="3">
        <v>101604</v>
      </c>
      <c r="F128" s="3">
        <v>10157699286</v>
      </c>
      <c r="G128" s="3">
        <v>442803427</v>
      </c>
      <c r="H128" s="32" t="s">
        <v>412</v>
      </c>
      <c r="I128" s="32" t="s">
        <v>413</v>
      </c>
      <c r="J128" s="8"/>
      <c r="L128" s="37" t="s">
        <v>25</v>
      </c>
    </row>
    <row r="129" spans="1:12">
      <c r="A129" s="3">
        <v>8228</v>
      </c>
      <c r="B129" s="3" t="s">
        <v>415</v>
      </c>
      <c r="C129" s="3" t="s">
        <v>18</v>
      </c>
      <c r="D129" s="4" t="s">
        <v>19</v>
      </c>
      <c r="E129" s="3">
        <v>109770</v>
      </c>
      <c r="F129" s="3">
        <v>14580966826</v>
      </c>
      <c r="G129" s="3">
        <v>499315350</v>
      </c>
      <c r="H129" s="32" t="s">
        <v>416</v>
      </c>
      <c r="I129" s="32" t="s">
        <v>417</v>
      </c>
      <c r="J129" s="8"/>
      <c r="L129" s="37" t="s">
        <v>25</v>
      </c>
    </row>
    <row r="130" spans="1:12">
      <c r="A130" s="3">
        <v>8229</v>
      </c>
      <c r="B130" s="3" t="s">
        <v>420</v>
      </c>
      <c r="C130" s="3" t="s">
        <v>18</v>
      </c>
      <c r="D130" s="4" t="s">
        <v>19</v>
      </c>
      <c r="E130" s="3">
        <v>100382</v>
      </c>
      <c r="F130" s="3">
        <v>9010083897</v>
      </c>
      <c r="G130" s="3">
        <v>427517028</v>
      </c>
      <c r="H130" s="32" t="s">
        <v>421</v>
      </c>
      <c r="I130" s="32" t="s">
        <v>422</v>
      </c>
      <c r="J130" s="8"/>
      <c r="L130" s="37" t="s">
        <v>25</v>
      </c>
    </row>
    <row r="131" spans="1:12">
      <c r="A131" s="3">
        <v>8230</v>
      </c>
      <c r="B131" s="3" t="s">
        <v>425</v>
      </c>
      <c r="C131" s="3" t="s">
        <v>18</v>
      </c>
      <c r="D131" s="4" t="s">
        <v>19</v>
      </c>
      <c r="E131" s="3">
        <v>100369</v>
      </c>
      <c r="F131" s="3">
        <v>9010079771</v>
      </c>
      <c r="G131" s="3">
        <v>427517036</v>
      </c>
      <c r="H131" s="32" t="s">
        <v>426</v>
      </c>
      <c r="I131" s="32" t="s">
        <v>427</v>
      </c>
      <c r="J131" s="8"/>
      <c r="L131" s="37" t="s">
        <v>25</v>
      </c>
    </row>
    <row r="132" spans="1:12">
      <c r="A132" s="3">
        <v>8231</v>
      </c>
      <c r="B132" s="3" t="s">
        <v>430</v>
      </c>
      <c r="C132" s="3" t="s">
        <v>18</v>
      </c>
      <c r="D132" s="4" t="s">
        <v>19</v>
      </c>
      <c r="E132" s="3">
        <v>100429</v>
      </c>
      <c r="F132" s="3">
        <v>9010100431</v>
      </c>
      <c r="G132" s="3">
        <v>427517038</v>
      </c>
      <c r="H132" s="32" t="s">
        <v>431</v>
      </c>
      <c r="I132" s="32" t="s">
        <v>432</v>
      </c>
      <c r="J132" s="8"/>
      <c r="L132" s="37" t="s">
        <v>25</v>
      </c>
    </row>
    <row r="133" spans="1:12">
      <c r="A133" s="3">
        <v>8232</v>
      </c>
      <c r="B133" s="3" t="s">
        <v>435</v>
      </c>
      <c r="C133" s="3" t="s">
        <v>18</v>
      </c>
      <c r="D133" s="4" t="s">
        <v>19</v>
      </c>
      <c r="E133" s="3">
        <v>109750</v>
      </c>
      <c r="F133" s="3">
        <v>14580896512</v>
      </c>
      <c r="G133" s="3">
        <v>499315284</v>
      </c>
      <c r="H133" s="32" t="s">
        <v>436</v>
      </c>
      <c r="I133" s="32" t="s">
        <v>437</v>
      </c>
      <c r="J133" s="8"/>
      <c r="L133" s="37" t="s">
        <v>25</v>
      </c>
    </row>
    <row r="134" spans="1:12">
      <c r="A134" s="3">
        <v>8233</v>
      </c>
      <c r="B134" s="3" t="s">
        <v>440</v>
      </c>
      <c r="C134" s="3" t="s">
        <v>18</v>
      </c>
      <c r="D134" s="4" t="s">
        <v>19</v>
      </c>
      <c r="E134" s="3">
        <v>109783</v>
      </c>
      <c r="F134" s="3">
        <v>14580986140</v>
      </c>
      <c r="G134" s="3">
        <v>499315401</v>
      </c>
      <c r="H134" s="32" t="s">
        <v>441</v>
      </c>
      <c r="I134" s="32" t="s">
        <v>442</v>
      </c>
      <c r="J134" s="8"/>
      <c r="L134" s="37" t="s">
        <v>25</v>
      </c>
    </row>
    <row r="135" spans="1:12" ht="30">
      <c r="A135" s="3">
        <v>8234</v>
      </c>
      <c r="B135" s="3" t="s">
        <v>445</v>
      </c>
      <c r="C135" s="3" t="s">
        <v>18</v>
      </c>
      <c r="D135" s="4" t="s">
        <v>19</v>
      </c>
      <c r="E135" s="3">
        <v>110731</v>
      </c>
      <c r="F135" s="3">
        <v>15270866973</v>
      </c>
      <c r="G135" s="3">
        <v>508375951</v>
      </c>
      <c r="H135" s="32" t="s">
        <v>446</v>
      </c>
      <c r="I135" s="32" t="s">
        <v>447</v>
      </c>
      <c r="J135" s="8"/>
      <c r="L135" s="37" t="s">
        <v>25</v>
      </c>
    </row>
    <row r="136" spans="1:12">
      <c r="A136" s="4">
        <v>8235</v>
      </c>
      <c r="C136" s="3" t="s">
        <v>18</v>
      </c>
      <c r="J136" s="8"/>
    </row>
    <row r="137" spans="1:12">
      <c r="A137" s="3">
        <v>8236</v>
      </c>
      <c r="C137" s="3" t="s">
        <v>18</v>
      </c>
      <c r="J137" s="8"/>
    </row>
    <row r="138" spans="1:12">
      <c r="A138" s="4">
        <v>8237</v>
      </c>
      <c r="C138" s="3" t="s">
        <v>18</v>
      </c>
      <c r="J138" s="8"/>
    </row>
    <row r="139" spans="1:12">
      <c r="A139" s="3">
        <v>8238</v>
      </c>
      <c r="B139" s="3" t="s">
        <v>450</v>
      </c>
      <c r="C139" s="3" t="s">
        <v>18</v>
      </c>
      <c r="D139" s="4" t="s">
        <v>19</v>
      </c>
      <c r="E139" s="3">
        <v>100389</v>
      </c>
      <c r="F139" s="3">
        <v>9010085783</v>
      </c>
      <c r="G139" s="3">
        <v>427517074</v>
      </c>
      <c r="H139" s="32" t="s">
        <v>451</v>
      </c>
      <c r="I139" s="32" t="s">
        <v>452</v>
      </c>
      <c r="J139" s="8"/>
      <c r="L139" s="37" t="s">
        <v>25</v>
      </c>
    </row>
    <row r="140" spans="1:12" ht="30.75">
      <c r="A140" s="3">
        <v>8239</v>
      </c>
      <c r="B140" s="3" t="s">
        <v>455</v>
      </c>
      <c r="C140" s="3" t="s">
        <v>18</v>
      </c>
      <c r="D140" s="4" t="s">
        <v>19</v>
      </c>
      <c r="E140" s="3">
        <v>101630</v>
      </c>
      <c r="F140" s="3">
        <v>10158863376</v>
      </c>
      <c r="G140" s="3">
        <v>442803417</v>
      </c>
      <c r="H140" s="32" t="s">
        <v>456</v>
      </c>
      <c r="I140" s="32" t="s">
        <v>457</v>
      </c>
      <c r="J140" s="8"/>
      <c r="L140" s="37" t="s">
        <v>25</v>
      </c>
    </row>
    <row r="141" spans="1:12">
      <c r="A141" s="3">
        <v>8240</v>
      </c>
      <c r="B141" s="3" t="s">
        <v>461</v>
      </c>
      <c r="C141" s="3" t="s">
        <v>18</v>
      </c>
      <c r="D141" s="4" t="s">
        <v>19</v>
      </c>
      <c r="E141" s="3">
        <v>101631</v>
      </c>
      <c r="F141" s="3">
        <v>10158882171</v>
      </c>
      <c r="G141" s="3">
        <v>442803405</v>
      </c>
      <c r="H141" s="32" t="s">
        <v>462</v>
      </c>
      <c r="I141" s="32" t="s">
        <v>463</v>
      </c>
      <c r="J141" s="8"/>
      <c r="L141" s="37" t="s">
        <v>25</v>
      </c>
    </row>
    <row r="142" spans="1:12">
      <c r="A142" s="3">
        <v>8241</v>
      </c>
      <c r="B142" s="3" t="s">
        <v>466</v>
      </c>
      <c r="C142" s="3" t="s">
        <v>18</v>
      </c>
      <c r="D142" s="4" t="s">
        <v>19</v>
      </c>
      <c r="E142" s="3">
        <v>101632</v>
      </c>
      <c r="F142" s="3">
        <v>10158882172</v>
      </c>
      <c r="G142" s="3">
        <v>442803396</v>
      </c>
      <c r="H142" s="32" t="s">
        <v>467</v>
      </c>
      <c r="I142" s="32" t="s">
        <v>468</v>
      </c>
      <c r="J142" s="8"/>
      <c r="L142" s="37" t="s">
        <v>25</v>
      </c>
    </row>
    <row r="143" spans="1:12">
      <c r="A143" s="3">
        <v>8242</v>
      </c>
      <c r="B143" s="3" t="s">
        <v>471</v>
      </c>
      <c r="C143" s="3" t="s">
        <v>18</v>
      </c>
      <c r="D143" s="4" t="s">
        <v>19</v>
      </c>
      <c r="E143" s="3">
        <v>101633</v>
      </c>
      <c r="F143" s="3">
        <v>10158882173</v>
      </c>
      <c r="G143" s="3">
        <v>442803424</v>
      </c>
      <c r="H143" s="32" t="s">
        <v>472</v>
      </c>
      <c r="I143" s="32" t="s">
        <v>473</v>
      </c>
      <c r="J143" s="8"/>
      <c r="L143" s="37" t="s">
        <v>25</v>
      </c>
    </row>
    <row r="144" spans="1:12">
      <c r="A144" s="4">
        <v>8243</v>
      </c>
      <c r="C144" s="3" t="s">
        <v>18</v>
      </c>
      <c r="J144" s="8"/>
    </row>
    <row r="145" spans="1:12">
      <c r="A145" s="3">
        <v>8244</v>
      </c>
      <c r="C145" s="3" t="s">
        <v>18</v>
      </c>
      <c r="J145" s="8"/>
    </row>
    <row r="146" spans="1:12">
      <c r="A146" s="4">
        <v>8245</v>
      </c>
      <c r="C146" s="3" t="s">
        <v>18</v>
      </c>
      <c r="J146" s="8"/>
    </row>
    <row r="147" spans="1:12">
      <c r="A147" s="3">
        <v>8246</v>
      </c>
      <c r="C147" s="3" t="s">
        <v>18</v>
      </c>
      <c r="J147" s="8"/>
    </row>
    <row r="148" spans="1:12">
      <c r="A148" s="3">
        <v>8247</v>
      </c>
      <c r="B148" s="3" t="s">
        <v>476</v>
      </c>
      <c r="C148" s="3" t="s">
        <v>18</v>
      </c>
      <c r="D148" s="4" t="s">
        <v>19</v>
      </c>
      <c r="E148" s="3">
        <v>109768</v>
      </c>
      <c r="F148" s="3">
        <v>14580964228</v>
      </c>
      <c r="G148" s="3">
        <v>499315292</v>
      </c>
      <c r="H148" s="32" t="s">
        <v>477</v>
      </c>
      <c r="I148" s="32" t="s">
        <v>478</v>
      </c>
      <c r="J148" s="8"/>
      <c r="L148" s="37" t="s">
        <v>25</v>
      </c>
    </row>
    <row r="149" spans="1:12">
      <c r="A149" s="3">
        <v>8248</v>
      </c>
      <c r="B149" s="3" t="s">
        <v>482</v>
      </c>
      <c r="C149" s="3" t="s">
        <v>18</v>
      </c>
      <c r="D149" s="4" t="s">
        <v>19</v>
      </c>
      <c r="E149" s="3">
        <v>100396</v>
      </c>
      <c r="F149" s="3">
        <v>9010088664</v>
      </c>
      <c r="G149" s="3">
        <v>427517059</v>
      </c>
      <c r="H149" s="32" t="s">
        <v>483</v>
      </c>
      <c r="I149" s="32" t="s">
        <v>484</v>
      </c>
      <c r="J149" s="8"/>
      <c r="L149" s="37" t="s">
        <v>25</v>
      </c>
    </row>
    <row r="150" spans="1:12">
      <c r="A150" s="3">
        <v>8249</v>
      </c>
      <c r="B150" s="3" t="s">
        <v>487</v>
      </c>
      <c r="C150" s="3" t="s">
        <v>18</v>
      </c>
      <c r="D150" s="4" t="s">
        <v>19</v>
      </c>
      <c r="E150" s="3">
        <v>100378</v>
      </c>
      <c r="F150" s="3">
        <v>9010083458</v>
      </c>
      <c r="G150" s="3">
        <v>427517025</v>
      </c>
      <c r="H150" s="32" t="s">
        <v>488</v>
      </c>
      <c r="I150" s="32" t="s">
        <v>489</v>
      </c>
      <c r="J150" s="8"/>
      <c r="L150" s="37" t="s">
        <v>25</v>
      </c>
    </row>
    <row r="151" spans="1:12">
      <c r="A151" s="3">
        <v>8250</v>
      </c>
      <c r="B151" s="3" t="s">
        <v>492</v>
      </c>
      <c r="C151" s="3" t="s">
        <v>18</v>
      </c>
      <c r="D151" s="4" t="s">
        <v>19</v>
      </c>
      <c r="E151" s="3">
        <v>100387</v>
      </c>
      <c r="F151" s="3">
        <v>9010085489</v>
      </c>
      <c r="G151" s="3">
        <v>427517015</v>
      </c>
      <c r="H151" s="32" t="s">
        <v>493</v>
      </c>
      <c r="I151" s="32" t="s">
        <v>494</v>
      </c>
      <c r="J151" s="8"/>
      <c r="L151" s="37" t="s">
        <v>25</v>
      </c>
    </row>
    <row r="152" spans="1:12">
      <c r="A152" s="4">
        <v>8251</v>
      </c>
      <c r="C152" s="3" t="s">
        <v>18</v>
      </c>
      <c r="J152" s="8"/>
    </row>
    <row r="153" spans="1:12">
      <c r="A153" s="3">
        <v>8252</v>
      </c>
      <c r="C153" s="3" t="s">
        <v>18</v>
      </c>
      <c r="J153" s="8"/>
    </row>
    <row r="154" spans="1:12">
      <c r="A154" s="4">
        <v>8253</v>
      </c>
      <c r="C154" s="3" t="s">
        <v>18</v>
      </c>
      <c r="J154" s="8"/>
    </row>
    <row r="155" spans="1:12">
      <c r="A155" s="3">
        <v>8254</v>
      </c>
      <c r="C155" s="3" t="s">
        <v>18</v>
      </c>
      <c r="J155" s="8"/>
    </row>
    <row r="156" spans="1:12">
      <c r="A156" s="3">
        <v>8255</v>
      </c>
      <c r="B156" s="3" t="s">
        <v>497</v>
      </c>
      <c r="C156" s="3" t="s">
        <v>18</v>
      </c>
      <c r="D156" s="4" t="s">
        <v>19</v>
      </c>
      <c r="E156" s="3">
        <v>100397</v>
      </c>
      <c r="F156" s="3">
        <v>9010088823</v>
      </c>
      <c r="G156" s="3">
        <v>427517030</v>
      </c>
      <c r="H156" s="32" t="s">
        <v>498</v>
      </c>
      <c r="I156" s="32" t="s">
        <v>499</v>
      </c>
      <c r="J156" s="8"/>
      <c r="L156" s="37" t="s">
        <v>25</v>
      </c>
    </row>
    <row r="157" spans="1:12">
      <c r="A157" s="4">
        <v>8256</v>
      </c>
      <c r="C157" s="3" t="s">
        <v>18</v>
      </c>
      <c r="J157" s="8"/>
    </row>
    <row r="158" spans="1:12">
      <c r="A158" s="3">
        <v>8257</v>
      </c>
      <c r="C158" s="3" t="s">
        <v>18</v>
      </c>
      <c r="J158" s="8"/>
    </row>
    <row r="159" spans="1:12">
      <c r="A159" s="4">
        <v>8258</v>
      </c>
      <c r="C159" s="3" t="s">
        <v>18</v>
      </c>
      <c r="J159" s="8"/>
    </row>
    <row r="160" spans="1:12">
      <c r="A160" s="3">
        <v>8259</v>
      </c>
      <c r="C160" s="3" t="s">
        <v>18</v>
      </c>
      <c r="J160" s="8"/>
    </row>
    <row r="161" spans="1:12">
      <c r="A161" s="3">
        <v>8260</v>
      </c>
      <c r="B161" s="3" t="s">
        <v>503</v>
      </c>
      <c r="C161" s="3" t="s">
        <v>18</v>
      </c>
      <c r="D161" s="4" t="s">
        <v>19</v>
      </c>
      <c r="E161" s="3">
        <v>109754</v>
      </c>
      <c r="F161" s="3">
        <v>14580941063</v>
      </c>
      <c r="G161" s="3">
        <v>499315364</v>
      </c>
      <c r="H161" s="32" t="s">
        <v>504</v>
      </c>
      <c r="I161" s="32" t="s">
        <v>505</v>
      </c>
      <c r="J161" s="8"/>
      <c r="L161" s="37" t="s">
        <v>25</v>
      </c>
    </row>
    <row r="162" spans="1:12">
      <c r="A162" s="3">
        <v>8261</v>
      </c>
      <c r="B162" s="3" t="s">
        <v>508</v>
      </c>
      <c r="C162" s="3" t="s">
        <v>18</v>
      </c>
      <c r="D162" s="4" t="s">
        <v>19</v>
      </c>
      <c r="E162" s="3">
        <v>100402</v>
      </c>
      <c r="F162" s="3">
        <v>9010089382</v>
      </c>
      <c r="G162" s="3">
        <v>427517039</v>
      </c>
      <c r="H162" s="32" t="s">
        <v>509</v>
      </c>
      <c r="I162" s="32" t="s">
        <v>510</v>
      </c>
      <c r="J162" s="8"/>
      <c r="L162" s="37" t="s">
        <v>25</v>
      </c>
    </row>
    <row r="163" spans="1:12" ht="30">
      <c r="A163" s="3">
        <v>8262</v>
      </c>
      <c r="B163" s="3" t="s">
        <v>513</v>
      </c>
      <c r="C163" s="3" t="s">
        <v>18</v>
      </c>
      <c r="D163" s="4" t="s">
        <v>19</v>
      </c>
      <c r="E163" s="3">
        <v>109753</v>
      </c>
      <c r="F163" s="3">
        <v>14580941062</v>
      </c>
      <c r="G163" s="3">
        <v>499315305</v>
      </c>
      <c r="H163" s="32" t="s">
        <v>514</v>
      </c>
      <c r="I163" s="32" t="s">
        <v>515</v>
      </c>
      <c r="J163" s="8"/>
      <c r="L163" s="37" t="s">
        <v>25</v>
      </c>
    </row>
    <row r="164" spans="1:12" ht="30">
      <c r="A164" s="3">
        <v>8263</v>
      </c>
      <c r="B164" s="3" t="s">
        <v>518</v>
      </c>
      <c r="C164" s="3" t="s">
        <v>18</v>
      </c>
      <c r="D164" s="4" t="s">
        <v>19</v>
      </c>
      <c r="E164" s="3">
        <v>100403</v>
      </c>
      <c r="F164" s="3">
        <v>9010089744</v>
      </c>
      <c r="G164" s="3">
        <v>427517032</v>
      </c>
      <c r="H164" s="32" t="s">
        <v>519</v>
      </c>
      <c r="I164" s="32" t="s">
        <v>520</v>
      </c>
      <c r="J164" s="8"/>
      <c r="L164" s="37" t="s">
        <v>25</v>
      </c>
    </row>
    <row r="165" spans="1:12">
      <c r="A165" s="3">
        <v>8264</v>
      </c>
      <c r="C165" s="3" t="s">
        <v>18</v>
      </c>
      <c r="J165" s="8"/>
    </row>
    <row r="166" spans="1:12">
      <c r="A166" s="3">
        <v>8265</v>
      </c>
      <c r="B166" s="3" t="s">
        <v>523</v>
      </c>
      <c r="C166" s="3" t="s">
        <v>18</v>
      </c>
      <c r="D166" s="4" t="s">
        <v>19</v>
      </c>
      <c r="E166" s="3">
        <v>109756</v>
      </c>
      <c r="F166" s="3">
        <v>14580951993</v>
      </c>
      <c r="G166" s="3">
        <v>499315288</v>
      </c>
      <c r="H166" s="32" t="s">
        <v>524</v>
      </c>
      <c r="I166" s="32" t="s">
        <v>525</v>
      </c>
      <c r="J166" s="8"/>
      <c r="L166" s="37" t="s">
        <v>25</v>
      </c>
    </row>
    <row r="167" spans="1:12" ht="30">
      <c r="A167" s="3">
        <v>8266</v>
      </c>
      <c r="B167" s="3" t="s">
        <v>528</v>
      </c>
      <c r="C167" s="3" t="s">
        <v>18</v>
      </c>
      <c r="D167" s="4" t="s">
        <v>19</v>
      </c>
      <c r="E167" s="3">
        <v>109758</v>
      </c>
      <c r="F167" s="3">
        <v>14580952703</v>
      </c>
      <c r="G167" s="3">
        <v>499315377</v>
      </c>
      <c r="H167" s="32" t="s">
        <v>529</v>
      </c>
      <c r="I167" s="32" t="s">
        <v>530</v>
      </c>
      <c r="J167" s="8"/>
      <c r="L167" s="37" t="s">
        <v>25</v>
      </c>
    </row>
    <row r="168" spans="1:12">
      <c r="A168" s="3">
        <v>8267</v>
      </c>
      <c r="B168" s="3" t="s">
        <v>533</v>
      </c>
      <c r="C168" s="3" t="s">
        <v>18</v>
      </c>
      <c r="D168" s="4" t="s">
        <v>19</v>
      </c>
      <c r="E168" s="3">
        <v>109760</v>
      </c>
      <c r="F168" s="3">
        <v>14580957843</v>
      </c>
      <c r="G168" s="3">
        <v>499315363</v>
      </c>
      <c r="H168" s="32" t="s">
        <v>534</v>
      </c>
      <c r="I168" s="32" t="s">
        <v>535</v>
      </c>
      <c r="J168" s="8"/>
      <c r="L168" s="37" t="s">
        <v>25</v>
      </c>
    </row>
    <row r="169" spans="1:12" ht="30">
      <c r="A169" s="3">
        <v>8268</v>
      </c>
      <c r="B169" s="3" t="s">
        <v>538</v>
      </c>
      <c r="C169" s="3" t="s">
        <v>18</v>
      </c>
      <c r="D169" s="4" t="s">
        <v>19</v>
      </c>
      <c r="E169" s="3">
        <v>100427</v>
      </c>
      <c r="F169" s="3">
        <v>9010100293</v>
      </c>
      <c r="G169" s="3">
        <v>427517009</v>
      </c>
      <c r="H169" s="32" t="s">
        <v>539</v>
      </c>
      <c r="I169" s="32" t="s">
        <v>540</v>
      </c>
      <c r="J169" s="8"/>
      <c r="L169" s="37" t="s">
        <v>25</v>
      </c>
    </row>
    <row r="170" spans="1:12">
      <c r="A170" s="4">
        <v>8269</v>
      </c>
      <c r="C170" s="3" t="s">
        <v>18</v>
      </c>
      <c r="J170" s="8"/>
    </row>
    <row r="171" spans="1:12">
      <c r="A171" s="3">
        <v>8270</v>
      </c>
      <c r="C171" s="3" t="s">
        <v>18</v>
      </c>
      <c r="J171" s="8"/>
    </row>
    <row r="172" spans="1:12">
      <c r="A172" s="4">
        <v>8271</v>
      </c>
      <c r="C172" s="3" t="s">
        <v>18</v>
      </c>
      <c r="J172" s="8"/>
    </row>
    <row r="173" spans="1:12">
      <c r="A173" s="3">
        <v>8272</v>
      </c>
      <c r="C173" s="3" t="s">
        <v>18</v>
      </c>
      <c r="J173" s="8"/>
    </row>
    <row r="174" spans="1:12">
      <c r="A174" s="3">
        <v>8273</v>
      </c>
      <c r="C174" s="3" t="s">
        <v>18</v>
      </c>
      <c r="J174" s="8"/>
    </row>
    <row r="175" spans="1:12">
      <c r="A175" s="3">
        <v>8274</v>
      </c>
      <c r="C175" s="3" t="s">
        <v>18</v>
      </c>
      <c r="J175" s="8"/>
    </row>
    <row r="176" spans="1:12">
      <c r="A176" s="3">
        <v>8275</v>
      </c>
      <c r="B176" s="3" t="s">
        <v>543</v>
      </c>
      <c r="C176" s="3" t="s">
        <v>18</v>
      </c>
      <c r="D176" s="4" t="s">
        <v>19</v>
      </c>
      <c r="E176" s="3">
        <v>100373</v>
      </c>
      <c r="F176" s="3">
        <v>9010081019</v>
      </c>
      <c r="G176" s="3">
        <v>427517064</v>
      </c>
      <c r="H176" s="32" t="s">
        <v>544</v>
      </c>
      <c r="I176" s="32" t="s">
        <v>545</v>
      </c>
      <c r="J176" s="8"/>
      <c r="L176" s="37" t="s">
        <v>25</v>
      </c>
    </row>
    <row r="177" spans="1:12">
      <c r="A177" s="3">
        <v>8276</v>
      </c>
      <c r="C177" s="3" t="s">
        <v>18</v>
      </c>
      <c r="J177" s="8"/>
    </row>
    <row r="178" spans="1:12">
      <c r="A178" s="3">
        <v>8277</v>
      </c>
      <c r="B178" s="3" t="s">
        <v>548</v>
      </c>
      <c r="C178" s="3" t="s">
        <v>18</v>
      </c>
      <c r="D178" s="4" t="s">
        <v>19</v>
      </c>
      <c r="E178" s="3">
        <v>100381</v>
      </c>
      <c r="F178" s="3">
        <v>9010083702</v>
      </c>
      <c r="G178" s="3">
        <v>427517063</v>
      </c>
      <c r="H178" s="32" t="s">
        <v>549</v>
      </c>
      <c r="I178" s="32" t="s">
        <v>550</v>
      </c>
      <c r="J178" s="8"/>
      <c r="L178" s="37" t="s">
        <v>25</v>
      </c>
    </row>
    <row r="179" spans="1:12">
      <c r="A179" s="3">
        <v>8278</v>
      </c>
      <c r="B179" s="3" t="s">
        <v>553</v>
      </c>
      <c r="C179" s="3" t="s">
        <v>18</v>
      </c>
      <c r="D179" s="4" t="s">
        <v>19</v>
      </c>
      <c r="E179" s="3">
        <v>100409</v>
      </c>
      <c r="F179" s="3">
        <v>9010092583</v>
      </c>
      <c r="G179" s="3">
        <v>427517058</v>
      </c>
      <c r="H179" s="32" t="s">
        <v>554</v>
      </c>
      <c r="I179" s="32" t="s">
        <v>555</v>
      </c>
      <c r="J179" s="8"/>
      <c r="L179" s="37" t="s">
        <v>25</v>
      </c>
    </row>
    <row r="180" spans="1:12">
      <c r="A180" s="4">
        <v>8279</v>
      </c>
      <c r="C180" s="3" t="s">
        <v>18</v>
      </c>
      <c r="J180" s="8"/>
    </row>
    <row r="181" spans="1:12">
      <c r="A181" s="3">
        <v>8280</v>
      </c>
      <c r="C181" s="3" t="s">
        <v>18</v>
      </c>
      <c r="J181" s="8"/>
    </row>
    <row r="182" spans="1:12">
      <c r="A182" s="4">
        <v>8281</v>
      </c>
      <c r="C182" s="3" t="s">
        <v>18</v>
      </c>
      <c r="J182" s="8"/>
    </row>
    <row r="183" spans="1:12">
      <c r="A183" s="3">
        <v>8282</v>
      </c>
      <c r="C183" s="3" t="s">
        <v>18</v>
      </c>
      <c r="J183" s="8"/>
    </row>
    <row r="184" spans="1:12">
      <c r="A184" s="4">
        <v>8283</v>
      </c>
      <c r="C184" s="3" t="s">
        <v>18</v>
      </c>
      <c r="J184" s="8"/>
    </row>
    <row r="185" spans="1:12">
      <c r="A185" s="3">
        <v>8284</v>
      </c>
      <c r="C185" s="3" t="s">
        <v>18</v>
      </c>
      <c r="J185" s="8"/>
    </row>
    <row r="186" spans="1:12">
      <c r="A186" s="3">
        <v>8285</v>
      </c>
      <c r="B186" s="3" t="s">
        <v>558</v>
      </c>
      <c r="C186" s="3" t="s">
        <v>18</v>
      </c>
      <c r="D186" s="4" t="s">
        <v>19</v>
      </c>
      <c r="E186" s="3">
        <v>101616</v>
      </c>
      <c r="F186" s="3">
        <v>10158710738</v>
      </c>
      <c r="G186" s="3">
        <v>442803395</v>
      </c>
      <c r="H186" s="32" t="s">
        <v>559</v>
      </c>
      <c r="I186" s="32" t="s">
        <v>560</v>
      </c>
      <c r="J186" s="8"/>
      <c r="L186" s="37" t="s">
        <v>25</v>
      </c>
    </row>
    <row r="187" spans="1:12">
      <c r="A187" s="3">
        <v>8286</v>
      </c>
      <c r="B187" s="3" t="s">
        <v>564</v>
      </c>
      <c r="C187" s="3" t="s">
        <v>18</v>
      </c>
      <c r="D187" s="4" t="s">
        <v>19</v>
      </c>
      <c r="E187" s="3">
        <v>101626</v>
      </c>
      <c r="F187" s="3">
        <v>10158849768</v>
      </c>
      <c r="G187" s="3">
        <v>442803399</v>
      </c>
      <c r="H187" s="32" t="s">
        <v>565</v>
      </c>
      <c r="I187" s="32" t="s">
        <v>566</v>
      </c>
      <c r="J187" s="8"/>
      <c r="L187" s="37" t="s">
        <v>25</v>
      </c>
    </row>
    <row r="188" spans="1:12">
      <c r="A188" s="3">
        <v>8287</v>
      </c>
      <c r="B188" s="3" t="s">
        <v>569</v>
      </c>
      <c r="C188" s="3" t="s">
        <v>18</v>
      </c>
      <c r="D188" s="4" t="s">
        <v>19</v>
      </c>
      <c r="E188" s="3">
        <v>101625</v>
      </c>
      <c r="F188" s="3">
        <v>10158799805</v>
      </c>
      <c r="G188" s="3">
        <v>442803401</v>
      </c>
      <c r="H188" s="32" t="s">
        <v>570</v>
      </c>
      <c r="I188" s="32" t="s">
        <v>571</v>
      </c>
      <c r="J188" s="8"/>
      <c r="L188" s="37" t="s">
        <v>25</v>
      </c>
    </row>
    <row r="189" spans="1:12">
      <c r="A189" s="3">
        <v>8288</v>
      </c>
      <c r="B189" s="3" t="s">
        <v>574</v>
      </c>
      <c r="C189" s="3" t="s">
        <v>18</v>
      </c>
      <c r="D189" s="4" t="s">
        <v>19</v>
      </c>
      <c r="E189" s="3">
        <v>101624</v>
      </c>
      <c r="F189" s="3">
        <v>10158782067</v>
      </c>
      <c r="G189" s="3">
        <v>442803413</v>
      </c>
      <c r="H189" s="32" t="s">
        <v>575</v>
      </c>
      <c r="I189" s="32" t="s">
        <v>576</v>
      </c>
      <c r="J189" s="8"/>
      <c r="L189" s="37" t="s">
        <v>25</v>
      </c>
    </row>
    <row r="190" spans="1:12">
      <c r="A190" s="3">
        <v>8289</v>
      </c>
      <c r="B190" s="3" t="s">
        <v>579</v>
      </c>
      <c r="C190" s="3" t="s">
        <v>18</v>
      </c>
      <c r="D190" s="4" t="s">
        <v>19</v>
      </c>
      <c r="E190" s="3">
        <v>101623</v>
      </c>
      <c r="F190" s="3">
        <v>10158780145</v>
      </c>
      <c r="G190" s="3">
        <v>442803418</v>
      </c>
      <c r="H190" s="32" t="s">
        <v>580</v>
      </c>
      <c r="I190" s="32" t="s">
        <v>581</v>
      </c>
      <c r="J190" s="8"/>
      <c r="L190" s="37" t="s">
        <v>25</v>
      </c>
    </row>
    <row r="191" spans="1:12">
      <c r="A191" s="4">
        <v>8290</v>
      </c>
      <c r="C191" s="3" t="s">
        <v>18</v>
      </c>
      <c r="J191" s="8"/>
    </row>
    <row r="192" spans="1:12">
      <c r="A192" s="3">
        <v>8291</v>
      </c>
      <c r="C192" s="3" t="s">
        <v>18</v>
      </c>
      <c r="J192" s="8"/>
    </row>
    <row r="193" spans="1:12">
      <c r="A193" s="4">
        <v>8292</v>
      </c>
      <c r="C193" s="3" t="s">
        <v>18</v>
      </c>
      <c r="J193" s="8"/>
    </row>
    <row r="194" spans="1:12">
      <c r="A194" s="3">
        <v>8293</v>
      </c>
      <c r="C194" s="3" t="s">
        <v>18</v>
      </c>
      <c r="J194" s="8"/>
    </row>
    <row r="195" spans="1:12">
      <c r="A195" s="4">
        <v>8294</v>
      </c>
      <c r="C195" s="3" t="s">
        <v>18</v>
      </c>
      <c r="J195" s="8"/>
    </row>
    <row r="196" spans="1:12">
      <c r="A196" s="3">
        <v>8295</v>
      </c>
      <c r="C196" s="3" t="s">
        <v>18</v>
      </c>
      <c r="J196" s="8"/>
    </row>
    <row r="197" spans="1:12" ht="30">
      <c r="A197" s="3">
        <v>8296</v>
      </c>
      <c r="B197" s="3" t="s">
        <v>584</v>
      </c>
      <c r="C197" s="3" t="s">
        <v>18</v>
      </c>
      <c r="D197" s="4" t="s">
        <v>19</v>
      </c>
      <c r="E197" s="3">
        <v>101627</v>
      </c>
      <c r="F197" s="3">
        <v>10158855376</v>
      </c>
      <c r="G197" s="3">
        <v>442803412</v>
      </c>
      <c r="H197" s="32" t="s">
        <v>585</v>
      </c>
      <c r="I197" s="32" t="s">
        <v>4138</v>
      </c>
      <c r="J197" s="8"/>
      <c r="L197" s="37" t="s">
        <v>25</v>
      </c>
    </row>
    <row r="198" spans="1:12">
      <c r="A198" s="3">
        <v>8297</v>
      </c>
      <c r="B198" s="3" t="s">
        <v>589</v>
      </c>
      <c r="C198" s="3" t="s">
        <v>18</v>
      </c>
      <c r="D198" s="4" t="s">
        <v>19</v>
      </c>
      <c r="E198" s="3">
        <v>101628</v>
      </c>
      <c r="F198" s="3">
        <v>10158855377</v>
      </c>
      <c r="G198" s="3">
        <v>442803406</v>
      </c>
      <c r="H198" s="32" t="s">
        <v>590</v>
      </c>
      <c r="I198" s="32" t="s">
        <v>591</v>
      </c>
      <c r="J198" s="8"/>
      <c r="L198" s="37" t="s">
        <v>25</v>
      </c>
    </row>
    <row r="199" spans="1:12">
      <c r="A199" s="3">
        <v>8298</v>
      </c>
      <c r="B199" s="3" t="s">
        <v>594</v>
      </c>
      <c r="C199" s="3" t="s">
        <v>18</v>
      </c>
      <c r="D199" s="4" t="s">
        <v>19</v>
      </c>
      <c r="E199" s="3">
        <v>101620</v>
      </c>
      <c r="F199" s="3">
        <v>10158764035</v>
      </c>
      <c r="G199" s="3">
        <v>442803404</v>
      </c>
      <c r="H199" s="32" t="s">
        <v>595</v>
      </c>
      <c r="I199" s="32" t="s">
        <v>596</v>
      </c>
      <c r="J199" s="8"/>
      <c r="L199" s="37" t="s">
        <v>25</v>
      </c>
    </row>
    <row r="200" spans="1:12">
      <c r="A200" s="3">
        <v>8299</v>
      </c>
      <c r="B200" s="3" t="s">
        <v>599</v>
      </c>
      <c r="C200" s="3" t="s">
        <v>18</v>
      </c>
      <c r="D200" s="4" t="s">
        <v>19</v>
      </c>
      <c r="E200" s="3">
        <v>101621</v>
      </c>
      <c r="F200" s="3">
        <v>10158768094</v>
      </c>
      <c r="G200" s="3">
        <v>442803402</v>
      </c>
      <c r="H200" s="32" t="s">
        <v>600</v>
      </c>
      <c r="I200" s="32" t="s">
        <v>601</v>
      </c>
      <c r="J200" s="8"/>
      <c r="L200" s="37" t="s">
        <v>25</v>
      </c>
    </row>
    <row r="201" spans="1:12" ht="30">
      <c r="A201" s="3">
        <v>8300</v>
      </c>
      <c r="B201" s="3" t="s">
        <v>604</v>
      </c>
      <c r="C201" s="3" t="s">
        <v>18</v>
      </c>
      <c r="D201" s="4" t="s">
        <v>19</v>
      </c>
      <c r="E201" s="3">
        <v>100425</v>
      </c>
      <c r="F201" s="3">
        <v>9010100148</v>
      </c>
      <c r="G201" s="3">
        <v>427517031</v>
      </c>
      <c r="H201" s="32" t="s">
        <v>605</v>
      </c>
      <c r="I201" s="32" t="s">
        <v>606</v>
      </c>
      <c r="J201" s="8"/>
      <c r="L201" s="37" t="s">
        <v>25</v>
      </c>
    </row>
    <row r="202" spans="1:12" ht="30">
      <c r="A202" s="3">
        <v>8301</v>
      </c>
      <c r="B202" s="3" t="s">
        <v>609</v>
      </c>
      <c r="C202" s="3" t="s">
        <v>18</v>
      </c>
      <c r="D202" s="4" t="s">
        <v>19</v>
      </c>
      <c r="E202" s="3">
        <v>101618</v>
      </c>
      <c r="F202" s="3">
        <v>10158733231</v>
      </c>
      <c r="G202" s="3">
        <v>442803425</v>
      </c>
      <c r="H202" s="32" t="s">
        <v>610</v>
      </c>
      <c r="I202" s="32" t="s">
        <v>611</v>
      </c>
      <c r="J202" s="8"/>
      <c r="L202" s="37" t="s">
        <v>25</v>
      </c>
    </row>
    <row r="203" spans="1:12">
      <c r="A203" s="3">
        <v>8302</v>
      </c>
      <c r="B203" s="3" t="s">
        <v>614</v>
      </c>
      <c r="C203" s="3" t="s">
        <v>18</v>
      </c>
      <c r="D203" s="4" t="s">
        <v>19</v>
      </c>
      <c r="E203" s="3">
        <v>101619</v>
      </c>
      <c r="F203" s="3">
        <v>10158755971</v>
      </c>
      <c r="G203" s="3">
        <v>442803410</v>
      </c>
      <c r="H203" s="32" t="s">
        <v>615</v>
      </c>
      <c r="I203" s="32" t="s">
        <v>616</v>
      </c>
      <c r="J203" s="8"/>
      <c r="L203" s="37" t="s">
        <v>25</v>
      </c>
    </row>
    <row r="204" spans="1:12">
      <c r="A204" s="3">
        <v>8303</v>
      </c>
      <c r="B204" s="3" t="s">
        <v>619</v>
      </c>
      <c r="C204" s="3" t="s">
        <v>18</v>
      </c>
      <c r="D204" s="4" t="s">
        <v>19</v>
      </c>
      <c r="E204" s="3">
        <v>101617</v>
      </c>
      <c r="F204" s="3">
        <v>10158716453</v>
      </c>
      <c r="G204" s="3">
        <v>442803419</v>
      </c>
      <c r="H204" s="32" t="s">
        <v>620</v>
      </c>
      <c r="I204" s="32" t="s">
        <v>621</v>
      </c>
      <c r="J204" s="8"/>
      <c r="L204" s="37" t="s">
        <v>25</v>
      </c>
    </row>
    <row r="205" spans="1:12">
      <c r="A205" s="4">
        <v>8304</v>
      </c>
      <c r="C205" s="3" t="s">
        <v>18</v>
      </c>
      <c r="J205" s="8"/>
    </row>
    <row r="206" spans="1:12">
      <c r="A206" s="3">
        <v>8305</v>
      </c>
      <c r="C206" s="3" t="s">
        <v>18</v>
      </c>
      <c r="J206" s="8"/>
    </row>
    <row r="207" spans="1:12">
      <c r="A207" s="4">
        <v>8306</v>
      </c>
      <c r="C207" s="3" t="s">
        <v>18</v>
      </c>
      <c r="J207" s="8"/>
    </row>
    <row r="208" spans="1:12">
      <c r="A208" s="3">
        <v>8307</v>
      </c>
      <c r="C208" s="3" t="s">
        <v>18</v>
      </c>
      <c r="J208" s="8"/>
    </row>
    <row r="209" spans="1:12">
      <c r="A209" s="4">
        <v>8308</v>
      </c>
      <c r="C209" s="3" t="s">
        <v>18</v>
      </c>
      <c r="J209" s="8"/>
    </row>
    <row r="210" spans="1:12">
      <c r="A210" s="3">
        <v>8309</v>
      </c>
      <c r="C210" s="3" t="s">
        <v>18</v>
      </c>
      <c r="J210" s="8"/>
    </row>
    <row r="211" spans="1:12">
      <c r="A211" s="4">
        <v>8310</v>
      </c>
      <c r="C211" s="3" t="s">
        <v>18</v>
      </c>
      <c r="J211" s="8"/>
    </row>
    <row r="212" spans="1:12">
      <c r="A212" s="3">
        <v>8311</v>
      </c>
      <c r="C212" s="3" t="s">
        <v>18</v>
      </c>
      <c r="J212" s="8"/>
    </row>
    <row r="213" spans="1:12">
      <c r="A213" s="4">
        <v>8312</v>
      </c>
      <c r="C213" s="3" t="s">
        <v>18</v>
      </c>
      <c r="J213" s="8"/>
    </row>
    <row r="214" spans="1:12">
      <c r="A214" s="3">
        <v>8313</v>
      </c>
      <c r="C214" s="3" t="s">
        <v>18</v>
      </c>
      <c r="J214" s="8"/>
    </row>
    <row r="215" spans="1:12">
      <c r="A215" s="3">
        <v>8314</v>
      </c>
      <c r="C215" s="3" t="s">
        <v>18</v>
      </c>
      <c r="J215" s="8"/>
    </row>
    <row r="216" spans="1:12">
      <c r="A216" s="3">
        <v>8315</v>
      </c>
      <c r="C216" s="3" t="s">
        <v>18</v>
      </c>
      <c r="J216" s="8"/>
    </row>
    <row r="217" spans="1:12">
      <c r="A217" s="4">
        <v>8316</v>
      </c>
      <c r="C217" s="3" t="s">
        <v>18</v>
      </c>
      <c r="J217" s="8"/>
    </row>
    <row r="218" spans="1:12">
      <c r="A218" s="3">
        <v>8317</v>
      </c>
      <c r="C218" s="3" t="s">
        <v>18</v>
      </c>
      <c r="J218" s="8"/>
    </row>
    <row r="219" spans="1:12">
      <c r="A219" s="3">
        <v>8318</v>
      </c>
      <c r="B219" s="3" t="s">
        <v>624</v>
      </c>
      <c r="C219" s="3" t="s">
        <v>18</v>
      </c>
      <c r="D219" s="4" t="s">
        <v>19</v>
      </c>
      <c r="E219" s="3">
        <v>110720</v>
      </c>
      <c r="F219" s="3">
        <v>15270409186</v>
      </c>
      <c r="G219" s="3">
        <v>508375945</v>
      </c>
      <c r="H219" s="32" t="s">
        <v>625</v>
      </c>
      <c r="I219" s="32" t="s">
        <v>626</v>
      </c>
      <c r="J219" s="8"/>
      <c r="L219" s="37" t="s">
        <v>25</v>
      </c>
    </row>
    <row r="220" spans="1:12">
      <c r="A220" s="3">
        <v>8319</v>
      </c>
      <c r="B220" s="3" t="s">
        <v>629</v>
      </c>
      <c r="C220" s="3" t="s">
        <v>18</v>
      </c>
      <c r="D220" s="4" t="s">
        <v>19</v>
      </c>
      <c r="E220" s="3">
        <v>110721</v>
      </c>
      <c r="F220" s="3">
        <v>15270409187</v>
      </c>
      <c r="G220" s="3">
        <v>508375949</v>
      </c>
      <c r="H220" s="32" t="s">
        <v>630</v>
      </c>
      <c r="I220" s="32" t="s">
        <v>631</v>
      </c>
      <c r="J220" s="8"/>
      <c r="L220" s="37" t="s">
        <v>25</v>
      </c>
    </row>
    <row r="221" spans="1:12">
      <c r="A221" s="3">
        <v>8320</v>
      </c>
      <c r="B221" s="3" t="s">
        <v>634</v>
      </c>
      <c r="C221" s="3" t="s">
        <v>18</v>
      </c>
      <c r="D221" s="4" t="s">
        <v>19</v>
      </c>
      <c r="E221" s="3">
        <v>110722</v>
      </c>
      <c r="F221" s="3">
        <v>15270411853</v>
      </c>
      <c r="G221" s="3">
        <v>508375941</v>
      </c>
      <c r="H221" s="32" t="s">
        <v>635</v>
      </c>
      <c r="I221" s="32" t="s">
        <v>636</v>
      </c>
      <c r="J221" s="8"/>
      <c r="L221" s="37" t="s">
        <v>25</v>
      </c>
    </row>
    <row r="222" spans="1:12">
      <c r="A222" s="3">
        <v>8321</v>
      </c>
      <c r="B222" s="3" t="s">
        <v>639</v>
      </c>
      <c r="C222" s="3" t="s">
        <v>18</v>
      </c>
      <c r="D222" s="4" t="s">
        <v>19</v>
      </c>
      <c r="E222" s="3">
        <v>110723</v>
      </c>
      <c r="F222" s="3">
        <v>15270411854</v>
      </c>
      <c r="G222" s="3">
        <v>508375946</v>
      </c>
      <c r="H222" s="32" t="s">
        <v>640</v>
      </c>
      <c r="I222" s="32" t="s">
        <v>641</v>
      </c>
      <c r="J222" s="8"/>
      <c r="L222" s="37" t="s">
        <v>25</v>
      </c>
    </row>
    <row r="223" spans="1:12" ht="30">
      <c r="A223" s="3">
        <v>8322</v>
      </c>
      <c r="B223" s="3" t="s">
        <v>644</v>
      </c>
      <c r="C223" s="3" t="s">
        <v>18</v>
      </c>
      <c r="D223" s="4" t="s">
        <v>19</v>
      </c>
      <c r="E223" s="3">
        <v>110724</v>
      </c>
      <c r="F223" s="3">
        <v>15270411855</v>
      </c>
      <c r="G223" s="3">
        <v>508375939</v>
      </c>
      <c r="H223" s="32" t="s">
        <v>645</v>
      </c>
      <c r="I223" s="32" t="s">
        <v>646</v>
      </c>
      <c r="J223" s="8"/>
      <c r="L223" s="37" t="s">
        <v>25</v>
      </c>
    </row>
    <row r="224" spans="1:12">
      <c r="A224" s="3">
        <v>8323</v>
      </c>
      <c r="B224" s="3" t="s">
        <v>649</v>
      </c>
      <c r="C224" s="3" t="s">
        <v>18</v>
      </c>
      <c r="D224" s="4" t="s">
        <v>19</v>
      </c>
      <c r="E224" s="3">
        <v>110725</v>
      </c>
      <c r="F224" s="3">
        <v>15270411856</v>
      </c>
      <c r="G224" s="3">
        <v>508375940</v>
      </c>
      <c r="H224" s="32" t="s">
        <v>650</v>
      </c>
      <c r="I224" s="32" t="s">
        <v>651</v>
      </c>
      <c r="J224" s="8"/>
      <c r="L224" s="37" t="s">
        <v>25</v>
      </c>
    </row>
    <row r="225" spans="1:12">
      <c r="A225" s="3">
        <v>8324</v>
      </c>
      <c r="B225" s="3" t="s">
        <v>654</v>
      </c>
      <c r="C225" s="3" t="s">
        <v>18</v>
      </c>
      <c r="D225" s="4" t="s">
        <v>19</v>
      </c>
      <c r="E225" s="3">
        <v>100367</v>
      </c>
      <c r="F225" s="3">
        <v>9010077687</v>
      </c>
      <c r="G225" s="3">
        <v>427517060</v>
      </c>
      <c r="H225" s="32" t="s">
        <v>655</v>
      </c>
      <c r="I225" s="32" t="s">
        <v>656</v>
      </c>
      <c r="J225" s="8"/>
      <c r="L225" s="37" t="s">
        <v>25</v>
      </c>
    </row>
    <row r="226" spans="1:12">
      <c r="A226" s="3">
        <v>8325</v>
      </c>
      <c r="B226" s="3" t="s">
        <v>659</v>
      </c>
      <c r="C226" s="3" t="s">
        <v>18</v>
      </c>
      <c r="D226" s="4" t="s">
        <v>19</v>
      </c>
      <c r="E226" s="3">
        <v>110726</v>
      </c>
      <c r="F226" s="3">
        <v>15270426165</v>
      </c>
      <c r="G226" s="3">
        <v>508375950</v>
      </c>
      <c r="H226" s="32" t="s">
        <v>660</v>
      </c>
      <c r="I226" s="32" t="s">
        <v>661</v>
      </c>
      <c r="J226" s="8"/>
      <c r="L226" s="37" t="s">
        <v>25</v>
      </c>
    </row>
    <row r="227" spans="1:12">
      <c r="A227" s="3">
        <v>8326</v>
      </c>
      <c r="B227" s="3" t="s">
        <v>664</v>
      </c>
      <c r="C227" s="3" t="s">
        <v>18</v>
      </c>
      <c r="D227" s="4" t="s">
        <v>19</v>
      </c>
      <c r="E227" s="3">
        <v>110727</v>
      </c>
      <c r="F227" s="3">
        <v>15270432552</v>
      </c>
      <c r="G227" s="3">
        <v>508375943</v>
      </c>
      <c r="H227" s="32" t="s">
        <v>665</v>
      </c>
      <c r="I227" s="32" t="s">
        <v>666</v>
      </c>
      <c r="J227" s="8"/>
      <c r="L227" s="37" t="s">
        <v>25</v>
      </c>
    </row>
    <row r="228" spans="1:12">
      <c r="A228" s="3">
        <v>8327</v>
      </c>
      <c r="B228" s="3" t="s">
        <v>669</v>
      </c>
      <c r="C228" s="3" t="s">
        <v>18</v>
      </c>
      <c r="D228" s="4" t="s">
        <v>19</v>
      </c>
      <c r="E228" s="3">
        <v>100368</v>
      </c>
      <c r="F228" s="3">
        <v>9010079757</v>
      </c>
      <c r="G228" s="3">
        <v>427517035</v>
      </c>
      <c r="H228" s="32" t="s">
        <v>670</v>
      </c>
      <c r="I228" s="32" t="s">
        <v>671</v>
      </c>
      <c r="J228" s="8"/>
      <c r="L228" s="37" t="s">
        <v>25</v>
      </c>
    </row>
    <row r="229" spans="1:12">
      <c r="A229" s="3">
        <v>8328</v>
      </c>
      <c r="B229" s="3" t="s">
        <v>674</v>
      </c>
      <c r="C229" s="3" t="s">
        <v>18</v>
      </c>
      <c r="D229" s="4" t="s">
        <v>19</v>
      </c>
      <c r="E229" s="3">
        <v>110728</v>
      </c>
      <c r="F229" s="3">
        <v>15270437413</v>
      </c>
      <c r="G229" s="3">
        <v>508375948</v>
      </c>
      <c r="H229" s="32" t="s">
        <v>675</v>
      </c>
      <c r="I229" s="32" t="s">
        <v>676</v>
      </c>
      <c r="J229" s="8"/>
      <c r="L229" s="37" t="s">
        <v>25</v>
      </c>
    </row>
    <row r="230" spans="1:12">
      <c r="A230" s="3">
        <v>8329</v>
      </c>
      <c r="B230" s="3" t="s">
        <v>679</v>
      </c>
      <c r="C230" s="3" t="s">
        <v>18</v>
      </c>
      <c r="D230" s="4" t="s">
        <v>19</v>
      </c>
      <c r="E230" s="3">
        <v>110729</v>
      </c>
      <c r="F230" s="3">
        <v>15270865546</v>
      </c>
      <c r="G230" s="3">
        <v>508375942</v>
      </c>
      <c r="H230" s="32" t="s">
        <v>680</v>
      </c>
      <c r="I230" s="32" t="s">
        <v>681</v>
      </c>
      <c r="J230" s="8"/>
      <c r="L230" s="37" t="s">
        <v>25</v>
      </c>
    </row>
    <row r="231" spans="1:12" s="6" customFormat="1" ht="15.75" thickBot="1">
      <c r="A231" s="6">
        <v>8330</v>
      </c>
      <c r="B231" s="6" t="s">
        <v>684</v>
      </c>
      <c r="C231" s="6" t="s">
        <v>18</v>
      </c>
      <c r="D231" s="6" t="s">
        <v>19</v>
      </c>
      <c r="E231" s="6">
        <v>110730</v>
      </c>
      <c r="F231" s="6">
        <v>15270911421</v>
      </c>
      <c r="G231" s="6">
        <v>508375944</v>
      </c>
      <c r="H231" s="34" t="s">
        <v>685</v>
      </c>
      <c r="I231" s="34" t="s">
        <v>686</v>
      </c>
      <c r="J231" s="9"/>
      <c r="L231" s="44" t="s">
        <v>25</v>
      </c>
    </row>
    <row r="232" spans="1:12" s="4" customFormat="1">
      <c r="A232" s="4">
        <v>9001</v>
      </c>
      <c r="C232" s="4" t="s">
        <v>689</v>
      </c>
      <c r="H232" s="33"/>
      <c r="I232" s="33"/>
      <c r="J232" s="10"/>
    </row>
    <row r="233" spans="1:12">
      <c r="A233" s="3">
        <v>9002</v>
      </c>
      <c r="C233" s="3" t="s">
        <v>689</v>
      </c>
      <c r="J233" s="8"/>
    </row>
    <row r="234" spans="1:12">
      <c r="A234" s="4">
        <v>9003</v>
      </c>
      <c r="C234" s="3" t="s">
        <v>689</v>
      </c>
      <c r="J234" s="8"/>
    </row>
    <row r="235" spans="1:12">
      <c r="A235" s="3">
        <v>9004</v>
      </c>
      <c r="C235" s="3" t="s">
        <v>689</v>
      </c>
      <c r="J235" s="8"/>
    </row>
    <row r="236" spans="1:12">
      <c r="A236" s="3">
        <v>9005</v>
      </c>
      <c r="B236" s="3" t="s">
        <v>690</v>
      </c>
      <c r="C236" s="3" t="s">
        <v>691</v>
      </c>
      <c r="D236" s="3" t="s">
        <v>19</v>
      </c>
      <c r="E236" s="3">
        <v>105361</v>
      </c>
      <c r="F236" s="3">
        <v>11505646564</v>
      </c>
      <c r="G236" s="3">
        <v>458765043</v>
      </c>
      <c r="J236" s="39" t="s">
        <v>694</v>
      </c>
      <c r="L236" s="37" t="s">
        <v>25</v>
      </c>
    </row>
    <row r="237" spans="1:12">
      <c r="A237" s="4">
        <v>9006</v>
      </c>
      <c r="C237" s="3" t="s">
        <v>689</v>
      </c>
      <c r="J237" s="8"/>
    </row>
    <row r="238" spans="1:12">
      <c r="A238" s="3">
        <v>9007</v>
      </c>
      <c r="C238" s="3" t="s">
        <v>689</v>
      </c>
      <c r="J238" s="8"/>
    </row>
    <row r="239" spans="1:12">
      <c r="A239" s="3">
        <v>9008</v>
      </c>
      <c r="B239" s="3" t="s">
        <v>696</v>
      </c>
      <c r="C239" s="3" t="s">
        <v>691</v>
      </c>
      <c r="D239" s="3" t="s">
        <v>19</v>
      </c>
      <c r="E239" s="3">
        <v>113171</v>
      </c>
      <c r="F239" s="3">
        <v>16354099306</v>
      </c>
      <c r="G239" s="3">
        <v>521876205</v>
      </c>
      <c r="J239" s="8" t="s">
        <v>699</v>
      </c>
      <c r="L239" s="37" t="s">
        <v>25</v>
      </c>
    </row>
    <row r="240" spans="1:12">
      <c r="A240" s="3">
        <v>9009</v>
      </c>
      <c r="B240" s="3" t="s">
        <v>702</v>
      </c>
      <c r="C240" s="3" t="s">
        <v>689</v>
      </c>
      <c r="D240" s="3" t="s">
        <v>19</v>
      </c>
      <c r="E240" s="3">
        <v>100061</v>
      </c>
      <c r="F240" s="3">
        <v>8782077963</v>
      </c>
      <c r="G240" s="3">
        <v>424890445</v>
      </c>
      <c r="J240" s="8" t="s">
        <v>706</v>
      </c>
      <c r="L240" s="37" t="s">
        <v>25</v>
      </c>
    </row>
    <row r="241" spans="1:12">
      <c r="A241" s="4">
        <v>9010</v>
      </c>
      <c r="C241" s="3" t="s">
        <v>689</v>
      </c>
      <c r="J241" s="8"/>
    </row>
    <row r="242" spans="1:12">
      <c r="A242" s="3">
        <v>9011</v>
      </c>
      <c r="C242" s="3" t="s">
        <v>689</v>
      </c>
      <c r="J242" s="8"/>
    </row>
    <row r="243" spans="1:12">
      <c r="A243" s="4">
        <v>9012</v>
      </c>
      <c r="C243" s="3" t="s">
        <v>689</v>
      </c>
      <c r="J243" s="8"/>
    </row>
    <row r="244" spans="1:12">
      <c r="A244" s="3">
        <v>9013</v>
      </c>
      <c r="B244" s="3" t="s">
        <v>708</v>
      </c>
      <c r="C244" s="3" t="s">
        <v>689</v>
      </c>
      <c r="D244" s="3" t="s">
        <v>19</v>
      </c>
      <c r="E244" s="3">
        <v>98978</v>
      </c>
      <c r="F244" s="3">
        <v>8171907824</v>
      </c>
      <c r="G244" s="3">
        <v>418779621</v>
      </c>
      <c r="J244" s="8" t="s">
        <v>712</v>
      </c>
      <c r="L244" s="37" t="s">
        <v>25</v>
      </c>
    </row>
    <row r="245" spans="1:12">
      <c r="A245" s="3">
        <v>9014</v>
      </c>
      <c r="B245" s="3" t="s">
        <v>714</v>
      </c>
      <c r="C245" s="3" t="s">
        <v>689</v>
      </c>
      <c r="D245" s="3" t="s">
        <v>19</v>
      </c>
      <c r="E245" s="3">
        <v>98971</v>
      </c>
      <c r="F245" s="3">
        <v>8169350941</v>
      </c>
      <c r="G245" s="3">
        <v>418779628</v>
      </c>
      <c r="J245" s="8" t="s">
        <v>718</v>
      </c>
      <c r="L245" s="37" t="s">
        <v>25</v>
      </c>
    </row>
    <row r="246" spans="1:12">
      <c r="A246" s="3">
        <v>9015</v>
      </c>
      <c r="B246" s="3" t="s">
        <v>720</v>
      </c>
      <c r="C246" s="3" t="s">
        <v>689</v>
      </c>
      <c r="D246" s="3" t="s">
        <v>19</v>
      </c>
      <c r="E246" s="3">
        <v>98987</v>
      </c>
      <c r="F246" s="3">
        <v>8171988600</v>
      </c>
      <c r="G246" s="3">
        <v>418779638</v>
      </c>
      <c r="J246" s="8" t="s">
        <v>724</v>
      </c>
      <c r="L246" s="37" t="s">
        <v>25</v>
      </c>
    </row>
    <row r="247" spans="1:12">
      <c r="A247" s="3">
        <v>9016</v>
      </c>
      <c r="B247" s="3" t="s">
        <v>726</v>
      </c>
      <c r="C247" s="3" t="s">
        <v>691</v>
      </c>
      <c r="D247" s="3" t="s">
        <v>19</v>
      </c>
      <c r="E247" s="3">
        <v>113170</v>
      </c>
      <c r="F247" s="3">
        <v>16354087548</v>
      </c>
      <c r="G247" s="3">
        <v>521876204</v>
      </c>
      <c r="J247" s="8" t="s">
        <v>729</v>
      </c>
      <c r="L247" s="37" t="s">
        <v>25</v>
      </c>
    </row>
    <row r="248" spans="1:12">
      <c r="A248" s="4">
        <v>9017</v>
      </c>
      <c r="C248" s="3" t="s">
        <v>689</v>
      </c>
      <c r="J248" s="8"/>
    </row>
    <row r="249" spans="1:12">
      <c r="A249" s="3">
        <v>9018</v>
      </c>
      <c r="C249" s="3" t="s">
        <v>689</v>
      </c>
      <c r="J249" s="8"/>
    </row>
    <row r="250" spans="1:12">
      <c r="A250" s="4">
        <v>9019</v>
      </c>
      <c r="C250" s="3" t="s">
        <v>689</v>
      </c>
      <c r="J250" s="8"/>
    </row>
    <row r="251" spans="1:12">
      <c r="A251" s="3">
        <v>9020</v>
      </c>
      <c r="C251" s="3" t="s">
        <v>689</v>
      </c>
      <c r="J251" s="8"/>
    </row>
    <row r="252" spans="1:12">
      <c r="A252" s="3">
        <v>9021</v>
      </c>
      <c r="C252" s="3" t="s">
        <v>689</v>
      </c>
      <c r="J252" s="8"/>
    </row>
    <row r="253" spans="1:12">
      <c r="A253" s="4">
        <v>9022</v>
      </c>
      <c r="C253" s="3" t="s">
        <v>689</v>
      </c>
      <c r="J253" s="8"/>
    </row>
    <row r="254" spans="1:12">
      <c r="A254" s="3">
        <v>9023</v>
      </c>
      <c r="C254" s="3" t="s">
        <v>689</v>
      </c>
      <c r="J254" s="8"/>
    </row>
    <row r="255" spans="1:12">
      <c r="A255" s="3">
        <v>9024</v>
      </c>
      <c r="B255" s="3" t="s">
        <v>732</v>
      </c>
      <c r="C255" s="3" t="s">
        <v>689</v>
      </c>
      <c r="D255" s="3" t="s">
        <v>19</v>
      </c>
      <c r="E255" s="3">
        <v>101521</v>
      </c>
      <c r="F255" s="3">
        <v>10076572877</v>
      </c>
      <c r="G255" s="3">
        <v>441567326</v>
      </c>
      <c r="J255" s="8" t="s">
        <v>736</v>
      </c>
      <c r="L255" s="37" t="s">
        <v>25</v>
      </c>
    </row>
    <row r="256" spans="1:12">
      <c r="A256" s="4">
        <v>9025</v>
      </c>
      <c r="C256" s="3" t="s">
        <v>689</v>
      </c>
      <c r="J256" s="8"/>
    </row>
    <row r="257" spans="1:12">
      <c r="A257" s="3">
        <v>9026</v>
      </c>
      <c r="C257" s="3" t="s">
        <v>689</v>
      </c>
      <c r="J257" s="8"/>
    </row>
    <row r="258" spans="1:12">
      <c r="A258" s="4">
        <v>9027</v>
      </c>
      <c r="C258" s="3" t="s">
        <v>689</v>
      </c>
      <c r="J258" s="8"/>
    </row>
    <row r="259" spans="1:12">
      <c r="A259" s="3">
        <v>9028</v>
      </c>
      <c r="B259" s="3" t="s">
        <v>738</v>
      </c>
      <c r="C259" s="3" t="s">
        <v>691</v>
      </c>
      <c r="D259" s="3" t="s">
        <v>19</v>
      </c>
      <c r="E259" s="3">
        <v>104150</v>
      </c>
      <c r="F259" s="3">
        <v>10748608116</v>
      </c>
      <c r="G259" s="3">
        <v>450071046</v>
      </c>
      <c r="J259" s="8" t="s">
        <v>740</v>
      </c>
      <c r="L259" s="37" t="s">
        <v>25</v>
      </c>
    </row>
    <row r="260" spans="1:12">
      <c r="A260" s="4">
        <v>9029</v>
      </c>
      <c r="C260" s="3" t="s">
        <v>689</v>
      </c>
      <c r="J260" s="8"/>
    </row>
    <row r="261" spans="1:12">
      <c r="A261" s="3">
        <v>9030</v>
      </c>
      <c r="C261" s="3" t="s">
        <v>689</v>
      </c>
      <c r="J261" s="8"/>
    </row>
    <row r="262" spans="1:12">
      <c r="A262" s="4">
        <v>9031</v>
      </c>
      <c r="C262" s="3" t="s">
        <v>689</v>
      </c>
      <c r="J262" s="8"/>
    </row>
    <row r="263" spans="1:12">
      <c r="A263" s="3">
        <v>9032</v>
      </c>
      <c r="B263" s="3" t="s">
        <v>742</v>
      </c>
      <c r="C263" s="3" t="s">
        <v>689</v>
      </c>
      <c r="D263" s="3" t="s">
        <v>19</v>
      </c>
      <c r="E263" s="3">
        <v>110332</v>
      </c>
      <c r="F263" s="3">
        <v>14837180431</v>
      </c>
      <c r="G263" s="3">
        <v>502634339</v>
      </c>
      <c r="J263" s="8" t="s">
        <v>746</v>
      </c>
      <c r="L263" s="37" t="s">
        <v>25</v>
      </c>
    </row>
    <row r="264" spans="1:12">
      <c r="A264" s="3">
        <v>9033</v>
      </c>
      <c r="B264" s="3" t="s">
        <v>748</v>
      </c>
      <c r="C264" s="3" t="s">
        <v>689</v>
      </c>
      <c r="D264" s="3" t="s">
        <v>19</v>
      </c>
      <c r="E264" s="3">
        <v>99319</v>
      </c>
      <c r="F264" s="3">
        <v>8319394669</v>
      </c>
      <c r="G264" s="3">
        <v>420272276</v>
      </c>
      <c r="J264" s="8" t="s">
        <v>752</v>
      </c>
      <c r="L264" s="37" t="s">
        <v>25</v>
      </c>
    </row>
    <row r="265" spans="1:12">
      <c r="A265" s="4">
        <v>9034</v>
      </c>
      <c r="C265" s="3" t="s">
        <v>689</v>
      </c>
      <c r="J265" s="8"/>
    </row>
    <row r="266" spans="1:12">
      <c r="A266" s="3">
        <v>9035</v>
      </c>
      <c r="C266" s="3" t="s">
        <v>689</v>
      </c>
      <c r="J266" s="8"/>
    </row>
    <row r="267" spans="1:12">
      <c r="A267" s="4">
        <v>9036</v>
      </c>
      <c r="C267" s="3" t="s">
        <v>689</v>
      </c>
      <c r="J267" s="8"/>
    </row>
    <row r="268" spans="1:12">
      <c r="A268" s="3">
        <v>9037</v>
      </c>
      <c r="C268" s="3" t="s">
        <v>689</v>
      </c>
      <c r="J268" s="8"/>
    </row>
    <row r="269" spans="1:12">
      <c r="A269" s="3">
        <v>9038</v>
      </c>
      <c r="C269" s="3" t="s">
        <v>689</v>
      </c>
      <c r="J269" s="8"/>
    </row>
    <row r="270" spans="1:12">
      <c r="A270" s="3">
        <v>9039</v>
      </c>
      <c r="B270" s="3" t="s">
        <v>754</v>
      </c>
      <c r="C270" s="3" t="s">
        <v>689</v>
      </c>
      <c r="D270" s="3" t="s">
        <v>19</v>
      </c>
      <c r="E270" s="3">
        <v>99303</v>
      </c>
      <c r="F270" s="3">
        <v>8319038138</v>
      </c>
      <c r="G270" s="3">
        <v>420272283</v>
      </c>
      <c r="J270" s="8" t="s">
        <v>758</v>
      </c>
      <c r="L270" s="37" t="s">
        <v>25</v>
      </c>
    </row>
    <row r="271" spans="1:12">
      <c r="A271" s="3">
        <v>9040</v>
      </c>
      <c r="B271" s="3" t="s">
        <v>760</v>
      </c>
      <c r="C271" s="3" t="s">
        <v>689</v>
      </c>
      <c r="D271" s="3" t="s">
        <v>19</v>
      </c>
      <c r="E271" s="3">
        <v>98981</v>
      </c>
      <c r="F271" s="3">
        <v>8171907827</v>
      </c>
      <c r="G271" s="3">
        <v>418779625</v>
      </c>
      <c r="J271" s="8" t="s">
        <v>764</v>
      </c>
      <c r="L271" s="37" t="s">
        <v>25</v>
      </c>
    </row>
    <row r="272" spans="1:12">
      <c r="A272" s="4">
        <v>9041</v>
      </c>
      <c r="C272" s="3" t="s">
        <v>689</v>
      </c>
      <c r="J272" s="8"/>
    </row>
    <row r="273" spans="1:12">
      <c r="A273" s="3">
        <v>9042</v>
      </c>
      <c r="C273" s="3" t="s">
        <v>689</v>
      </c>
      <c r="J273" s="8"/>
    </row>
    <row r="274" spans="1:12">
      <c r="A274" s="4">
        <v>9043</v>
      </c>
      <c r="C274" s="3" t="s">
        <v>689</v>
      </c>
      <c r="J274" s="8"/>
    </row>
    <row r="275" spans="1:12">
      <c r="A275" s="3">
        <v>9044</v>
      </c>
      <c r="C275" s="3" t="s">
        <v>689</v>
      </c>
      <c r="J275" s="8"/>
    </row>
    <row r="276" spans="1:12">
      <c r="A276" s="3">
        <v>9045</v>
      </c>
      <c r="B276" s="3" t="s">
        <v>766</v>
      </c>
      <c r="C276" s="3" t="s">
        <v>689</v>
      </c>
      <c r="D276" s="3" t="s">
        <v>19</v>
      </c>
      <c r="E276" s="3">
        <v>101525</v>
      </c>
      <c r="F276" s="3">
        <v>10076622853</v>
      </c>
      <c r="G276" s="3">
        <v>441567324</v>
      </c>
      <c r="J276" s="8" t="s">
        <v>4139</v>
      </c>
      <c r="L276" s="37" t="s">
        <v>25</v>
      </c>
    </row>
    <row r="277" spans="1:12">
      <c r="A277" s="4">
        <v>9046</v>
      </c>
      <c r="C277" s="3" t="s">
        <v>689</v>
      </c>
      <c r="J277" s="8"/>
    </row>
    <row r="278" spans="1:12">
      <c r="A278" s="3">
        <v>9047</v>
      </c>
      <c r="C278" s="3" t="s">
        <v>689</v>
      </c>
      <c r="J278" s="8"/>
    </row>
    <row r="279" spans="1:12">
      <c r="A279" s="4">
        <v>9048</v>
      </c>
      <c r="C279" s="3" t="s">
        <v>689</v>
      </c>
      <c r="J279" s="8"/>
    </row>
    <row r="280" spans="1:12">
      <c r="A280" s="3">
        <v>9049</v>
      </c>
      <c r="B280" s="3" t="s">
        <v>772</v>
      </c>
      <c r="C280" s="3" t="s">
        <v>689</v>
      </c>
      <c r="D280" s="3" t="s">
        <v>19</v>
      </c>
      <c r="E280" s="3">
        <v>99321</v>
      </c>
      <c r="F280" s="3">
        <v>8319441946</v>
      </c>
      <c r="G280" s="3">
        <v>420272267</v>
      </c>
      <c r="J280" s="8" t="s">
        <v>776</v>
      </c>
      <c r="L280" s="37" t="s">
        <v>25</v>
      </c>
    </row>
    <row r="281" spans="1:12">
      <c r="A281" s="3">
        <v>9050</v>
      </c>
      <c r="B281" s="3" t="s">
        <v>778</v>
      </c>
      <c r="C281" s="3" t="s">
        <v>689</v>
      </c>
      <c r="D281" s="3" t="s">
        <v>19</v>
      </c>
      <c r="E281" s="3">
        <v>98967</v>
      </c>
      <c r="F281" s="3">
        <v>8169311128</v>
      </c>
      <c r="G281" s="3">
        <v>418779639</v>
      </c>
      <c r="J281" s="8" t="s">
        <v>782</v>
      </c>
      <c r="L281" s="37" t="s">
        <v>25</v>
      </c>
    </row>
    <row r="282" spans="1:12">
      <c r="A282" s="3">
        <v>9051</v>
      </c>
      <c r="B282" s="3" t="s">
        <v>784</v>
      </c>
      <c r="C282" s="3" t="s">
        <v>689</v>
      </c>
      <c r="D282" s="3" t="s">
        <v>19</v>
      </c>
      <c r="E282" s="3">
        <v>99320</v>
      </c>
      <c r="F282" s="3">
        <v>8319441945</v>
      </c>
      <c r="G282" s="3">
        <v>420272270</v>
      </c>
      <c r="J282" s="8" t="s">
        <v>788</v>
      </c>
      <c r="L282" s="37" t="s">
        <v>25</v>
      </c>
    </row>
    <row r="283" spans="1:12">
      <c r="A283" s="4">
        <v>9052</v>
      </c>
      <c r="C283" s="3" t="s">
        <v>689</v>
      </c>
      <c r="J283" s="8"/>
    </row>
    <row r="284" spans="1:12">
      <c r="A284" s="3">
        <v>9053</v>
      </c>
      <c r="C284" s="3" t="s">
        <v>689</v>
      </c>
      <c r="J284" s="8"/>
    </row>
    <row r="285" spans="1:12">
      <c r="A285" s="4">
        <v>9054</v>
      </c>
      <c r="C285" s="3" t="s">
        <v>689</v>
      </c>
      <c r="J285" s="8"/>
    </row>
    <row r="286" spans="1:12">
      <c r="A286" s="3">
        <v>9055</v>
      </c>
      <c r="C286" s="3" t="s">
        <v>689</v>
      </c>
      <c r="J286" s="8"/>
    </row>
    <row r="287" spans="1:12">
      <c r="A287" s="3">
        <v>9056</v>
      </c>
      <c r="C287" s="3" t="s">
        <v>689</v>
      </c>
      <c r="J287" s="8"/>
    </row>
    <row r="288" spans="1:12">
      <c r="A288" s="4">
        <v>9057</v>
      </c>
      <c r="C288" s="3" t="s">
        <v>689</v>
      </c>
      <c r="J288" s="8"/>
    </row>
    <row r="289" spans="1:12">
      <c r="A289" s="3">
        <v>9058</v>
      </c>
      <c r="C289" s="3" t="s">
        <v>689</v>
      </c>
      <c r="J289" s="8"/>
    </row>
    <row r="290" spans="1:12">
      <c r="A290" s="3">
        <v>9059</v>
      </c>
      <c r="C290" s="3" t="s">
        <v>689</v>
      </c>
      <c r="J290" s="8"/>
    </row>
    <row r="291" spans="1:12">
      <c r="A291" s="3">
        <v>9060</v>
      </c>
      <c r="B291" s="3" t="s">
        <v>790</v>
      </c>
      <c r="C291" s="3" t="s">
        <v>689</v>
      </c>
      <c r="D291" s="3" t="s">
        <v>19</v>
      </c>
      <c r="E291" s="3">
        <v>110337</v>
      </c>
      <c r="F291" s="3">
        <v>14837230405</v>
      </c>
      <c r="G291" s="3">
        <v>502634338</v>
      </c>
      <c r="J291" s="8" t="s">
        <v>794</v>
      </c>
      <c r="L291" s="37" t="s">
        <v>25</v>
      </c>
    </row>
    <row r="292" spans="1:12">
      <c r="A292" s="4">
        <v>9061</v>
      </c>
      <c r="C292" s="3" t="s">
        <v>689</v>
      </c>
      <c r="J292" s="8"/>
    </row>
    <row r="293" spans="1:12">
      <c r="A293" s="3">
        <v>9062</v>
      </c>
      <c r="C293" s="3" t="s">
        <v>689</v>
      </c>
      <c r="J293" s="8"/>
    </row>
    <row r="294" spans="1:12">
      <c r="A294" s="4">
        <v>9063</v>
      </c>
      <c r="C294" s="3" t="s">
        <v>689</v>
      </c>
      <c r="J294" s="8"/>
    </row>
    <row r="295" spans="1:12">
      <c r="A295" s="3">
        <v>9064</v>
      </c>
      <c r="B295" s="3" t="s">
        <v>796</v>
      </c>
      <c r="C295" s="3" t="s">
        <v>689</v>
      </c>
      <c r="D295" s="3" t="s">
        <v>19</v>
      </c>
      <c r="E295" s="3">
        <v>99308</v>
      </c>
      <c r="F295" s="3">
        <v>8319131277</v>
      </c>
      <c r="G295" s="3">
        <v>420272273</v>
      </c>
      <c r="J295" s="8" t="s">
        <v>800</v>
      </c>
      <c r="L295" s="37" t="s">
        <v>25</v>
      </c>
    </row>
    <row r="296" spans="1:12">
      <c r="A296" s="3">
        <v>9065</v>
      </c>
      <c r="B296" s="3" t="s">
        <v>802</v>
      </c>
      <c r="C296" s="3" t="s">
        <v>689</v>
      </c>
      <c r="D296" s="3" t="s">
        <v>19</v>
      </c>
      <c r="E296" s="3">
        <v>111977</v>
      </c>
      <c r="F296" s="3">
        <v>15836617483</v>
      </c>
      <c r="G296" s="3">
        <v>515581910</v>
      </c>
      <c r="J296" s="8" t="s">
        <v>4140</v>
      </c>
      <c r="L296" s="37" t="s">
        <v>25</v>
      </c>
    </row>
    <row r="297" spans="1:12">
      <c r="A297" s="3">
        <v>9066</v>
      </c>
      <c r="B297" s="3" t="s">
        <v>808</v>
      </c>
      <c r="C297" s="3" t="s">
        <v>689</v>
      </c>
      <c r="D297" s="3" t="s">
        <v>19</v>
      </c>
      <c r="E297" s="3">
        <v>110336</v>
      </c>
      <c r="F297" s="3">
        <v>14837182620</v>
      </c>
      <c r="G297" s="3">
        <v>502634340</v>
      </c>
      <c r="J297" s="8" t="s">
        <v>812</v>
      </c>
      <c r="L297" s="37" t="s">
        <v>25</v>
      </c>
    </row>
    <row r="298" spans="1:12">
      <c r="A298" s="4">
        <v>9067</v>
      </c>
      <c r="C298" s="3" t="s">
        <v>689</v>
      </c>
      <c r="J298" s="8"/>
    </row>
    <row r="299" spans="1:12">
      <c r="A299" s="3">
        <v>9068</v>
      </c>
      <c r="C299" s="3" t="s">
        <v>689</v>
      </c>
      <c r="J299" s="8"/>
    </row>
    <row r="300" spans="1:12">
      <c r="A300" s="4">
        <v>9069</v>
      </c>
      <c r="C300" s="3" t="s">
        <v>689</v>
      </c>
      <c r="J300" s="8"/>
    </row>
    <row r="301" spans="1:12">
      <c r="A301" s="3">
        <v>9070</v>
      </c>
      <c r="B301" s="3" t="s">
        <v>814</v>
      </c>
      <c r="C301" s="3" t="s">
        <v>689</v>
      </c>
      <c r="D301" s="3" t="s">
        <v>19</v>
      </c>
      <c r="E301" s="3">
        <v>110333</v>
      </c>
      <c r="F301" s="3">
        <v>14837181748</v>
      </c>
      <c r="G301" s="3">
        <v>502634335</v>
      </c>
      <c r="J301" s="8" t="s">
        <v>4141</v>
      </c>
      <c r="L301" s="37" t="s">
        <v>25</v>
      </c>
    </row>
    <row r="302" spans="1:12">
      <c r="A302" s="4">
        <v>9071</v>
      </c>
      <c r="C302" s="3" t="s">
        <v>689</v>
      </c>
      <c r="J302" s="8"/>
    </row>
    <row r="303" spans="1:12">
      <c r="A303" s="3">
        <v>9072</v>
      </c>
      <c r="B303" s="3" t="s">
        <v>820</v>
      </c>
      <c r="C303" s="3" t="s">
        <v>689</v>
      </c>
      <c r="D303" s="3" t="s">
        <v>19</v>
      </c>
      <c r="E303" s="3">
        <v>111975</v>
      </c>
      <c r="F303" s="3">
        <v>15836608730</v>
      </c>
      <c r="G303" s="3">
        <v>515581901</v>
      </c>
      <c r="J303" s="8" t="s">
        <v>4142</v>
      </c>
      <c r="L303" s="37" t="s">
        <v>25</v>
      </c>
    </row>
    <row r="304" spans="1:12">
      <c r="A304" s="3">
        <v>9073</v>
      </c>
      <c r="B304" s="3" t="s">
        <v>826</v>
      </c>
      <c r="C304" s="3" t="s">
        <v>689</v>
      </c>
      <c r="D304" s="3" t="s">
        <v>19</v>
      </c>
      <c r="E304" s="3">
        <v>110335</v>
      </c>
      <c r="F304" s="3">
        <v>14837182619</v>
      </c>
      <c r="G304" s="3">
        <v>502634336</v>
      </c>
      <c r="J304" s="8" t="s">
        <v>830</v>
      </c>
      <c r="L304" s="37" t="s">
        <v>25</v>
      </c>
    </row>
    <row r="305" spans="1:12">
      <c r="A305" s="3">
        <v>9074</v>
      </c>
      <c r="B305" s="3" t="s">
        <v>832</v>
      </c>
      <c r="C305" s="3" t="s">
        <v>689</v>
      </c>
      <c r="D305" s="3" t="s">
        <v>19</v>
      </c>
      <c r="E305" s="3">
        <v>111972</v>
      </c>
      <c r="F305" s="3">
        <v>15836569901</v>
      </c>
      <c r="G305" s="3">
        <v>515581921</v>
      </c>
      <c r="J305" s="8" t="s">
        <v>4143</v>
      </c>
      <c r="L305" s="37" t="s">
        <v>25</v>
      </c>
    </row>
    <row r="306" spans="1:12">
      <c r="A306" s="4">
        <v>9075</v>
      </c>
      <c r="C306" s="3" t="s">
        <v>689</v>
      </c>
      <c r="J306" s="8"/>
    </row>
    <row r="307" spans="1:12">
      <c r="A307" s="3">
        <v>9076</v>
      </c>
      <c r="C307" s="3" t="s">
        <v>689</v>
      </c>
      <c r="J307" s="8"/>
    </row>
    <row r="308" spans="1:12">
      <c r="A308" s="4">
        <v>9077</v>
      </c>
      <c r="C308" s="3" t="s">
        <v>689</v>
      </c>
      <c r="J308" s="8"/>
    </row>
    <row r="309" spans="1:12">
      <c r="A309" s="3">
        <v>9078</v>
      </c>
      <c r="B309" s="3" t="s">
        <v>838</v>
      </c>
      <c r="C309" s="3" t="s">
        <v>689</v>
      </c>
      <c r="D309" s="3" t="s">
        <v>19</v>
      </c>
      <c r="E309" s="3">
        <v>112550</v>
      </c>
      <c r="F309" s="3">
        <v>16106037568</v>
      </c>
      <c r="G309" s="3">
        <v>519562725</v>
      </c>
      <c r="J309" s="8" t="s">
        <v>842</v>
      </c>
      <c r="L309" s="37" t="s">
        <v>25</v>
      </c>
    </row>
    <row r="310" spans="1:12">
      <c r="A310" s="4">
        <v>9079</v>
      </c>
      <c r="C310" s="3" t="s">
        <v>689</v>
      </c>
      <c r="J310" s="8"/>
    </row>
    <row r="311" spans="1:12">
      <c r="A311" s="3">
        <v>9080</v>
      </c>
      <c r="B311" s="3" t="s">
        <v>844</v>
      </c>
      <c r="C311" s="3" t="s">
        <v>689</v>
      </c>
      <c r="D311" s="3" t="s">
        <v>19</v>
      </c>
      <c r="E311" s="3">
        <v>101526</v>
      </c>
      <c r="F311" s="3">
        <v>10076628593</v>
      </c>
      <c r="G311" s="3">
        <v>500453494</v>
      </c>
      <c r="J311" s="8" t="s">
        <v>848</v>
      </c>
      <c r="L311" s="37" t="s">
        <v>25</v>
      </c>
    </row>
    <row r="312" spans="1:12">
      <c r="A312" s="3">
        <v>9081</v>
      </c>
      <c r="B312" s="3" t="s">
        <v>849</v>
      </c>
      <c r="C312" s="3" t="s">
        <v>689</v>
      </c>
      <c r="D312" s="3" t="s">
        <v>19</v>
      </c>
      <c r="E312" s="3">
        <v>109832</v>
      </c>
      <c r="F312" s="3">
        <v>14663760672</v>
      </c>
      <c r="G312" s="3">
        <v>500453496</v>
      </c>
      <c r="J312" s="8" t="s">
        <v>853</v>
      </c>
      <c r="L312" s="37" t="s">
        <v>25</v>
      </c>
    </row>
    <row r="313" spans="1:12">
      <c r="A313" s="4">
        <v>9082</v>
      </c>
      <c r="C313" s="3" t="s">
        <v>689</v>
      </c>
      <c r="J313" s="8"/>
    </row>
    <row r="314" spans="1:12">
      <c r="A314" s="3">
        <v>9083</v>
      </c>
      <c r="C314" s="3" t="s">
        <v>689</v>
      </c>
      <c r="J314" s="8"/>
    </row>
    <row r="315" spans="1:12">
      <c r="A315" s="3">
        <v>9084</v>
      </c>
      <c r="B315" s="3" t="s">
        <v>855</v>
      </c>
      <c r="C315" s="3" t="s">
        <v>691</v>
      </c>
      <c r="D315" s="3" t="s">
        <v>19</v>
      </c>
      <c r="E315" s="3">
        <v>99976</v>
      </c>
      <c r="F315" s="3">
        <v>8750617679</v>
      </c>
      <c r="G315" s="3">
        <v>424579023</v>
      </c>
      <c r="J315" t="s">
        <v>858</v>
      </c>
      <c r="L315" s="37" t="s">
        <v>25</v>
      </c>
    </row>
    <row r="316" spans="1:12">
      <c r="A316" s="3">
        <v>9085</v>
      </c>
      <c r="B316" s="3" t="s">
        <v>860</v>
      </c>
      <c r="C316" s="3" t="s">
        <v>689</v>
      </c>
      <c r="D316" s="3" t="s">
        <v>19</v>
      </c>
      <c r="E316" s="3">
        <v>112549</v>
      </c>
      <c r="F316" s="3">
        <v>16106021655</v>
      </c>
      <c r="G316" s="3">
        <v>519562723</v>
      </c>
      <c r="J316" s="8" t="s">
        <v>864</v>
      </c>
      <c r="L316" s="37" t="s">
        <v>25</v>
      </c>
    </row>
    <row r="317" spans="1:12">
      <c r="A317" s="3">
        <v>9086</v>
      </c>
      <c r="B317" s="3" t="s">
        <v>866</v>
      </c>
      <c r="C317" s="3" t="s">
        <v>691</v>
      </c>
      <c r="D317" s="3" t="s">
        <v>19</v>
      </c>
      <c r="E317" s="3">
        <v>105075</v>
      </c>
      <c r="F317" s="3">
        <v>11281612014</v>
      </c>
      <c r="G317" s="3">
        <v>456412655</v>
      </c>
      <c r="J317" s="8" t="s">
        <v>869</v>
      </c>
      <c r="L317" s="37" t="s">
        <v>25</v>
      </c>
    </row>
    <row r="318" spans="1:12">
      <c r="A318" s="4">
        <v>9087</v>
      </c>
      <c r="C318" s="3" t="s">
        <v>689</v>
      </c>
      <c r="J318" s="8"/>
    </row>
    <row r="319" spans="1:12">
      <c r="A319" s="3">
        <v>9088</v>
      </c>
      <c r="C319" s="3" t="s">
        <v>689</v>
      </c>
      <c r="J319" s="8"/>
    </row>
    <row r="320" spans="1:12">
      <c r="A320" s="4">
        <v>9089</v>
      </c>
      <c r="C320" s="3" t="s">
        <v>689</v>
      </c>
      <c r="J320" s="8"/>
    </row>
    <row r="321" spans="1:12">
      <c r="A321" s="3">
        <v>9090</v>
      </c>
      <c r="B321" s="3" t="s">
        <v>871</v>
      </c>
      <c r="C321" s="3" t="s">
        <v>689</v>
      </c>
      <c r="D321" s="3" t="s">
        <v>19</v>
      </c>
      <c r="E321" s="3">
        <v>111987</v>
      </c>
      <c r="F321" s="3">
        <v>15836631635</v>
      </c>
      <c r="G321" s="3">
        <v>515581916</v>
      </c>
      <c r="J321" s="8" t="s">
        <v>4144</v>
      </c>
      <c r="L321" s="37" t="s">
        <v>25</v>
      </c>
    </row>
    <row r="322" spans="1:12">
      <c r="A322" s="4">
        <v>9091</v>
      </c>
      <c r="C322" s="3" t="s">
        <v>689</v>
      </c>
      <c r="J322" s="8"/>
    </row>
    <row r="323" spans="1:12">
      <c r="A323" s="3">
        <v>9092</v>
      </c>
      <c r="B323" s="3" t="s">
        <v>877</v>
      </c>
      <c r="C323" s="3" t="s">
        <v>689</v>
      </c>
      <c r="D323" s="3" t="s">
        <v>19</v>
      </c>
      <c r="E323" s="3">
        <v>111971</v>
      </c>
      <c r="F323" s="3">
        <v>15836548374</v>
      </c>
      <c r="G323" s="3">
        <v>515581911</v>
      </c>
      <c r="J323" s="8" t="s">
        <v>4145</v>
      </c>
      <c r="L323" s="37" t="s">
        <v>25</v>
      </c>
    </row>
    <row r="324" spans="1:12">
      <c r="A324" s="4">
        <v>9093</v>
      </c>
      <c r="C324" s="3" t="s">
        <v>689</v>
      </c>
      <c r="J324" s="8"/>
    </row>
    <row r="325" spans="1:12">
      <c r="A325" s="3">
        <v>9094</v>
      </c>
      <c r="B325" s="3" t="s">
        <v>883</v>
      </c>
      <c r="C325" s="3" t="s">
        <v>689</v>
      </c>
      <c r="D325" s="3" t="s">
        <v>19</v>
      </c>
      <c r="E325" s="3">
        <v>99322</v>
      </c>
      <c r="F325" s="3">
        <v>8319486797</v>
      </c>
      <c r="G325" s="3">
        <v>420272279</v>
      </c>
      <c r="J325" s="8" t="s">
        <v>887</v>
      </c>
      <c r="L325" s="37" t="s">
        <v>25</v>
      </c>
    </row>
    <row r="326" spans="1:12">
      <c r="A326" s="3">
        <v>9095</v>
      </c>
      <c r="B326" s="3" t="s">
        <v>889</v>
      </c>
      <c r="C326" s="3" t="s">
        <v>689</v>
      </c>
      <c r="D326" s="3" t="s">
        <v>19</v>
      </c>
      <c r="E326" s="3">
        <v>101523</v>
      </c>
      <c r="F326" s="3">
        <v>10076573101</v>
      </c>
      <c r="G326" s="3">
        <v>441567329</v>
      </c>
      <c r="J326" s="8" t="s">
        <v>893</v>
      </c>
      <c r="L326" s="37" t="s">
        <v>25</v>
      </c>
    </row>
    <row r="327" spans="1:12">
      <c r="A327" s="4">
        <v>9096</v>
      </c>
      <c r="C327" s="3" t="s">
        <v>689</v>
      </c>
      <c r="J327" s="8"/>
    </row>
    <row r="328" spans="1:12">
      <c r="A328" s="3">
        <v>9097</v>
      </c>
      <c r="C328" s="3" t="s">
        <v>689</v>
      </c>
      <c r="J328" s="8"/>
    </row>
    <row r="329" spans="1:12">
      <c r="A329" s="4">
        <v>9098</v>
      </c>
      <c r="C329" s="3" t="s">
        <v>689</v>
      </c>
      <c r="J329" s="8"/>
    </row>
    <row r="330" spans="1:12">
      <c r="A330" s="3">
        <v>9099</v>
      </c>
      <c r="C330" s="3" t="s">
        <v>689</v>
      </c>
      <c r="J330" s="8"/>
    </row>
    <row r="331" spans="1:12">
      <c r="A331" s="3">
        <v>9100</v>
      </c>
      <c r="C331" s="3" t="s">
        <v>689</v>
      </c>
      <c r="J331" s="8"/>
    </row>
    <row r="332" spans="1:12">
      <c r="A332" s="4">
        <v>9101</v>
      </c>
      <c r="C332" s="3" t="s">
        <v>689</v>
      </c>
      <c r="J332" s="8"/>
    </row>
    <row r="333" spans="1:12">
      <c r="A333" s="3">
        <v>9102</v>
      </c>
      <c r="B333" s="3" t="s">
        <v>895</v>
      </c>
      <c r="C333" s="3" t="s">
        <v>689</v>
      </c>
      <c r="D333" s="3" t="s">
        <v>19</v>
      </c>
      <c r="E333" s="3">
        <v>99307</v>
      </c>
      <c r="F333" s="3">
        <v>8319131276</v>
      </c>
      <c r="G333" s="3">
        <v>420272282</v>
      </c>
      <c r="J333" s="8" t="s">
        <v>899</v>
      </c>
      <c r="L333" s="37" t="s">
        <v>25</v>
      </c>
    </row>
    <row r="334" spans="1:12">
      <c r="A334" s="3">
        <v>9103</v>
      </c>
      <c r="B334" s="3" t="s">
        <v>901</v>
      </c>
      <c r="C334" s="3" t="s">
        <v>689</v>
      </c>
      <c r="D334" s="3" t="s">
        <v>19</v>
      </c>
      <c r="E334" s="3">
        <v>99311</v>
      </c>
      <c r="F334" s="3">
        <v>8319202418</v>
      </c>
      <c r="G334" s="3">
        <v>420272277</v>
      </c>
      <c r="J334" s="8" t="s">
        <v>905</v>
      </c>
      <c r="L334" s="37" t="s">
        <v>25</v>
      </c>
    </row>
    <row r="335" spans="1:12">
      <c r="A335" s="4">
        <v>9104</v>
      </c>
      <c r="C335" s="3" t="s">
        <v>689</v>
      </c>
      <c r="J335" s="8"/>
    </row>
    <row r="336" spans="1:12">
      <c r="A336" s="3">
        <v>9105</v>
      </c>
      <c r="C336" s="3" t="s">
        <v>689</v>
      </c>
      <c r="J336" s="8"/>
    </row>
    <row r="337" spans="1:12">
      <c r="A337" s="3">
        <v>9106</v>
      </c>
      <c r="B337" s="3" t="s">
        <v>907</v>
      </c>
      <c r="C337" s="3" t="s">
        <v>689</v>
      </c>
      <c r="D337" s="3" t="s">
        <v>19</v>
      </c>
      <c r="E337" s="3">
        <v>111985</v>
      </c>
      <c r="F337" s="3">
        <v>15836630978</v>
      </c>
      <c r="G337" s="3">
        <v>515581908</v>
      </c>
      <c r="J337" s="8" t="s">
        <v>911</v>
      </c>
      <c r="L337" s="37" t="s">
        <v>25</v>
      </c>
    </row>
    <row r="338" spans="1:12">
      <c r="A338" s="4">
        <v>9107</v>
      </c>
      <c r="C338" s="3" t="s">
        <v>689</v>
      </c>
      <c r="J338" s="8"/>
    </row>
    <row r="339" spans="1:12">
      <c r="A339" s="3">
        <v>9108</v>
      </c>
      <c r="C339" s="3" t="s">
        <v>689</v>
      </c>
      <c r="J339" s="8"/>
    </row>
    <row r="340" spans="1:12">
      <c r="A340" s="4">
        <v>9109</v>
      </c>
      <c r="C340" s="3" t="s">
        <v>689</v>
      </c>
      <c r="J340" s="8"/>
    </row>
    <row r="341" spans="1:12">
      <c r="A341" s="3">
        <v>9110</v>
      </c>
      <c r="C341" s="3" t="s">
        <v>689</v>
      </c>
      <c r="J341" s="8"/>
    </row>
    <row r="342" spans="1:12">
      <c r="A342" s="3">
        <v>9111</v>
      </c>
      <c r="B342" s="3" t="s">
        <v>913</v>
      </c>
      <c r="C342" s="3" t="s">
        <v>691</v>
      </c>
      <c r="D342" s="3" t="s">
        <v>19</v>
      </c>
      <c r="E342" s="3">
        <v>99474</v>
      </c>
      <c r="F342" s="3">
        <v>8439686393</v>
      </c>
      <c r="G342" s="3">
        <v>423303772</v>
      </c>
      <c r="J342" s="8" t="s">
        <v>916</v>
      </c>
      <c r="L342" s="37" t="s">
        <v>25</v>
      </c>
    </row>
    <row r="343" spans="1:12">
      <c r="A343" s="4">
        <v>9112</v>
      </c>
      <c r="C343" s="3" t="s">
        <v>689</v>
      </c>
      <c r="J343" s="8"/>
    </row>
    <row r="344" spans="1:12">
      <c r="A344" s="3">
        <v>9113</v>
      </c>
      <c r="C344" s="3" t="s">
        <v>689</v>
      </c>
      <c r="J344" s="8"/>
    </row>
    <row r="345" spans="1:12">
      <c r="A345" s="4">
        <v>9114</v>
      </c>
      <c r="C345" s="3" t="s">
        <v>689</v>
      </c>
      <c r="J345" s="8"/>
    </row>
    <row r="346" spans="1:12">
      <c r="A346" s="3">
        <v>9115</v>
      </c>
      <c r="C346" s="3" t="s">
        <v>689</v>
      </c>
      <c r="J346" s="8"/>
    </row>
    <row r="347" spans="1:12">
      <c r="A347" s="3">
        <v>9116</v>
      </c>
      <c r="B347" s="3" t="s">
        <v>918</v>
      </c>
      <c r="C347" s="3" t="s">
        <v>691</v>
      </c>
      <c r="D347" s="3" t="s">
        <v>19</v>
      </c>
      <c r="E347" s="3">
        <v>99977</v>
      </c>
      <c r="F347" s="3">
        <v>8750620241</v>
      </c>
      <c r="G347" s="3">
        <v>424579025</v>
      </c>
      <c r="J347" s="8" t="s">
        <v>921</v>
      </c>
      <c r="L347" s="37" t="s">
        <v>25</v>
      </c>
    </row>
    <row r="348" spans="1:12">
      <c r="A348" s="3">
        <v>9117</v>
      </c>
      <c r="B348" s="3" t="s">
        <v>923</v>
      </c>
      <c r="C348" s="3" t="s">
        <v>689</v>
      </c>
      <c r="D348" s="3" t="s">
        <v>19</v>
      </c>
      <c r="E348" s="3">
        <v>111978</v>
      </c>
      <c r="F348" s="3">
        <v>15836622952</v>
      </c>
      <c r="G348" s="3">
        <v>515581914</v>
      </c>
      <c r="J348" s="8" t="s">
        <v>4146</v>
      </c>
      <c r="L348" s="37" t="s">
        <v>25</v>
      </c>
    </row>
    <row r="349" spans="1:12">
      <c r="A349" s="3">
        <v>9118</v>
      </c>
      <c r="B349" s="3" t="s">
        <v>929</v>
      </c>
      <c r="C349" s="3" t="s">
        <v>689</v>
      </c>
      <c r="D349" s="3" t="s">
        <v>19</v>
      </c>
      <c r="E349" s="3">
        <v>99314</v>
      </c>
      <c r="F349" s="3">
        <v>8319347699</v>
      </c>
      <c r="G349" s="3">
        <v>420272271</v>
      </c>
      <c r="J349" s="8" t="s">
        <v>933</v>
      </c>
      <c r="L349" s="37" t="s">
        <v>25</v>
      </c>
    </row>
    <row r="350" spans="1:12">
      <c r="A350" s="3">
        <v>9119</v>
      </c>
      <c r="B350" s="3" t="s">
        <v>935</v>
      </c>
      <c r="C350" s="3" t="s">
        <v>689</v>
      </c>
      <c r="D350" s="3" t="s">
        <v>19</v>
      </c>
      <c r="E350" s="3">
        <v>111986</v>
      </c>
      <c r="F350" s="3">
        <v>15836631634</v>
      </c>
      <c r="G350" s="3">
        <v>515581915</v>
      </c>
      <c r="J350" s="8" t="s">
        <v>4147</v>
      </c>
      <c r="L350" s="37" t="s">
        <v>25</v>
      </c>
    </row>
    <row r="351" spans="1:12">
      <c r="A351" s="4">
        <v>9120</v>
      </c>
      <c r="C351" s="3" t="s">
        <v>689</v>
      </c>
      <c r="J351" s="8"/>
    </row>
    <row r="352" spans="1:12">
      <c r="A352" s="3">
        <v>9121</v>
      </c>
      <c r="B352" s="3" t="s">
        <v>941</v>
      </c>
      <c r="C352" s="3" t="s">
        <v>691</v>
      </c>
      <c r="D352" s="3" t="s">
        <v>19</v>
      </c>
      <c r="E352" s="3">
        <v>101975</v>
      </c>
      <c r="F352" s="3">
        <v>10427295943</v>
      </c>
      <c r="G352" s="3">
        <v>446201190</v>
      </c>
      <c r="J352" s="8" t="s">
        <v>944</v>
      </c>
      <c r="L352" s="37" t="s">
        <v>25</v>
      </c>
    </row>
    <row r="353" spans="1:12">
      <c r="A353" s="3">
        <v>9122</v>
      </c>
      <c r="B353" s="3" t="s">
        <v>946</v>
      </c>
      <c r="C353" s="3" t="s">
        <v>691</v>
      </c>
      <c r="D353" s="3" t="s">
        <v>19</v>
      </c>
      <c r="E353" s="3">
        <v>101974</v>
      </c>
      <c r="F353" s="3">
        <v>101974</v>
      </c>
      <c r="G353" s="45">
        <v>446201192</v>
      </c>
      <c r="J353" s="8" t="s">
        <v>949</v>
      </c>
      <c r="L353" s="37" t="s">
        <v>25</v>
      </c>
    </row>
    <row r="354" spans="1:12">
      <c r="A354" s="3">
        <v>9123</v>
      </c>
      <c r="B354" s="3" t="s">
        <v>951</v>
      </c>
      <c r="C354" s="3" t="s">
        <v>689</v>
      </c>
      <c r="D354" s="3" t="s">
        <v>19</v>
      </c>
      <c r="E354" s="3">
        <v>111968</v>
      </c>
      <c r="F354" s="3">
        <v>15836287183</v>
      </c>
      <c r="G354" s="3">
        <v>515581903</v>
      </c>
      <c r="J354" s="8" t="s">
        <v>4148</v>
      </c>
      <c r="L354" s="37" t="s">
        <v>25</v>
      </c>
    </row>
    <row r="355" spans="1:12">
      <c r="A355" s="3">
        <v>9124</v>
      </c>
      <c r="B355" s="3" t="s">
        <v>957</v>
      </c>
      <c r="C355" s="3" t="s">
        <v>689</v>
      </c>
      <c r="D355" s="3" t="s">
        <v>19</v>
      </c>
      <c r="E355" s="3">
        <v>111967</v>
      </c>
      <c r="F355" s="3">
        <v>15836284916</v>
      </c>
      <c r="G355" s="3">
        <v>515581904</v>
      </c>
      <c r="J355" s="8" t="s">
        <v>4149</v>
      </c>
      <c r="L355" s="37" t="s">
        <v>25</v>
      </c>
    </row>
    <row r="356" spans="1:12">
      <c r="A356" s="4">
        <v>9125</v>
      </c>
      <c r="C356" s="3" t="s">
        <v>689</v>
      </c>
      <c r="J356" s="8"/>
    </row>
    <row r="357" spans="1:12">
      <c r="A357" s="3">
        <v>9126</v>
      </c>
      <c r="B357" s="3" t="s">
        <v>963</v>
      </c>
      <c r="C357" s="3" t="s">
        <v>689</v>
      </c>
      <c r="D357" s="3" t="s">
        <v>19</v>
      </c>
      <c r="E357" s="3">
        <v>111979</v>
      </c>
      <c r="F357" s="3">
        <v>15836622953</v>
      </c>
      <c r="G357" s="3">
        <v>515581919</v>
      </c>
      <c r="J357" s="8" t="s">
        <v>4150</v>
      </c>
      <c r="L357" s="37" t="s">
        <v>25</v>
      </c>
    </row>
    <row r="358" spans="1:12">
      <c r="A358" s="4">
        <v>9127</v>
      </c>
      <c r="C358" s="3" t="s">
        <v>689</v>
      </c>
      <c r="J358" s="8"/>
    </row>
    <row r="359" spans="1:12">
      <c r="A359" s="4">
        <v>9128</v>
      </c>
      <c r="C359" s="3" t="s">
        <v>689</v>
      </c>
      <c r="J359" s="8"/>
    </row>
    <row r="360" spans="1:12">
      <c r="A360" s="3">
        <v>9129</v>
      </c>
      <c r="B360" s="3" t="s">
        <v>969</v>
      </c>
      <c r="C360" s="3" t="s">
        <v>689</v>
      </c>
      <c r="D360" s="3" t="s">
        <v>19</v>
      </c>
      <c r="E360" s="3">
        <v>112548</v>
      </c>
      <c r="F360" s="3">
        <v>16105962502</v>
      </c>
      <c r="G360" s="3">
        <v>519562722</v>
      </c>
      <c r="J360" s="8" t="s">
        <v>973</v>
      </c>
      <c r="L360" s="37" t="s">
        <v>25</v>
      </c>
    </row>
    <row r="361" spans="1:12">
      <c r="A361" s="4">
        <v>9130</v>
      </c>
      <c r="C361" s="3" t="s">
        <v>689</v>
      </c>
      <c r="J361" s="8"/>
    </row>
    <row r="362" spans="1:12">
      <c r="A362" s="3">
        <v>9131</v>
      </c>
      <c r="C362" s="3" t="s">
        <v>689</v>
      </c>
      <c r="J362" s="8"/>
    </row>
    <row r="363" spans="1:12">
      <c r="A363" s="3">
        <v>9132</v>
      </c>
      <c r="C363" s="3" t="s">
        <v>689</v>
      </c>
      <c r="J363" s="8"/>
    </row>
    <row r="364" spans="1:12">
      <c r="A364" s="4">
        <v>9133</v>
      </c>
      <c r="C364" s="3" t="s">
        <v>689</v>
      </c>
      <c r="J364" s="8"/>
    </row>
    <row r="365" spans="1:12">
      <c r="A365" s="3">
        <v>9134</v>
      </c>
      <c r="C365" s="3" t="s">
        <v>689</v>
      </c>
      <c r="J365" s="8"/>
    </row>
    <row r="366" spans="1:12">
      <c r="A366" s="3">
        <v>9135</v>
      </c>
      <c r="C366" s="3" t="s">
        <v>689</v>
      </c>
      <c r="J366" s="8"/>
    </row>
    <row r="367" spans="1:12">
      <c r="A367" s="3">
        <v>9136</v>
      </c>
      <c r="B367" s="3" t="s">
        <v>975</v>
      </c>
      <c r="C367" s="3" t="s">
        <v>689</v>
      </c>
      <c r="D367" s="3" t="s">
        <v>19</v>
      </c>
      <c r="E367" s="3">
        <v>111982</v>
      </c>
      <c r="F367" s="3">
        <v>15836628187</v>
      </c>
      <c r="G367" s="3">
        <v>515581898</v>
      </c>
      <c r="J367" s="8" t="s">
        <v>4151</v>
      </c>
      <c r="L367" s="37" t="s">
        <v>25</v>
      </c>
    </row>
    <row r="368" spans="1:12">
      <c r="A368" s="3">
        <v>9137</v>
      </c>
      <c r="C368" s="3" t="s">
        <v>689</v>
      </c>
      <c r="J368" s="8"/>
    </row>
    <row r="369" spans="1:12">
      <c r="A369" s="3">
        <v>9138</v>
      </c>
      <c r="B369" s="3" t="s">
        <v>981</v>
      </c>
      <c r="C369" s="3" t="s">
        <v>689</v>
      </c>
      <c r="D369" s="3" t="s">
        <v>19</v>
      </c>
      <c r="E369" s="3">
        <v>111980</v>
      </c>
      <c r="F369" s="3">
        <v>15836625020</v>
      </c>
      <c r="G369" s="3">
        <v>515581905</v>
      </c>
      <c r="J369" s="8" t="s">
        <v>4152</v>
      </c>
      <c r="L369" s="37" t="s">
        <v>25</v>
      </c>
    </row>
    <row r="370" spans="1:12">
      <c r="A370" s="4">
        <v>9139</v>
      </c>
      <c r="C370" s="3" t="s">
        <v>689</v>
      </c>
      <c r="J370" s="8"/>
    </row>
    <row r="371" spans="1:12">
      <c r="A371" s="3">
        <v>9140</v>
      </c>
      <c r="B371" s="3" t="s">
        <v>987</v>
      </c>
      <c r="C371" s="3" t="s">
        <v>689</v>
      </c>
      <c r="D371" s="3" t="s">
        <v>19</v>
      </c>
      <c r="E371" s="3">
        <v>110338</v>
      </c>
      <c r="F371" s="3">
        <v>14837230406</v>
      </c>
      <c r="G371" s="3">
        <v>502634337</v>
      </c>
      <c r="J371" s="8" t="s">
        <v>991</v>
      </c>
      <c r="L371" s="37" t="s">
        <v>25</v>
      </c>
    </row>
    <row r="372" spans="1:12">
      <c r="A372" s="3">
        <v>9141</v>
      </c>
      <c r="B372" s="3" t="s">
        <v>993</v>
      </c>
      <c r="C372" s="3" t="s">
        <v>689</v>
      </c>
      <c r="D372" s="3" t="s">
        <v>19</v>
      </c>
      <c r="E372" s="3">
        <v>99313</v>
      </c>
      <c r="F372" s="3">
        <v>8319313060</v>
      </c>
      <c r="G372" s="3">
        <v>420272264</v>
      </c>
      <c r="J372" s="8" t="s">
        <v>997</v>
      </c>
      <c r="L372" s="37" t="s">
        <v>25</v>
      </c>
    </row>
    <row r="373" spans="1:12">
      <c r="A373" s="4">
        <v>9142</v>
      </c>
      <c r="C373" s="3" t="s">
        <v>689</v>
      </c>
      <c r="J373" s="8"/>
    </row>
    <row r="374" spans="1:12">
      <c r="A374" s="3">
        <v>9143</v>
      </c>
      <c r="C374" s="3" t="s">
        <v>689</v>
      </c>
      <c r="J374" s="8"/>
    </row>
    <row r="375" spans="1:12">
      <c r="A375" s="4">
        <v>9144</v>
      </c>
      <c r="C375" s="3" t="s">
        <v>689</v>
      </c>
      <c r="J375" s="8"/>
    </row>
    <row r="376" spans="1:12">
      <c r="A376" s="3">
        <v>9145</v>
      </c>
      <c r="C376" s="3" t="s">
        <v>689</v>
      </c>
      <c r="J376" s="8"/>
    </row>
    <row r="377" spans="1:12">
      <c r="A377" s="3">
        <v>9146</v>
      </c>
      <c r="C377" s="3" t="s">
        <v>689</v>
      </c>
      <c r="J377" s="8"/>
    </row>
    <row r="378" spans="1:12">
      <c r="A378" s="4">
        <v>9147</v>
      </c>
      <c r="C378" s="3" t="s">
        <v>689</v>
      </c>
      <c r="J378" s="8"/>
    </row>
    <row r="379" spans="1:12">
      <c r="A379" s="3">
        <v>9148</v>
      </c>
      <c r="B379" s="3" t="s">
        <v>999</v>
      </c>
      <c r="C379" s="3" t="s">
        <v>689</v>
      </c>
      <c r="D379" s="3" t="s">
        <v>19</v>
      </c>
      <c r="E379" s="3">
        <v>111984</v>
      </c>
      <c r="F379" s="3">
        <v>15836630433</v>
      </c>
      <c r="G379" s="3">
        <v>515581909</v>
      </c>
      <c r="J379" s="8" t="s">
        <v>4153</v>
      </c>
      <c r="L379" s="37" t="s">
        <v>25</v>
      </c>
    </row>
    <row r="380" spans="1:12">
      <c r="A380" s="3">
        <v>9149</v>
      </c>
      <c r="B380" s="3" t="s">
        <v>1005</v>
      </c>
      <c r="C380" s="3" t="s">
        <v>689</v>
      </c>
      <c r="D380" s="3" t="s">
        <v>19</v>
      </c>
      <c r="E380" s="3">
        <v>99310</v>
      </c>
      <c r="F380" s="3">
        <v>8319202417</v>
      </c>
      <c r="G380" s="3">
        <v>420272259</v>
      </c>
      <c r="J380" s="8" t="s">
        <v>1009</v>
      </c>
      <c r="L380" s="37" t="s">
        <v>25</v>
      </c>
    </row>
    <row r="381" spans="1:12">
      <c r="A381" s="3">
        <v>9150</v>
      </c>
      <c r="B381" s="3" t="s">
        <v>1011</v>
      </c>
      <c r="C381" s="3" t="s">
        <v>689</v>
      </c>
      <c r="D381" s="3" t="s">
        <v>19</v>
      </c>
      <c r="E381" s="3">
        <v>101524</v>
      </c>
      <c r="F381" s="3">
        <v>10076573547</v>
      </c>
      <c r="G381" s="3">
        <v>441567325</v>
      </c>
      <c r="J381" s="8" t="s">
        <v>1015</v>
      </c>
      <c r="L381" s="37" t="s">
        <v>25</v>
      </c>
    </row>
    <row r="382" spans="1:12">
      <c r="A382" s="4">
        <v>9151</v>
      </c>
      <c r="C382" s="3" t="s">
        <v>689</v>
      </c>
      <c r="J382" s="8"/>
    </row>
    <row r="383" spans="1:12">
      <c r="A383" s="3">
        <v>9152</v>
      </c>
      <c r="C383" s="3" t="s">
        <v>689</v>
      </c>
      <c r="J383" s="8"/>
    </row>
    <row r="384" spans="1:12">
      <c r="A384" s="4">
        <v>9153</v>
      </c>
      <c r="C384" s="3" t="s">
        <v>689</v>
      </c>
      <c r="J384" s="8"/>
    </row>
    <row r="385" spans="1:12">
      <c r="A385" s="3">
        <v>9154</v>
      </c>
      <c r="C385" s="3" t="s">
        <v>689</v>
      </c>
      <c r="J385" s="8"/>
    </row>
    <row r="386" spans="1:12">
      <c r="A386" s="3">
        <v>9155</v>
      </c>
      <c r="B386" s="3" t="s">
        <v>1017</v>
      </c>
      <c r="C386" s="3" t="s">
        <v>691</v>
      </c>
      <c r="D386" s="3" t="s">
        <v>19</v>
      </c>
      <c r="E386" s="3">
        <v>105088</v>
      </c>
      <c r="F386" s="3">
        <v>11301336465</v>
      </c>
      <c r="G386" s="3">
        <v>456662109</v>
      </c>
      <c r="J386" s="8" t="s">
        <v>1020</v>
      </c>
      <c r="L386" s="37" t="s">
        <v>25</v>
      </c>
    </row>
    <row r="387" spans="1:12">
      <c r="A387" s="4">
        <v>9156</v>
      </c>
      <c r="C387" s="3" t="s">
        <v>689</v>
      </c>
      <c r="J387" s="8"/>
    </row>
    <row r="388" spans="1:12">
      <c r="A388" s="3">
        <v>9157</v>
      </c>
      <c r="B388" s="3" t="s">
        <v>1022</v>
      </c>
      <c r="C388" s="3" t="s">
        <v>689</v>
      </c>
      <c r="D388" s="3" t="s">
        <v>19</v>
      </c>
      <c r="E388" s="3">
        <v>111966</v>
      </c>
      <c r="F388" s="3">
        <v>15836283923</v>
      </c>
      <c r="G388" s="3">
        <v>515581906</v>
      </c>
      <c r="J388" s="8" t="s">
        <v>2895</v>
      </c>
      <c r="L388" s="37" t="s">
        <v>25</v>
      </c>
    </row>
    <row r="389" spans="1:12">
      <c r="A389" s="3">
        <v>9158</v>
      </c>
      <c r="B389" s="3" t="s">
        <v>1028</v>
      </c>
      <c r="C389" s="3" t="s">
        <v>689</v>
      </c>
      <c r="D389" s="3" t="s">
        <v>19</v>
      </c>
      <c r="E389" s="3">
        <v>111969</v>
      </c>
      <c r="F389" s="3">
        <v>15836548372</v>
      </c>
      <c r="G389" s="3">
        <v>515581907</v>
      </c>
      <c r="J389" s="8" t="s">
        <v>1032</v>
      </c>
      <c r="L389" s="37" t="s">
        <v>25</v>
      </c>
    </row>
    <row r="390" spans="1:12">
      <c r="A390" s="4">
        <v>9159</v>
      </c>
      <c r="C390" s="3" t="s">
        <v>689</v>
      </c>
      <c r="J390" s="8"/>
    </row>
    <row r="391" spans="1:12">
      <c r="A391" s="3">
        <v>9160</v>
      </c>
      <c r="C391" s="3" t="s">
        <v>689</v>
      </c>
      <c r="J391" s="8"/>
    </row>
    <row r="392" spans="1:12">
      <c r="A392" s="4">
        <v>9161</v>
      </c>
      <c r="C392" s="3" t="s">
        <v>689</v>
      </c>
      <c r="J392" s="8"/>
    </row>
    <row r="393" spans="1:12">
      <c r="A393" s="3">
        <v>9162</v>
      </c>
      <c r="C393" s="3" t="s">
        <v>689</v>
      </c>
      <c r="J393" s="8"/>
    </row>
    <row r="394" spans="1:12">
      <c r="A394" s="3">
        <v>9163</v>
      </c>
      <c r="B394" s="3" t="s">
        <v>1034</v>
      </c>
      <c r="C394" s="3" t="s">
        <v>689</v>
      </c>
      <c r="D394" s="3" t="s">
        <v>19</v>
      </c>
      <c r="E394" s="3">
        <v>111983</v>
      </c>
      <c r="F394" s="3">
        <v>15836628188</v>
      </c>
      <c r="G394" s="3">
        <v>515581900</v>
      </c>
      <c r="J394" s="8" t="s">
        <v>4154</v>
      </c>
      <c r="L394" s="37" t="s">
        <v>25</v>
      </c>
    </row>
    <row r="395" spans="1:12">
      <c r="A395" s="4">
        <v>9164</v>
      </c>
      <c r="B395" s="3" t="s">
        <v>1040</v>
      </c>
      <c r="C395" s="3" t="s">
        <v>689</v>
      </c>
      <c r="D395" s="3" t="s">
        <v>19</v>
      </c>
      <c r="E395" s="3">
        <v>111970</v>
      </c>
      <c r="F395" s="3">
        <v>15836548373</v>
      </c>
      <c r="G395" s="3">
        <v>515581912</v>
      </c>
      <c r="J395" s="8" t="s">
        <v>4155</v>
      </c>
      <c r="L395" s="37" t="s">
        <v>25</v>
      </c>
    </row>
    <row r="396" spans="1:12">
      <c r="A396" s="3">
        <v>9165</v>
      </c>
      <c r="B396" s="3" t="s">
        <v>1046</v>
      </c>
      <c r="C396" s="3" t="s">
        <v>689</v>
      </c>
      <c r="D396" s="3" t="s">
        <v>19</v>
      </c>
      <c r="E396" s="3">
        <v>100059</v>
      </c>
      <c r="F396" s="3">
        <v>8782053569</v>
      </c>
      <c r="G396" s="3">
        <v>424890441</v>
      </c>
      <c r="J396" s="8" t="s">
        <v>1050</v>
      </c>
      <c r="L396" s="37" t="s">
        <v>25</v>
      </c>
    </row>
    <row r="397" spans="1:12">
      <c r="A397" s="3">
        <v>9166</v>
      </c>
      <c r="C397" s="3" t="s">
        <v>689</v>
      </c>
      <c r="J397" s="8"/>
    </row>
    <row r="398" spans="1:12">
      <c r="A398" s="3">
        <v>9167</v>
      </c>
      <c r="C398" s="3" t="s">
        <v>689</v>
      </c>
      <c r="J398" s="8"/>
    </row>
    <row r="399" spans="1:12">
      <c r="A399" s="4">
        <v>9168</v>
      </c>
      <c r="C399" s="3" t="s">
        <v>689</v>
      </c>
      <c r="J399" s="8"/>
    </row>
    <row r="400" spans="1:12">
      <c r="A400" s="3">
        <v>9169</v>
      </c>
      <c r="B400" s="3" t="s">
        <v>1052</v>
      </c>
      <c r="C400" s="3" t="s">
        <v>689</v>
      </c>
      <c r="D400" s="3" t="s">
        <v>19</v>
      </c>
      <c r="E400" s="3">
        <v>110339</v>
      </c>
      <c r="F400" s="3">
        <v>14837238933</v>
      </c>
      <c r="G400" s="3">
        <v>502634341</v>
      </c>
      <c r="J400" s="8" t="s">
        <v>1056</v>
      </c>
      <c r="L400" s="37" t="s">
        <v>25</v>
      </c>
    </row>
    <row r="401" spans="1:12">
      <c r="A401" s="4">
        <v>9170</v>
      </c>
      <c r="C401" s="3" t="s">
        <v>689</v>
      </c>
      <c r="J401" s="8"/>
    </row>
    <row r="402" spans="1:12">
      <c r="A402" s="3">
        <v>9171</v>
      </c>
      <c r="C402" s="3" t="s">
        <v>689</v>
      </c>
      <c r="J402" s="8"/>
      <c r="L402" s="37"/>
    </row>
    <row r="403" spans="1:12">
      <c r="A403" s="4">
        <v>9172</v>
      </c>
      <c r="C403" s="3" t="s">
        <v>689</v>
      </c>
      <c r="J403" s="8"/>
    </row>
    <row r="404" spans="1:12">
      <c r="A404" s="3">
        <v>9173</v>
      </c>
      <c r="C404" s="3" t="s">
        <v>689</v>
      </c>
      <c r="J404" s="8"/>
    </row>
    <row r="405" spans="1:12">
      <c r="A405" s="3">
        <v>9174</v>
      </c>
      <c r="B405" s="3" t="s">
        <v>1058</v>
      </c>
      <c r="C405" s="3" t="s">
        <v>689</v>
      </c>
      <c r="D405" s="3" t="s">
        <v>19</v>
      </c>
      <c r="E405" s="3">
        <v>112553</v>
      </c>
      <c r="F405" s="3">
        <v>16106116343</v>
      </c>
      <c r="G405" s="3">
        <v>519562720</v>
      </c>
      <c r="J405" s="8" t="s">
        <v>1062</v>
      </c>
      <c r="L405" s="37" t="s">
        <v>25</v>
      </c>
    </row>
    <row r="406" spans="1:12">
      <c r="A406" s="4">
        <v>9175</v>
      </c>
      <c r="B406" s="3" t="s">
        <v>1064</v>
      </c>
      <c r="C406" s="3" t="s">
        <v>689</v>
      </c>
      <c r="D406" s="3" t="s">
        <v>19</v>
      </c>
      <c r="E406" s="3">
        <v>112552</v>
      </c>
      <c r="F406" s="3">
        <v>16106044737</v>
      </c>
      <c r="G406" s="3">
        <v>519562721</v>
      </c>
      <c r="J406" s="8" t="s">
        <v>1068</v>
      </c>
      <c r="L406" s="37" t="s">
        <v>25</v>
      </c>
    </row>
    <row r="407" spans="1:12">
      <c r="A407" s="3">
        <v>9176</v>
      </c>
      <c r="C407" s="3" t="s">
        <v>689</v>
      </c>
      <c r="J407" s="8"/>
    </row>
    <row r="408" spans="1:12">
      <c r="A408" s="3">
        <v>9177</v>
      </c>
      <c r="C408" s="3" t="s">
        <v>689</v>
      </c>
      <c r="J408" s="8"/>
    </row>
    <row r="409" spans="1:12">
      <c r="A409" s="3">
        <v>9178</v>
      </c>
      <c r="C409" s="3" t="s">
        <v>689</v>
      </c>
      <c r="J409" s="8"/>
    </row>
    <row r="410" spans="1:12">
      <c r="A410" s="3">
        <v>9179</v>
      </c>
      <c r="B410" s="3" t="s">
        <v>1070</v>
      </c>
      <c r="C410" s="3" t="s">
        <v>4156</v>
      </c>
      <c r="D410" s="3" t="s">
        <v>19</v>
      </c>
      <c r="E410" s="3">
        <v>109825</v>
      </c>
      <c r="F410" s="3">
        <v>14663758906</v>
      </c>
      <c r="G410" s="3">
        <v>500453495</v>
      </c>
      <c r="J410" s="8" t="s">
        <v>4157</v>
      </c>
      <c r="L410" s="37" t="s">
        <v>25</v>
      </c>
    </row>
    <row r="411" spans="1:12">
      <c r="A411" s="3">
        <v>9180</v>
      </c>
      <c r="B411" s="3" t="s">
        <v>1076</v>
      </c>
      <c r="C411" s="3" t="s">
        <v>4156</v>
      </c>
      <c r="D411" s="3" t="s">
        <v>19</v>
      </c>
      <c r="E411" s="3">
        <v>26857</v>
      </c>
      <c r="F411" s="3">
        <v>69037409</v>
      </c>
      <c r="G411" s="3">
        <v>13779464</v>
      </c>
      <c r="J411" s="8" t="s">
        <v>4158</v>
      </c>
      <c r="L411" s="37" t="s">
        <v>25</v>
      </c>
    </row>
    <row r="412" spans="1:12">
      <c r="A412" s="3">
        <v>9181</v>
      </c>
      <c r="B412" s="3" t="s">
        <v>1082</v>
      </c>
      <c r="C412" s="3" t="s">
        <v>4156</v>
      </c>
      <c r="D412" s="3" t="s">
        <v>19</v>
      </c>
      <c r="E412" s="3">
        <v>10927</v>
      </c>
      <c r="F412" s="3">
        <v>69022026</v>
      </c>
      <c r="G412" s="3">
        <v>200023032</v>
      </c>
      <c r="J412" s="8" t="s">
        <v>4159</v>
      </c>
      <c r="L412" s="37" t="s">
        <v>25</v>
      </c>
    </row>
    <row r="413" spans="1:12">
      <c r="A413" s="3">
        <v>9182</v>
      </c>
      <c r="B413" s="3" t="s">
        <v>1088</v>
      </c>
      <c r="C413" s="3" t="s">
        <v>4156</v>
      </c>
      <c r="D413" s="3" t="s">
        <v>19</v>
      </c>
      <c r="E413" s="3">
        <v>54098</v>
      </c>
      <c r="F413" s="3">
        <v>1221943740</v>
      </c>
      <c r="G413" s="3">
        <v>224390832</v>
      </c>
      <c r="J413" s="8" t="s">
        <v>4160</v>
      </c>
      <c r="L413" s="37" t="s">
        <v>25</v>
      </c>
    </row>
    <row r="414" spans="1:12">
      <c r="A414" s="3">
        <v>9183</v>
      </c>
      <c r="B414" s="3" t="s">
        <v>1094</v>
      </c>
      <c r="C414" s="3" t="s">
        <v>4156</v>
      </c>
      <c r="D414" s="3" t="s">
        <v>19</v>
      </c>
      <c r="E414" s="3">
        <v>26863</v>
      </c>
      <c r="F414" s="3">
        <v>69037415</v>
      </c>
      <c r="G414" s="3">
        <v>169369535</v>
      </c>
      <c r="J414" s="8" t="s">
        <v>4161</v>
      </c>
      <c r="L414" s="37" t="s">
        <v>25</v>
      </c>
    </row>
    <row r="415" spans="1:12">
      <c r="A415" s="3">
        <v>9184</v>
      </c>
      <c r="B415" s="3" t="s">
        <v>1100</v>
      </c>
      <c r="C415" s="3" t="s">
        <v>4156</v>
      </c>
      <c r="D415" s="3" t="s">
        <v>19</v>
      </c>
      <c r="E415" s="3">
        <v>94161</v>
      </c>
      <c r="F415" s="3">
        <v>7337832158</v>
      </c>
      <c r="G415" s="3">
        <v>407392774</v>
      </c>
      <c r="J415" s="8" t="s">
        <v>4162</v>
      </c>
      <c r="L415" s="37" t="s">
        <v>25</v>
      </c>
    </row>
    <row r="416" spans="1:12">
      <c r="A416" s="3">
        <v>9185</v>
      </c>
      <c r="B416" s="3" t="s">
        <v>1106</v>
      </c>
      <c r="C416" s="3" t="s">
        <v>4156</v>
      </c>
      <c r="D416" s="3" t="s">
        <v>19</v>
      </c>
      <c r="E416" s="3">
        <v>26868</v>
      </c>
      <c r="F416" s="3">
        <v>69037420</v>
      </c>
      <c r="G416" s="3">
        <v>13779438</v>
      </c>
      <c r="J416" s="8" t="s">
        <v>4163</v>
      </c>
      <c r="L416" s="37" t="s">
        <v>25</v>
      </c>
    </row>
    <row r="417" spans="1:12">
      <c r="A417" s="3">
        <v>9186</v>
      </c>
      <c r="B417" s="3" t="s">
        <v>1112</v>
      </c>
      <c r="C417" s="3" t="s">
        <v>4156</v>
      </c>
      <c r="D417" s="3" t="s">
        <v>19</v>
      </c>
      <c r="E417" s="3">
        <v>26877</v>
      </c>
      <c r="F417" s="3">
        <v>69037429</v>
      </c>
      <c r="G417" s="3">
        <v>463411</v>
      </c>
      <c r="J417" s="8" t="s">
        <v>4164</v>
      </c>
      <c r="L417" s="37" t="s">
        <v>25</v>
      </c>
    </row>
    <row r="418" spans="1:12">
      <c r="A418" s="3">
        <v>9187</v>
      </c>
      <c r="B418" s="3" t="s">
        <v>1118</v>
      </c>
      <c r="C418" s="3" t="s">
        <v>4156</v>
      </c>
      <c r="D418" s="3" t="s">
        <v>19</v>
      </c>
      <c r="E418" s="3">
        <v>26886</v>
      </c>
      <c r="F418" s="3">
        <v>69037438</v>
      </c>
      <c r="G418" s="3">
        <v>169369537</v>
      </c>
      <c r="J418" s="8" t="s">
        <v>4165</v>
      </c>
      <c r="L418" s="37" t="s">
        <v>25</v>
      </c>
    </row>
    <row r="419" spans="1:12">
      <c r="A419" s="3">
        <v>9188</v>
      </c>
      <c r="B419" s="3" t="s">
        <v>1124</v>
      </c>
      <c r="C419" s="3" t="s">
        <v>4156</v>
      </c>
      <c r="D419" s="3" t="s">
        <v>19</v>
      </c>
      <c r="E419" s="3">
        <v>26858</v>
      </c>
      <c r="F419" s="3">
        <v>69037410</v>
      </c>
      <c r="G419" s="3">
        <v>13779461</v>
      </c>
      <c r="J419" s="8" t="s">
        <v>4166</v>
      </c>
      <c r="L419" s="37" t="s">
        <v>25</v>
      </c>
    </row>
    <row r="420" spans="1:12">
      <c r="A420" s="3">
        <v>9189</v>
      </c>
      <c r="B420" s="3" t="s">
        <v>1130</v>
      </c>
      <c r="C420" s="3" t="s">
        <v>4156</v>
      </c>
      <c r="D420" s="3" t="s">
        <v>19</v>
      </c>
      <c r="E420" s="3">
        <v>109833</v>
      </c>
      <c r="F420" s="3">
        <v>14663800817</v>
      </c>
      <c r="G420" s="3">
        <v>500453473</v>
      </c>
      <c r="J420" s="8" t="s">
        <v>2909</v>
      </c>
      <c r="L420" s="37" t="s">
        <v>25</v>
      </c>
    </row>
    <row r="421" spans="1:12">
      <c r="A421" s="3">
        <v>9190</v>
      </c>
      <c r="B421" s="3" t="s">
        <v>1136</v>
      </c>
      <c r="C421" s="3" t="s">
        <v>4156</v>
      </c>
      <c r="D421" s="3" t="s">
        <v>19</v>
      </c>
      <c r="E421" s="3">
        <v>109830</v>
      </c>
      <c r="F421" s="3">
        <v>14663760670</v>
      </c>
      <c r="G421" s="3">
        <v>500453487</v>
      </c>
      <c r="J421" s="8" t="s">
        <v>4167</v>
      </c>
      <c r="L421" s="37" t="s">
        <v>25</v>
      </c>
    </row>
    <row r="422" spans="1:12">
      <c r="A422" s="3">
        <v>9191</v>
      </c>
      <c r="B422" s="3" t="s">
        <v>1142</v>
      </c>
      <c r="C422" s="3" t="s">
        <v>4156</v>
      </c>
      <c r="D422" s="3" t="s">
        <v>19</v>
      </c>
      <c r="E422" s="3">
        <v>92352</v>
      </c>
      <c r="F422" s="3">
        <v>6482974000</v>
      </c>
      <c r="G422" s="3">
        <v>394179535</v>
      </c>
      <c r="J422" s="8" t="s">
        <v>4168</v>
      </c>
      <c r="L422" s="37" t="s">
        <v>25</v>
      </c>
    </row>
    <row r="423" spans="1:12">
      <c r="A423" s="3">
        <v>9192</v>
      </c>
      <c r="B423" s="3" t="s">
        <v>1148</v>
      </c>
      <c r="C423" s="3" t="s">
        <v>4156</v>
      </c>
      <c r="D423" s="3" t="s">
        <v>19</v>
      </c>
      <c r="E423" s="3">
        <v>109826</v>
      </c>
      <c r="F423" s="3">
        <v>14663760666</v>
      </c>
      <c r="G423" s="3">
        <v>500453478</v>
      </c>
      <c r="J423" s="8" t="s">
        <v>2901</v>
      </c>
      <c r="L423" s="37" t="s">
        <v>25</v>
      </c>
    </row>
    <row r="424" spans="1:12">
      <c r="A424" s="3">
        <v>9193</v>
      </c>
      <c r="B424" s="3" t="s">
        <v>1154</v>
      </c>
      <c r="C424" s="3" t="s">
        <v>4156</v>
      </c>
      <c r="D424" s="3" t="s">
        <v>19</v>
      </c>
      <c r="E424" s="3">
        <v>109827</v>
      </c>
      <c r="F424" s="3">
        <v>14663760667</v>
      </c>
      <c r="G424" s="3">
        <v>500453483</v>
      </c>
      <c r="J424" s="8" t="s">
        <v>2903</v>
      </c>
      <c r="L424" s="37" t="s">
        <v>25</v>
      </c>
    </row>
    <row r="425" spans="1:12">
      <c r="A425" s="3">
        <v>9194</v>
      </c>
      <c r="B425" s="3" t="s">
        <v>1160</v>
      </c>
      <c r="C425" s="3" t="s">
        <v>4156</v>
      </c>
      <c r="D425" s="3" t="s">
        <v>19</v>
      </c>
      <c r="E425" s="3">
        <v>26889</v>
      </c>
      <c r="F425" s="3">
        <v>69037441</v>
      </c>
      <c r="G425" s="3">
        <v>37283052</v>
      </c>
      <c r="J425" s="8" t="s">
        <v>4169</v>
      </c>
      <c r="L425" s="37" t="s">
        <v>25</v>
      </c>
    </row>
    <row r="426" spans="1:12">
      <c r="A426" s="3">
        <v>9195</v>
      </c>
      <c r="B426" s="3" t="s">
        <v>1166</v>
      </c>
      <c r="C426" s="3" t="s">
        <v>4156</v>
      </c>
      <c r="D426" s="3" t="s">
        <v>19</v>
      </c>
      <c r="E426" s="3">
        <v>26883</v>
      </c>
      <c r="F426" s="3">
        <v>69037435</v>
      </c>
      <c r="G426" s="3">
        <v>164291296</v>
      </c>
      <c r="J426" s="8" t="s">
        <v>4170</v>
      </c>
      <c r="L426" s="37" t="s">
        <v>25</v>
      </c>
    </row>
    <row r="427" spans="1:12">
      <c r="A427" s="3">
        <v>9196</v>
      </c>
      <c r="B427" s="3" t="s">
        <v>1172</v>
      </c>
      <c r="C427" s="3" t="s">
        <v>4156</v>
      </c>
      <c r="D427" s="3" t="s">
        <v>19</v>
      </c>
      <c r="E427" s="3">
        <v>26892</v>
      </c>
      <c r="F427" s="3">
        <v>69037444</v>
      </c>
      <c r="G427" s="3">
        <v>37283058</v>
      </c>
      <c r="J427" s="8" t="s">
        <v>4171</v>
      </c>
      <c r="L427" s="37" t="s">
        <v>25</v>
      </c>
    </row>
    <row r="428" spans="1:12">
      <c r="A428" s="3">
        <v>9197</v>
      </c>
      <c r="B428" s="3" t="s">
        <v>1178</v>
      </c>
      <c r="C428" s="3" t="s">
        <v>4156</v>
      </c>
      <c r="D428" s="3" t="s">
        <v>19</v>
      </c>
      <c r="E428" s="3">
        <v>109831</v>
      </c>
      <c r="F428" s="3">
        <v>14663760671</v>
      </c>
      <c r="G428" s="3">
        <v>500453513</v>
      </c>
      <c r="J428" s="8" t="s">
        <v>4172</v>
      </c>
      <c r="L428" s="37" t="s">
        <v>25</v>
      </c>
    </row>
    <row r="429" spans="1:12">
      <c r="A429" s="3">
        <v>9198</v>
      </c>
      <c r="B429" s="3" t="s">
        <v>1184</v>
      </c>
      <c r="C429" s="3" t="s">
        <v>4156</v>
      </c>
      <c r="D429" s="3" t="s">
        <v>19</v>
      </c>
      <c r="E429" s="3">
        <v>109829</v>
      </c>
      <c r="F429" s="3">
        <v>14663760669</v>
      </c>
      <c r="G429" s="3">
        <v>500453479</v>
      </c>
      <c r="J429" s="8" t="s">
        <v>2905</v>
      </c>
      <c r="L429" s="37" t="s">
        <v>25</v>
      </c>
    </row>
    <row r="430" spans="1:12">
      <c r="A430" s="3">
        <v>9199</v>
      </c>
      <c r="B430" s="3" t="s">
        <v>1190</v>
      </c>
      <c r="C430" s="3" t="s">
        <v>4156</v>
      </c>
      <c r="D430" s="3" t="s">
        <v>19</v>
      </c>
      <c r="E430" s="3">
        <v>109834</v>
      </c>
      <c r="F430" s="3">
        <v>14663802428</v>
      </c>
      <c r="G430" s="3">
        <v>500453488</v>
      </c>
      <c r="J430" s="8" t="s">
        <v>2907</v>
      </c>
      <c r="L430" s="37" t="s">
        <v>25</v>
      </c>
    </row>
    <row r="431" spans="1:12">
      <c r="A431" s="3">
        <v>9200</v>
      </c>
      <c r="B431" s="3" t="s">
        <v>1196</v>
      </c>
      <c r="C431" s="3" t="s">
        <v>4156</v>
      </c>
      <c r="D431" s="3" t="s">
        <v>19</v>
      </c>
      <c r="E431" s="3">
        <v>26891</v>
      </c>
      <c r="F431" s="3">
        <v>69037443</v>
      </c>
      <c r="G431" s="3">
        <v>13779450</v>
      </c>
      <c r="J431" s="8" t="s">
        <v>4173</v>
      </c>
      <c r="L431" s="37" t="s">
        <v>25</v>
      </c>
    </row>
    <row r="432" spans="1:12">
      <c r="A432" s="3">
        <v>9201</v>
      </c>
      <c r="B432" s="3" t="s">
        <v>1202</v>
      </c>
      <c r="C432" s="3" t="s">
        <v>4156</v>
      </c>
      <c r="D432" s="3" t="s">
        <v>19</v>
      </c>
      <c r="E432" s="3">
        <v>109828</v>
      </c>
      <c r="F432" s="3">
        <v>14663760668</v>
      </c>
      <c r="G432" s="3">
        <v>500453471</v>
      </c>
      <c r="J432" s="8" t="s">
        <v>4174</v>
      </c>
      <c r="L432" s="37" t="s">
        <v>25</v>
      </c>
    </row>
    <row r="433" spans="1:12">
      <c r="A433" s="3">
        <v>9202</v>
      </c>
      <c r="B433" s="3" t="s">
        <v>1208</v>
      </c>
      <c r="C433" s="3" t="s">
        <v>4156</v>
      </c>
      <c r="D433" s="3" t="s">
        <v>19</v>
      </c>
      <c r="E433" s="3">
        <v>100478</v>
      </c>
      <c r="F433" s="3">
        <v>9056956971</v>
      </c>
      <c r="G433" s="3">
        <v>429622130</v>
      </c>
      <c r="J433" s="8" t="s">
        <v>4175</v>
      </c>
      <c r="L433" s="37" t="s">
        <v>25</v>
      </c>
    </row>
    <row r="434" spans="1:12" s="6" customFormat="1" ht="15.75" thickBot="1">
      <c r="A434" s="6">
        <v>9203</v>
      </c>
      <c r="B434" s="6" t="s">
        <v>1214</v>
      </c>
      <c r="C434" s="6" t="s">
        <v>4156</v>
      </c>
      <c r="D434" s="6" t="s">
        <v>19</v>
      </c>
      <c r="E434" s="6">
        <v>26902</v>
      </c>
      <c r="F434" s="6">
        <v>69037455</v>
      </c>
      <c r="G434" s="6">
        <v>169369548</v>
      </c>
      <c r="H434" s="34"/>
      <c r="I434" s="34"/>
      <c r="J434" s="9" t="s">
        <v>4176</v>
      </c>
      <c r="L434" s="44" t="s">
        <v>25</v>
      </c>
    </row>
    <row r="435" spans="1:12" s="4" customFormat="1">
      <c r="A435" s="4">
        <v>9301</v>
      </c>
      <c r="C435" s="4" t="s">
        <v>1220</v>
      </c>
      <c r="H435" s="10"/>
      <c r="I435" s="10"/>
      <c r="J435" s="10"/>
    </row>
    <row r="436" spans="1:12">
      <c r="A436" s="3">
        <v>9302</v>
      </c>
      <c r="C436" s="3" t="s">
        <v>1220</v>
      </c>
      <c r="H436" s="8"/>
      <c r="I436" s="8"/>
      <c r="J436" s="8"/>
    </row>
    <row r="437" spans="1:12">
      <c r="A437" s="3">
        <v>9303</v>
      </c>
      <c r="B437" s="3" t="s">
        <v>1221</v>
      </c>
      <c r="C437" s="3" t="s">
        <v>1220</v>
      </c>
      <c r="D437" s="3" t="s">
        <v>19</v>
      </c>
      <c r="E437" s="3">
        <v>112305</v>
      </c>
      <c r="F437" s="3">
        <v>15984673899</v>
      </c>
      <c r="G437" s="3">
        <v>517699255</v>
      </c>
      <c r="H437" s="8" t="s">
        <v>1222</v>
      </c>
      <c r="I437" s="8" t="s">
        <v>1222</v>
      </c>
      <c r="J437" s="8"/>
      <c r="L437" s="37" t="s">
        <v>25</v>
      </c>
    </row>
    <row r="438" spans="1:12">
      <c r="A438" s="3">
        <v>9304</v>
      </c>
      <c r="B438" s="3" t="s">
        <v>1225</v>
      </c>
      <c r="C438" s="3" t="s">
        <v>1220</v>
      </c>
      <c r="D438" s="3" t="s">
        <v>19</v>
      </c>
      <c r="E438" s="3">
        <v>112211</v>
      </c>
      <c r="F438" s="3">
        <v>15979362375</v>
      </c>
      <c r="G438" s="3">
        <v>517637657</v>
      </c>
      <c r="H438" s="8" t="s">
        <v>1226</v>
      </c>
      <c r="I438" s="8" t="s">
        <v>1226</v>
      </c>
      <c r="J438" s="8"/>
      <c r="L438" s="37" t="s">
        <v>25</v>
      </c>
    </row>
    <row r="439" spans="1:12">
      <c r="A439" s="4">
        <v>9305</v>
      </c>
      <c r="C439" s="3" t="s">
        <v>1220</v>
      </c>
      <c r="H439" s="8"/>
      <c r="I439" s="8"/>
      <c r="J439" s="8"/>
    </row>
    <row r="440" spans="1:12">
      <c r="A440" s="3">
        <v>9306</v>
      </c>
      <c r="C440" s="3" t="s">
        <v>1220</v>
      </c>
      <c r="H440" s="8"/>
      <c r="I440" s="8"/>
      <c r="J440" s="8"/>
    </row>
    <row r="441" spans="1:12">
      <c r="A441" s="3">
        <v>9307</v>
      </c>
      <c r="B441" s="3" t="s">
        <v>1229</v>
      </c>
      <c r="C441" s="3" t="s">
        <v>1220</v>
      </c>
      <c r="D441" s="3" t="s">
        <v>19</v>
      </c>
      <c r="E441" s="3">
        <v>112164</v>
      </c>
      <c r="F441" s="3">
        <v>15974340091</v>
      </c>
      <c r="G441" s="3">
        <v>517571296</v>
      </c>
      <c r="H441" s="8" t="s">
        <v>1230</v>
      </c>
      <c r="I441" s="8" t="s">
        <v>1230</v>
      </c>
      <c r="J441" s="8"/>
      <c r="L441" s="37" t="s">
        <v>25</v>
      </c>
    </row>
    <row r="442" spans="1:12">
      <c r="A442" s="3">
        <v>9308</v>
      </c>
      <c r="B442" s="3" t="s">
        <v>1233</v>
      </c>
      <c r="C442" s="3" t="s">
        <v>1220</v>
      </c>
      <c r="D442" s="3" t="s">
        <v>19</v>
      </c>
      <c r="E442" s="3">
        <v>112303</v>
      </c>
      <c r="F442" s="3">
        <v>15984668800</v>
      </c>
      <c r="G442" s="3">
        <v>517699162</v>
      </c>
      <c r="H442" s="8" t="s">
        <v>1234</v>
      </c>
      <c r="I442" s="8" t="s">
        <v>1234</v>
      </c>
      <c r="J442" s="8"/>
      <c r="L442" s="37" t="s">
        <v>25</v>
      </c>
    </row>
    <row r="443" spans="1:12">
      <c r="A443" s="4">
        <v>9309</v>
      </c>
      <c r="B443" s="3" t="s">
        <v>1237</v>
      </c>
      <c r="C443" s="3" t="s">
        <v>1220</v>
      </c>
      <c r="D443" s="3" t="s">
        <v>19</v>
      </c>
      <c r="E443" s="3">
        <v>112472</v>
      </c>
      <c r="F443" s="3">
        <v>16008826411</v>
      </c>
      <c r="G443" s="3">
        <v>517999900</v>
      </c>
      <c r="H443" s="8" t="s">
        <v>1238</v>
      </c>
      <c r="I443" s="8" t="s">
        <v>1238</v>
      </c>
      <c r="J443" s="8"/>
      <c r="L443" s="37" t="s">
        <v>25</v>
      </c>
    </row>
    <row r="444" spans="1:12">
      <c r="A444" s="3">
        <v>9310</v>
      </c>
      <c r="B444" s="3" t="s">
        <v>1241</v>
      </c>
      <c r="C444" s="3" t="s">
        <v>1220</v>
      </c>
      <c r="D444" s="3" t="s">
        <v>19</v>
      </c>
      <c r="E444" s="3">
        <v>109554</v>
      </c>
      <c r="F444" s="3">
        <v>14295769713</v>
      </c>
      <c r="G444" s="3">
        <v>495621087</v>
      </c>
      <c r="H444" s="8" t="s">
        <v>1242</v>
      </c>
      <c r="I444" s="8" t="s">
        <v>1242</v>
      </c>
      <c r="J444" s="8"/>
      <c r="L444" s="37" t="s">
        <v>25</v>
      </c>
    </row>
    <row r="445" spans="1:12">
      <c r="A445" s="3">
        <v>9311</v>
      </c>
      <c r="B445" s="3" t="s">
        <v>1245</v>
      </c>
      <c r="C445" s="3" t="s">
        <v>1220</v>
      </c>
      <c r="D445" s="3" t="s">
        <v>19</v>
      </c>
      <c r="E445" s="3">
        <v>112474</v>
      </c>
      <c r="F445" s="3">
        <v>16008841893</v>
      </c>
      <c r="G445" s="3">
        <v>517999896</v>
      </c>
      <c r="H445" s="8" t="s">
        <v>1246</v>
      </c>
      <c r="I445" s="8" t="s">
        <v>1246</v>
      </c>
      <c r="J445" s="8"/>
      <c r="L445" s="37" t="s">
        <v>25</v>
      </c>
    </row>
    <row r="446" spans="1:12">
      <c r="A446" s="3">
        <v>9312</v>
      </c>
      <c r="B446" s="3" t="s">
        <v>1249</v>
      </c>
      <c r="C446" s="3" t="s">
        <v>1220</v>
      </c>
      <c r="D446" s="3" t="s">
        <v>19</v>
      </c>
      <c r="E446" s="3">
        <v>112475</v>
      </c>
      <c r="F446" s="3">
        <v>16008841894</v>
      </c>
      <c r="G446" s="3">
        <v>517999895</v>
      </c>
      <c r="H446" s="8" t="s">
        <v>1250</v>
      </c>
      <c r="I446" s="8" t="s">
        <v>1250</v>
      </c>
      <c r="J446" s="8"/>
      <c r="L446" s="37" t="s">
        <v>25</v>
      </c>
    </row>
    <row r="447" spans="1:12">
      <c r="A447" s="4">
        <v>9313</v>
      </c>
      <c r="B447" s="3" t="s">
        <v>1253</v>
      </c>
      <c r="C447" s="3" t="s">
        <v>1220</v>
      </c>
      <c r="D447" s="3" t="s">
        <v>19</v>
      </c>
      <c r="E447" s="3">
        <v>112446</v>
      </c>
      <c r="F447" s="3">
        <v>16008740622</v>
      </c>
      <c r="G447" s="3">
        <v>517999899</v>
      </c>
      <c r="H447" s="8" t="s">
        <v>1254</v>
      </c>
      <c r="I447" s="8" t="s">
        <v>1254</v>
      </c>
      <c r="J447" s="8"/>
      <c r="L447" s="37" t="s">
        <v>25</v>
      </c>
    </row>
    <row r="448" spans="1:12">
      <c r="A448" s="3">
        <v>9314</v>
      </c>
      <c r="B448" s="3" t="s">
        <v>1257</v>
      </c>
      <c r="C448" s="3" t="s">
        <v>1220</v>
      </c>
      <c r="D448" s="3" t="s">
        <v>19</v>
      </c>
      <c r="E448" s="3">
        <v>108206</v>
      </c>
      <c r="F448" s="3">
        <v>13409963602</v>
      </c>
      <c r="G448" s="3">
        <v>483305715</v>
      </c>
      <c r="H448" s="8" t="s">
        <v>1258</v>
      </c>
      <c r="I448" s="8" t="s">
        <v>1258</v>
      </c>
      <c r="J448" s="8"/>
      <c r="L448" s="37" t="s">
        <v>25</v>
      </c>
    </row>
    <row r="449" spans="1:12">
      <c r="A449" s="3">
        <v>9315</v>
      </c>
      <c r="C449" s="3" t="s">
        <v>1220</v>
      </c>
      <c r="H449" s="8"/>
      <c r="I449" s="8"/>
      <c r="J449" s="8"/>
    </row>
    <row r="450" spans="1:12">
      <c r="A450" s="3">
        <v>9316</v>
      </c>
      <c r="C450" s="3" t="s">
        <v>1220</v>
      </c>
      <c r="H450" s="8"/>
      <c r="I450" s="8"/>
      <c r="J450" s="8"/>
    </row>
    <row r="451" spans="1:12">
      <c r="A451" s="4">
        <v>9317</v>
      </c>
      <c r="C451" s="3" t="s">
        <v>1220</v>
      </c>
      <c r="H451" s="8"/>
      <c r="I451" s="8"/>
      <c r="J451" s="8"/>
    </row>
    <row r="452" spans="1:12">
      <c r="A452" s="3">
        <v>9318</v>
      </c>
      <c r="C452" s="3" t="s">
        <v>1220</v>
      </c>
      <c r="H452" s="8"/>
      <c r="I452" s="8"/>
      <c r="J452" s="8"/>
    </row>
    <row r="453" spans="1:12">
      <c r="A453" s="3">
        <v>9319</v>
      </c>
      <c r="B453" s="3" t="s">
        <v>1261</v>
      </c>
      <c r="C453" s="3" t="s">
        <v>1220</v>
      </c>
      <c r="D453" s="3" t="s">
        <v>19</v>
      </c>
      <c r="E453" s="3">
        <v>112184</v>
      </c>
      <c r="F453" s="3">
        <v>15974533379</v>
      </c>
      <c r="G453" s="3">
        <v>517571298</v>
      </c>
      <c r="H453" s="8" t="s">
        <v>1262</v>
      </c>
      <c r="I453" s="8" t="s">
        <v>1262</v>
      </c>
      <c r="J453" s="8"/>
      <c r="L453" s="37" t="s">
        <v>25</v>
      </c>
    </row>
    <row r="454" spans="1:12">
      <c r="A454" s="3">
        <v>9320</v>
      </c>
      <c r="B454" s="3" t="s">
        <v>1265</v>
      </c>
      <c r="C454" s="3" t="s">
        <v>1220</v>
      </c>
      <c r="D454" s="3" t="s">
        <v>19</v>
      </c>
      <c r="E454" s="3">
        <v>112172</v>
      </c>
      <c r="F454" s="3">
        <v>15974346091</v>
      </c>
      <c r="G454" s="3">
        <v>517571272</v>
      </c>
      <c r="H454" s="8" t="s">
        <v>1266</v>
      </c>
      <c r="I454" s="8" t="s">
        <v>1266</v>
      </c>
      <c r="J454" s="8"/>
      <c r="L454" s="37" t="s">
        <v>25</v>
      </c>
    </row>
    <row r="455" spans="1:12">
      <c r="A455" s="4">
        <v>9321</v>
      </c>
      <c r="B455" s="3" t="s">
        <v>1269</v>
      </c>
      <c r="C455" s="3" t="s">
        <v>1220</v>
      </c>
      <c r="D455" s="3" t="s">
        <v>19</v>
      </c>
      <c r="E455" s="3">
        <v>112170</v>
      </c>
      <c r="F455" s="3">
        <v>15974343060</v>
      </c>
      <c r="G455" s="3">
        <v>517571265</v>
      </c>
      <c r="H455" s="8" t="s">
        <v>1270</v>
      </c>
      <c r="I455" s="8" t="s">
        <v>1270</v>
      </c>
      <c r="J455" s="8"/>
      <c r="L455" s="37" t="s">
        <v>25</v>
      </c>
    </row>
    <row r="456" spans="1:12">
      <c r="A456" s="3">
        <v>9322</v>
      </c>
      <c r="C456" s="3" t="s">
        <v>1220</v>
      </c>
      <c r="H456" s="8"/>
      <c r="I456" s="8"/>
      <c r="J456" s="8"/>
    </row>
    <row r="457" spans="1:12">
      <c r="A457" s="3">
        <v>9323</v>
      </c>
      <c r="C457" s="3" t="s">
        <v>1220</v>
      </c>
      <c r="H457" s="8"/>
      <c r="I457" s="8"/>
      <c r="J457" s="8"/>
    </row>
    <row r="458" spans="1:12">
      <c r="A458" s="3">
        <v>9324</v>
      </c>
      <c r="B458" s="3" t="s">
        <v>1273</v>
      </c>
      <c r="C458" s="3" t="s">
        <v>1220</v>
      </c>
      <c r="D458" s="3" t="s">
        <v>19</v>
      </c>
      <c r="E458" s="3">
        <v>110064</v>
      </c>
      <c r="F458" s="3">
        <v>14742711240</v>
      </c>
      <c r="G458" s="3">
        <v>501459335</v>
      </c>
      <c r="H458" s="8" t="s">
        <v>1274</v>
      </c>
      <c r="I458" s="8" t="s">
        <v>1274</v>
      </c>
      <c r="J458" s="8"/>
      <c r="L458" s="37" t="s">
        <v>25</v>
      </c>
    </row>
    <row r="459" spans="1:12">
      <c r="A459" s="4">
        <v>9325</v>
      </c>
      <c r="B459" s="3" t="s">
        <v>1277</v>
      </c>
      <c r="C459" s="3" t="s">
        <v>1220</v>
      </c>
      <c r="D459" s="3" t="s">
        <v>19</v>
      </c>
      <c r="E459" s="3">
        <v>109519</v>
      </c>
      <c r="F459" s="3">
        <v>14295585918</v>
      </c>
      <c r="G459" s="3">
        <v>495621243</v>
      </c>
      <c r="H459" s="8" t="s">
        <v>1278</v>
      </c>
      <c r="I459" s="8" t="s">
        <v>1278</v>
      </c>
      <c r="J459" s="8"/>
      <c r="L459" s="37" t="s">
        <v>25</v>
      </c>
    </row>
    <row r="460" spans="1:12">
      <c r="A460" s="3">
        <v>9326</v>
      </c>
      <c r="B460" s="3" t="s">
        <v>1281</v>
      </c>
      <c r="C460" s="3" t="s">
        <v>1220</v>
      </c>
      <c r="D460" s="3" t="s">
        <v>19</v>
      </c>
      <c r="E460" s="3">
        <v>109586</v>
      </c>
      <c r="F460" s="3">
        <v>14299667365</v>
      </c>
      <c r="G460" s="3">
        <v>495510545</v>
      </c>
      <c r="H460" s="8" t="s">
        <v>1282</v>
      </c>
      <c r="I460" s="8" t="s">
        <v>1282</v>
      </c>
      <c r="J460" s="8"/>
      <c r="L460" s="37" t="s">
        <v>25</v>
      </c>
    </row>
    <row r="461" spans="1:12">
      <c r="A461" s="3">
        <v>9327</v>
      </c>
      <c r="B461" s="3" t="s">
        <v>1285</v>
      </c>
      <c r="C461" s="3" t="s">
        <v>1220</v>
      </c>
      <c r="D461" s="3" t="s">
        <v>19</v>
      </c>
      <c r="E461" s="3">
        <v>112451</v>
      </c>
      <c r="F461" s="3">
        <v>16008741847</v>
      </c>
      <c r="G461" s="3">
        <v>517999846</v>
      </c>
      <c r="H461" s="8" t="s">
        <v>1286</v>
      </c>
      <c r="I461" s="8" t="s">
        <v>1286</v>
      </c>
      <c r="J461" s="8"/>
      <c r="L461" s="37" t="s">
        <v>25</v>
      </c>
    </row>
    <row r="462" spans="1:12">
      <c r="A462" s="3">
        <v>9328</v>
      </c>
      <c r="B462" s="3" t="s">
        <v>1289</v>
      </c>
      <c r="C462" s="3" t="s">
        <v>1220</v>
      </c>
      <c r="D462" s="3" t="s">
        <v>19</v>
      </c>
      <c r="E462" s="3">
        <v>108207</v>
      </c>
      <c r="F462" s="3">
        <v>13409964443</v>
      </c>
      <c r="G462" s="3">
        <v>483305709</v>
      </c>
      <c r="H462" s="8" t="s">
        <v>1290</v>
      </c>
      <c r="I462" s="8" t="s">
        <v>1290</v>
      </c>
      <c r="J462" s="8"/>
      <c r="L462" s="37" t="s">
        <v>25</v>
      </c>
    </row>
    <row r="463" spans="1:12">
      <c r="A463" s="4">
        <v>9329</v>
      </c>
      <c r="B463" s="3" t="s">
        <v>1293</v>
      </c>
      <c r="C463" s="3" t="s">
        <v>1220</v>
      </c>
      <c r="D463" s="3" t="s">
        <v>19</v>
      </c>
      <c r="E463" s="3">
        <v>109557</v>
      </c>
      <c r="F463" s="3">
        <v>14295773996</v>
      </c>
      <c r="G463" s="3">
        <v>495621071</v>
      </c>
      <c r="H463" s="8" t="s">
        <v>1294</v>
      </c>
      <c r="I463" s="8" t="s">
        <v>1294</v>
      </c>
      <c r="J463" s="8"/>
      <c r="L463" s="37" t="s">
        <v>25</v>
      </c>
    </row>
    <row r="464" spans="1:12">
      <c r="A464" s="3">
        <v>9330</v>
      </c>
      <c r="C464" s="3" t="s">
        <v>1220</v>
      </c>
      <c r="H464" s="8"/>
      <c r="I464" s="8"/>
      <c r="J464" s="8"/>
    </row>
    <row r="465" spans="1:12">
      <c r="A465" s="3">
        <v>9331</v>
      </c>
      <c r="C465" s="3" t="s">
        <v>1220</v>
      </c>
      <c r="H465" s="8"/>
      <c r="I465" s="8"/>
      <c r="J465" s="8"/>
    </row>
    <row r="466" spans="1:12">
      <c r="A466" s="3">
        <v>9332</v>
      </c>
      <c r="B466" s="3" t="s">
        <v>1297</v>
      </c>
      <c r="C466" s="3" t="s">
        <v>1220</v>
      </c>
      <c r="D466" s="3" t="s">
        <v>19</v>
      </c>
      <c r="E466" s="3">
        <v>112484</v>
      </c>
      <c r="F466" s="3">
        <v>16009006481</v>
      </c>
      <c r="G466" s="3">
        <v>517999890</v>
      </c>
      <c r="H466" s="8" t="s">
        <v>1298</v>
      </c>
      <c r="I466" s="8" t="s">
        <v>1298</v>
      </c>
      <c r="J466" s="8"/>
      <c r="L466" s="37" t="s">
        <v>25</v>
      </c>
    </row>
    <row r="467" spans="1:12">
      <c r="A467" s="4">
        <v>9333</v>
      </c>
      <c r="C467" s="3" t="s">
        <v>1220</v>
      </c>
      <c r="H467" s="8"/>
      <c r="I467" s="8"/>
      <c r="J467" s="8"/>
    </row>
    <row r="468" spans="1:12">
      <c r="A468" s="3">
        <v>9334</v>
      </c>
      <c r="C468" s="3" t="s">
        <v>1220</v>
      </c>
      <c r="H468" s="8"/>
      <c r="I468" s="8"/>
      <c r="J468" s="8"/>
    </row>
    <row r="469" spans="1:12">
      <c r="A469" s="3">
        <v>9335</v>
      </c>
      <c r="B469" s="3" t="s">
        <v>1305</v>
      </c>
      <c r="C469" s="3" t="s">
        <v>1220</v>
      </c>
      <c r="D469" s="3" t="s">
        <v>19</v>
      </c>
      <c r="E469" s="3">
        <v>112180</v>
      </c>
      <c r="F469" s="3">
        <v>15974354385</v>
      </c>
      <c r="G469" s="3">
        <v>517571297</v>
      </c>
      <c r="H469" s="8" t="s">
        <v>1306</v>
      </c>
      <c r="I469" s="8" t="s">
        <v>1306</v>
      </c>
      <c r="J469" s="8"/>
      <c r="L469" s="37" t="s">
        <v>25</v>
      </c>
    </row>
    <row r="470" spans="1:12">
      <c r="A470" s="3">
        <v>9336</v>
      </c>
      <c r="B470" s="3" t="s">
        <v>1309</v>
      </c>
      <c r="C470" s="3" t="s">
        <v>1220</v>
      </c>
      <c r="D470" s="3" t="s">
        <v>19</v>
      </c>
      <c r="E470" s="3">
        <v>108215</v>
      </c>
      <c r="F470" s="3">
        <v>13409975363</v>
      </c>
      <c r="G470" s="3">
        <v>483305710</v>
      </c>
      <c r="H470" s="8" t="s">
        <v>1310</v>
      </c>
      <c r="I470" s="8" t="s">
        <v>1310</v>
      </c>
      <c r="J470" s="8"/>
      <c r="L470" s="37" t="s">
        <v>25</v>
      </c>
    </row>
    <row r="471" spans="1:12">
      <c r="A471" s="4">
        <v>9337</v>
      </c>
      <c r="B471" s="3" t="s">
        <v>1313</v>
      </c>
      <c r="C471" s="3" t="s">
        <v>1220</v>
      </c>
      <c r="D471" s="3" t="s">
        <v>19</v>
      </c>
      <c r="E471" s="3">
        <v>112466</v>
      </c>
      <c r="F471" s="3">
        <v>16008804462</v>
      </c>
      <c r="G471" s="3">
        <v>517999851</v>
      </c>
      <c r="H471" s="8" t="s">
        <v>1314</v>
      </c>
      <c r="I471" s="8" t="s">
        <v>1314</v>
      </c>
      <c r="J471" s="8"/>
      <c r="L471" s="37" t="s">
        <v>25</v>
      </c>
    </row>
    <row r="472" spans="1:12">
      <c r="A472" s="3">
        <v>9338</v>
      </c>
      <c r="B472" s="3" t="s">
        <v>1317</v>
      </c>
      <c r="C472" s="3" t="s">
        <v>1220</v>
      </c>
      <c r="D472" s="3" t="s">
        <v>19</v>
      </c>
      <c r="E472" s="3">
        <v>112154</v>
      </c>
      <c r="F472" s="3">
        <v>15974166158</v>
      </c>
      <c r="G472" s="3">
        <v>517571278</v>
      </c>
      <c r="H472" s="8" t="s">
        <v>1318</v>
      </c>
      <c r="I472" s="8" t="s">
        <v>1318</v>
      </c>
      <c r="J472" s="8"/>
      <c r="L472" s="37" t="s">
        <v>25</v>
      </c>
    </row>
    <row r="473" spans="1:12">
      <c r="A473" s="3">
        <v>9339</v>
      </c>
      <c r="C473" s="3" t="s">
        <v>1220</v>
      </c>
      <c r="H473" s="8"/>
      <c r="I473" s="8"/>
      <c r="J473" s="8"/>
    </row>
    <row r="474" spans="1:12">
      <c r="A474" s="3">
        <v>9340</v>
      </c>
      <c r="B474" s="3" t="s">
        <v>1321</v>
      </c>
      <c r="C474" s="3" t="s">
        <v>1220</v>
      </c>
      <c r="D474" s="3" t="s">
        <v>19</v>
      </c>
      <c r="E474" s="3">
        <v>109588</v>
      </c>
      <c r="F474" s="3">
        <v>14299667367</v>
      </c>
      <c r="G474" s="3">
        <v>513302864</v>
      </c>
      <c r="H474" s="8" t="s">
        <v>1322</v>
      </c>
      <c r="I474" s="8" t="s">
        <v>1322</v>
      </c>
      <c r="J474" s="8"/>
      <c r="L474" s="37" t="s">
        <v>25</v>
      </c>
    </row>
    <row r="475" spans="1:12">
      <c r="A475" s="4">
        <v>9341</v>
      </c>
      <c r="C475" s="3" t="s">
        <v>1220</v>
      </c>
      <c r="H475" s="8"/>
      <c r="I475" s="8"/>
      <c r="J475" s="8"/>
    </row>
    <row r="476" spans="1:12">
      <c r="A476" s="3">
        <v>9342</v>
      </c>
      <c r="B476" s="3" t="s">
        <v>1325</v>
      </c>
      <c r="C476" s="3" t="s">
        <v>1220</v>
      </c>
      <c r="D476" s="3" t="s">
        <v>19</v>
      </c>
      <c r="E476" s="3">
        <v>110041</v>
      </c>
      <c r="F476" s="3">
        <v>14738341889</v>
      </c>
      <c r="G476" s="3">
        <v>501459303</v>
      </c>
      <c r="H476" s="8" t="s">
        <v>1326</v>
      </c>
      <c r="I476" s="8" t="s">
        <v>1326</v>
      </c>
      <c r="J476" s="8"/>
      <c r="L476" s="37" t="s">
        <v>25</v>
      </c>
    </row>
    <row r="477" spans="1:12">
      <c r="A477" s="3">
        <v>9343</v>
      </c>
      <c r="B477" s="3" t="s">
        <v>1329</v>
      </c>
      <c r="C477" s="3" t="s">
        <v>1220</v>
      </c>
      <c r="D477" s="3" t="s">
        <v>19</v>
      </c>
      <c r="E477" s="3">
        <v>112228</v>
      </c>
      <c r="F477" s="3">
        <v>15980242570</v>
      </c>
      <c r="G477" s="3">
        <v>517638101</v>
      </c>
      <c r="H477" s="8" t="s">
        <v>1330</v>
      </c>
      <c r="I477" s="8" t="s">
        <v>1330</v>
      </c>
      <c r="J477" s="8"/>
      <c r="L477" s="37" t="s">
        <v>25</v>
      </c>
    </row>
    <row r="478" spans="1:12">
      <c r="A478" s="3">
        <v>9344</v>
      </c>
      <c r="B478" s="3" t="s">
        <v>1333</v>
      </c>
      <c r="C478" s="3" t="s">
        <v>1220</v>
      </c>
      <c r="D478" s="3" t="s">
        <v>19</v>
      </c>
      <c r="E478" s="3">
        <v>109473</v>
      </c>
      <c r="F478" s="3">
        <v>14295525110</v>
      </c>
      <c r="G478" s="3">
        <v>495621108</v>
      </c>
      <c r="H478" s="8" t="s">
        <v>1334</v>
      </c>
      <c r="I478" s="8" t="s">
        <v>1334</v>
      </c>
      <c r="J478" s="8"/>
      <c r="L478" s="37" t="s">
        <v>25</v>
      </c>
    </row>
    <row r="479" spans="1:12">
      <c r="A479" s="4">
        <v>9345</v>
      </c>
      <c r="C479" s="3" t="s">
        <v>1220</v>
      </c>
      <c r="H479" s="8"/>
      <c r="I479" s="8"/>
      <c r="J479" s="8"/>
    </row>
    <row r="480" spans="1:12">
      <c r="A480" s="3">
        <v>9346</v>
      </c>
      <c r="C480" s="3" t="s">
        <v>1220</v>
      </c>
      <c r="H480" s="8"/>
      <c r="I480" s="8"/>
      <c r="J480" s="8"/>
    </row>
    <row r="481" spans="1:12">
      <c r="A481" s="3">
        <v>9347</v>
      </c>
      <c r="B481" s="3" t="s">
        <v>1337</v>
      </c>
      <c r="C481" s="3" t="s">
        <v>1220</v>
      </c>
      <c r="D481" s="3" t="s">
        <v>19</v>
      </c>
      <c r="E481" s="3">
        <v>109496</v>
      </c>
      <c r="F481" s="3">
        <v>14295552330</v>
      </c>
      <c r="G481" s="3">
        <v>495621163</v>
      </c>
      <c r="H481" s="8" t="s">
        <v>1338</v>
      </c>
      <c r="I481" s="8" t="s">
        <v>1338</v>
      </c>
      <c r="J481" s="8"/>
      <c r="L481" s="37" t="s">
        <v>25</v>
      </c>
    </row>
    <row r="482" spans="1:12">
      <c r="A482" s="3">
        <v>9348</v>
      </c>
      <c r="B482" s="3" t="s">
        <v>1341</v>
      </c>
      <c r="C482" s="3" t="s">
        <v>1220</v>
      </c>
      <c r="D482" s="3" t="s">
        <v>19</v>
      </c>
      <c r="E482" s="3">
        <v>112406</v>
      </c>
      <c r="F482" s="3">
        <v>16003771638</v>
      </c>
      <c r="G482" s="3">
        <v>517939029</v>
      </c>
      <c r="H482" s="8" t="s">
        <v>1342</v>
      </c>
      <c r="I482" s="8" t="s">
        <v>1342</v>
      </c>
      <c r="J482" s="8"/>
      <c r="L482" s="37" t="s">
        <v>25</v>
      </c>
    </row>
    <row r="483" spans="1:12">
      <c r="A483" s="4">
        <v>9349</v>
      </c>
      <c r="B483" s="3" t="s">
        <v>1345</v>
      </c>
      <c r="C483" s="3" t="s">
        <v>1220</v>
      </c>
      <c r="D483" s="3" t="s">
        <v>19</v>
      </c>
      <c r="E483" s="3">
        <v>112338</v>
      </c>
      <c r="F483" s="3">
        <v>15988053462</v>
      </c>
      <c r="G483" s="3">
        <v>517699194</v>
      </c>
      <c r="H483" s="8" t="s">
        <v>1346</v>
      </c>
      <c r="I483" s="8" t="s">
        <v>1346</v>
      </c>
      <c r="J483" s="8"/>
      <c r="L483" s="37" t="s">
        <v>25</v>
      </c>
    </row>
    <row r="484" spans="1:12">
      <c r="A484" s="3">
        <v>9350</v>
      </c>
      <c r="B484" s="3" t="s">
        <v>1349</v>
      </c>
      <c r="C484" s="3" t="s">
        <v>1220</v>
      </c>
      <c r="D484" s="3" t="s">
        <v>19</v>
      </c>
      <c r="E484" s="3">
        <v>112449</v>
      </c>
      <c r="F484" s="3">
        <v>16008741845</v>
      </c>
      <c r="G484" s="3">
        <v>517999880</v>
      </c>
      <c r="H484" s="8" t="s">
        <v>1350</v>
      </c>
      <c r="I484" s="8" t="s">
        <v>1350</v>
      </c>
      <c r="J484" s="8"/>
      <c r="L484" s="37" t="s">
        <v>25</v>
      </c>
    </row>
    <row r="485" spans="1:12">
      <c r="A485" s="3">
        <v>9351</v>
      </c>
      <c r="B485" s="3" t="s">
        <v>1353</v>
      </c>
      <c r="C485" s="3" t="s">
        <v>1220</v>
      </c>
      <c r="D485" s="3" t="s">
        <v>19</v>
      </c>
      <c r="E485" s="3">
        <v>109595</v>
      </c>
      <c r="F485" s="3">
        <v>14305342947</v>
      </c>
      <c r="G485" s="3">
        <v>495621185</v>
      </c>
      <c r="H485" s="8" t="s">
        <v>1354</v>
      </c>
      <c r="I485" s="8" t="s">
        <v>1354</v>
      </c>
      <c r="J485" s="8"/>
      <c r="L485" s="37" t="s">
        <v>25</v>
      </c>
    </row>
    <row r="486" spans="1:12">
      <c r="A486" s="3">
        <v>9352</v>
      </c>
      <c r="B486" s="3" t="s">
        <v>1357</v>
      </c>
      <c r="C486" s="3" t="s">
        <v>1220</v>
      </c>
      <c r="D486" s="3" t="s">
        <v>19</v>
      </c>
      <c r="E486" s="3">
        <v>109509</v>
      </c>
      <c r="F486" s="3">
        <v>14295558595</v>
      </c>
      <c r="G486" s="3">
        <v>495621131</v>
      </c>
      <c r="H486" s="8" t="s">
        <v>1358</v>
      </c>
      <c r="I486" s="8" t="s">
        <v>1358</v>
      </c>
      <c r="J486" s="8"/>
      <c r="L486" s="37" t="s">
        <v>25</v>
      </c>
    </row>
    <row r="487" spans="1:12">
      <c r="A487" s="4">
        <v>9353</v>
      </c>
      <c r="B487" s="3" t="s">
        <v>1361</v>
      </c>
      <c r="C487" s="3" t="s">
        <v>1220</v>
      </c>
      <c r="D487" s="3" t="s">
        <v>19</v>
      </c>
      <c r="E487" s="3">
        <v>109581</v>
      </c>
      <c r="F487" s="3">
        <v>14299454173</v>
      </c>
      <c r="G487" s="3">
        <v>495621209</v>
      </c>
      <c r="H487" s="8" t="s">
        <v>1362</v>
      </c>
      <c r="I487" s="8" t="s">
        <v>1362</v>
      </c>
      <c r="J487" s="8"/>
      <c r="L487" s="37" t="s">
        <v>25</v>
      </c>
    </row>
    <row r="488" spans="1:12">
      <c r="A488" s="3">
        <v>9354</v>
      </c>
      <c r="B488" s="3" t="s">
        <v>1365</v>
      </c>
      <c r="C488" s="3" t="s">
        <v>1220</v>
      </c>
      <c r="D488" s="3" t="s">
        <v>19</v>
      </c>
      <c r="E488" s="3">
        <v>109582</v>
      </c>
      <c r="F488" s="3">
        <v>14299454174</v>
      </c>
      <c r="G488" s="3">
        <v>495621095</v>
      </c>
      <c r="H488" s="8" t="s">
        <v>1366</v>
      </c>
      <c r="I488" s="8" t="s">
        <v>1366</v>
      </c>
      <c r="J488" s="8"/>
      <c r="L488" s="37" t="s">
        <v>25</v>
      </c>
    </row>
    <row r="489" spans="1:12">
      <c r="A489" s="3">
        <v>9355</v>
      </c>
      <c r="B489" s="3" t="s">
        <v>1369</v>
      </c>
      <c r="C489" s="3" t="s">
        <v>1220</v>
      </c>
      <c r="D489" s="3" t="s">
        <v>19</v>
      </c>
      <c r="E489" s="3">
        <v>112287</v>
      </c>
      <c r="F489" s="3">
        <v>15984652109</v>
      </c>
      <c r="G489" s="3">
        <v>517699246</v>
      </c>
      <c r="H489" s="8" t="s">
        <v>1370</v>
      </c>
      <c r="I489" s="8" t="s">
        <v>1370</v>
      </c>
      <c r="J489" s="8"/>
      <c r="L489" s="37" t="s">
        <v>25</v>
      </c>
    </row>
    <row r="490" spans="1:12">
      <c r="A490" s="3">
        <v>9356</v>
      </c>
      <c r="B490" s="3" t="s">
        <v>1373</v>
      </c>
      <c r="C490" s="3" t="s">
        <v>1220</v>
      </c>
      <c r="D490" s="3" t="s">
        <v>19</v>
      </c>
      <c r="E490" s="3">
        <v>112334</v>
      </c>
      <c r="F490" s="3">
        <v>15987995174</v>
      </c>
      <c r="G490" s="3">
        <v>517699189</v>
      </c>
      <c r="H490" s="8" t="s">
        <v>1374</v>
      </c>
      <c r="I490" s="8" t="s">
        <v>1374</v>
      </c>
      <c r="J490" s="8"/>
      <c r="L490" s="37" t="s">
        <v>25</v>
      </c>
    </row>
    <row r="491" spans="1:12">
      <c r="A491" s="4">
        <v>9357</v>
      </c>
      <c r="C491" s="3" t="s">
        <v>1220</v>
      </c>
      <c r="H491" s="8"/>
      <c r="I491" s="8"/>
      <c r="J491" s="8"/>
    </row>
    <row r="492" spans="1:12">
      <c r="A492" s="3">
        <v>9358</v>
      </c>
      <c r="C492" s="3" t="s">
        <v>1220</v>
      </c>
      <c r="H492" s="8"/>
      <c r="I492" s="8"/>
      <c r="J492" s="8"/>
    </row>
    <row r="493" spans="1:12">
      <c r="A493" s="3">
        <v>9359</v>
      </c>
      <c r="C493" s="3" t="s">
        <v>1220</v>
      </c>
      <c r="H493" s="8"/>
      <c r="I493" s="8"/>
      <c r="J493" s="8"/>
    </row>
    <row r="494" spans="1:12">
      <c r="A494" s="3">
        <v>9360</v>
      </c>
      <c r="B494" s="3" t="s">
        <v>1377</v>
      </c>
      <c r="C494" s="3" t="s">
        <v>1220</v>
      </c>
      <c r="D494" s="3" t="s">
        <v>19</v>
      </c>
      <c r="E494" s="3">
        <v>109482</v>
      </c>
      <c r="F494" s="3">
        <v>14295539245</v>
      </c>
      <c r="G494" s="3">
        <v>495621096</v>
      </c>
      <c r="H494" s="8" t="s">
        <v>1378</v>
      </c>
      <c r="I494" s="8" t="s">
        <v>1378</v>
      </c>
      <c r="J494" s="8"/>
      <c r="L494" s="37" t="s">
        <v>25</v>
      </c>
    </row>
    <row r="495" spans="1:12">
      <c r="A495" s="4">
        <v>9361</v>
      </c>
      <c r="B495" s="3" t="s">
        <v>1381</v>
      </c>
      <c r="C495" s="3" t="s">
        <v>1220</v>
      </c>
      <c r="D495" s="3" t="s">
        <v>19</v>
      </c>
      <c r="E495" s="3">
        <v>109477</v>
      </c>
      <c r="F495" s="3">
        <v>14295529893</v>
      </c>
      <c r="G495" s="3">
        <v>495621178</v>
      </c>
      <c r="H495" s="8" t="s">
        <v>1382</v>
      </c>
      <c r="I495" s="8" t="s">
        <v>1382</v>
      </c>
      <c r="J495" s="8"/>
      <c r="L495" s="37" t="s">
        <v>25</v>
      </c>
    </row>
    <row r="496" spans="1:12">
      <c r="A496" s="3">
        <v>9362</v>
      </c>
      <c r="B496" s="3" t="s">
        <v>1385</v>
      </c>
      <c r="C496" s="3" t="s">
        <v>1220</v>
      </c>
      <c r="D496" s="3" t="s">
        <v>19</v>
      </c>
      <c r="E496" s="3">
        <v>109592</v>
      </c>
      <c r="F496" s="3">
        <v>14299667371</v>
      </c>
      <c r="G496" s="3">
        <v>495621114</v>
      </c>
      <c r="H496" s="8" t="s">
        <v>1386</v>
      </c>
      <c r="I496" s="8" t="s">
        <v>1386</v>
      </c>
      <c r="J496" s="8"/>
      <c r="L496" s="37" t="s">
        <v>25</v>
      </c>
    </row>
    <row r="497" spans="1:12">
      <c r="A497" s="3">
        <v>9363</v>
      </c>
      <c r="B497" s="3" t="s">
        <v>1389</v>
      </c>
      <c r="C497" s="3" t="s">
        <v>1220</v>
      </c>
      <c r="D497" s="3" t="s">
        <v>19</v>
      </c>
      <c r="E497" s="3">
        <v>112408</v>
      </c>
      <c r="F497" s="3">
        <v>16003772525</v>
      </c>
      <c r="G497" s="3">
        <v>517938950</v>
      </c>
      <c r="H497" s="8" t="s">
        <v>1390</v>
      </c>
      <c r="I497" s="8" t="s">
        <v>1390</v>
      </c>
      <c r="J497" s="8"/>
      <c r="L497" s="37" t="s">
        <v>25</v>
      </c>
    </row>
    <row r="498" spans="1:12">
      <c r="A498" s="3">
        <v>9364</v>
      </c>
      <c r="B498" s="3" t="s">
        <v>820</v>
      </c>
      <c r="C498" s="3" t="s">
        <v>1220</v>
      </c>
      <c r="D498" s="3" t="s">
        <v>19</v>
      </c>
      <c r="E498" s="3">
        <v>112293</v>
      </c>
      <c r="F498" s="3">
        <v>15984661496</v>
      </c>
      <c r="G498" s="3">
        <v>517699232</v>
      </c>
      <c r="H498" s="8" t="s">
        <v>1393</v>
      </c>
      <c r="I498" s="8" t="s">
        <v>1393</v>
      </c>
      <c r="J498" s="8"/>
      <c r="L498" s="37" t="s">
        <v>25</v>
      </c>
    </row>
    <row r="499" spans="1:12">
      <c r="A499" s="4">
        <v>9365</v>
      </c>
      <c r="B499" s="3" t="s">
        <v>1396</v>
      </c>
      <c r="C499" s="3" t="s">
        <v>1220</v>
      </c>
      <c r="D499" s="3" t="s">
        <v>19</v>
      </c>
      <c r="E499" s="3">
        <v>109676</v>
      </c>
      <c r="F499" s="3">
        <v>14507321276</v>
      </c>
      <c r="G499" s="3">
        <v>498373750</v>
      </c>
      <c r="H499" s="8" t="s">
        <v>1397</v>
      </c>
      <c r="I499" s="8" t="s">
        <v>1397</v>
      </c>
      <c r="J499" s="8"/>
      <c r="L499" s="37" t="s">
        <v>25</v>
      </c>
    </row>
    <row r="500" spans="1:12">
      <c r="A500" s="3">
        <v>9366</v>
      </c>
      <c r="C500" s="3" t="s">
        <v>1220</v>
      </c>
      <c r="H500" s="8"/>
      <c r="I500" s="8"/>
      <c r="J500" s="8"/>
    </row>
    <row r="501" spans="1:12">
      <c r="A501" s="3">
        <v>9367</v>
      </c>
      <c r="C501" s="3" t="s">
        <v>1220</v>
      </c>
      <c r="H501" s="8"/>
      <c r="I501" s="8"/>
      <c r="J501" s="8"/>
    </row>
    <row r="502" spans="1:12">
      <c r="A502" s="3">
        <v>9368</v>
      </c>
      <c r="B502" s="3" t="s">
        <v>1400</v>
      </c>
      <c r="C502" s="3" t="s">
        <v>1220</v>
      </c>
      <c r="D502" s="3" t="s">
        <v>19</v>
      </c>
      <c r="E502" s="3">
        <v>109533</v>
      </c>
      <c r="F502" s="3">
        <v>14295610737</v>
      </c>
      <c r="G502" s="3">
        <v>495621252</v>
      </c>
      <c r="H502" s="8" t="s">
        <v>1401</v>
      </c>
      <c r="I502" s="8" t="s">
        <v>1401</v>
      </c>
      <c r="J502" s="8"/>
      <c r="L502" s="37" t="s">
        <v>25</v>
      </c>
    </row>
    <row r="503" spans="1:12">
      <c r="A503" s="4">
        <v>9369</v>
      </c>
      <c r="B503" s="3" t="s">
        <v>1404</v>
      </c>
      <c r="C503" s="3" t="s">
        <v>1220</v>
      </c>
      <c r="D503" s="3" t="s">
        <v>19</v>
      </c>
      <c r="E503" s="3">
        <v>109522</v>
      </c>
      <c r="F503" s="3">
        <v>14295603740</v>
      </c>
      <c r="G503" s="3">
        <v>495621152</v>
      </c>
      <c r="H503" s="8" t="s">
        <v>1405</v>
      </c>
      <c r="I503" s="8" t="s">
        <v>1405</v>
      </c>
      <c r="J503" s="8"/>
      <c r="L503" s="37" t="s">
        <v>25</v>
      </c>
    </row>
    <row r="504" spans="1:12">
      <c r="A504" s="3">
        <v>9370</v>
      </c>
      <c r="B504" s="3" t="s">
        <v>1408</v>
      </c>
      <c r="C504" s="3" t="s">
        <v>1220</v>
      </c>
      <c r="D504" s="3" t="s">
        <v>19</v>
      </c>
      <c r="E504" s="3">
        <v>109480</v>
      </c>
      <c r="F504" s="3">
        <v>14295535825</v>
      </c>
      <c r="G504" s="3">
        <v>495621171</v>
      </c>
      <c r="H504" s="8" t="s">
        <v>1409</v>
      </c>
      <c r="I504" s="8" t="s">
        <v>1409</v>
      </c>
      <c r="J504" s="8"/>
      <c r="L504" s="37" t="s">
        <v>25</v>
      </c>
    </row>
    <row r="505" spans="1:12">
      <c r="A505" s="3">
        <v>9371</v>
      </c>
      <c r="B505" s="3" t="s">
        <v>1412</v>
      </c>
      <c r="C505" s="3" t="s">
        <v>1220</v>
      </c>
      <c r="D505" s="3" t="s">
        <v>19</v>
      </c>
      <c r="E505" s="3">
        <v>112218</v>
      </c>
      <c r="F505" s="3">
        <v>15979422857</v>
      </c>
      <c r="G505" s="3">
        <v>517637340</v>
      </c>
      <c r="H505" s="8" t="s">
        <v>1413</v>
      </c>
      <c r="I505" s="8" t="s">
        <v>1413</v>
      </c>
      <c r="J505" s="8"/>
      <c r="L505" s="37" t="s">
        <v>25</v>
      </c>
    </row>
    <row r="506" spans="1:12">
      <c r="A506" s="3">
        <v>9372</v>
      </c>
      <c r="C506" s="3" t="s">
        <v>1220</v>
      </c>
      <c r="H506" s="8"/>
      <c r="I506" s="8"/>
      <c r="J506" s="8"/>
    </row>
    <row r="507" spans="1:12">
      <c r="A507" s="4">
        <v>9373</v>
      </c>
      <c r="C507" s="3" t="s">
        <v>1220</v>
      </c>
      <c r="H507" s="8"/>
      <c r="I507" s="8"/>
      <c r="J507" s="8"/>
    </row>
    <row r="508" spans="1:12">
      <c r="A508" s="3">
        <v>9374</v>
      </c>
      <c r="B508" s="3" t="s">
        <v>1416</v>
      </c>
      <c r="C508" s="3" t="s">
        <v>1220</v>
      </c>
      <c r="D508" s="3" t="s">
        <v>19</v>
      </c>
      <c r="E508" s="3">
        <v>112175</v>
      </c>
      <c r="F508" s="3">
        <v>15974349584</v>
      </c>
      <c r="G508" s="3">
        <v>517571283</v>
      </c>
      <c r="H508" s="8" t="s">
        <v>1417</v>
      </c>
      <c r="I508" s="8" t="s">
        <v>1417</v>
      </c>
      <c r="J508" s="8"/>
      <c r="L508" s="37" t="s">
        <v>25</v>
      </c>
    </row>
    <row r="509" spans="1:12">
      <c r="A509" s="3">
        <v>9375</v>
      </c>
      <c r="B509" s="3" t="s">
        <v>1420</v>
      </c>
      <c r="C509" s="3" t="s">
        <v>1220</v>
      </c>
      <c r="D509" s="3" t="s">
        <v>19</v>
      </c>
      <c r="E509" s="3">
        <v>109539</v>
      </c>
      <c r="F509" s="3">
        <v>14295635311</v>
      </c>
      <c r="G509" s="3">
        <v>495621221</v>
      </c>
      <c r="H509" s="8" t="s">
        <v>1421</v>
      </c>
      <c r="I509" s="8" t="s">
        <v>1421</v>
      </c>
      <c r="J509" s="8"/>
      <c r="L509" s="37" t="s">
        <v>25</v>
      </c>
    </row>
    <row r="510" spans="1:12">
      <c r="A510" s="3">
        <v>9376</v>
      </c>
      <c r="B510" s="3" t="s">
        <v>1424</v>
      </c>
      <c r="C510" s="3" t="s">
        <v>1220</v>
      </c>
      <c r="D510" s="3" t="s">
        <v>19</v>
      </c>
      <c r="E510" s="3">
        <v>112442</v>
      </c>
      <c r="F510" s="3">
        <v>16008725348</v>
      </c>
      <c r="G510" s="3">
        <v>517999848</v>
      </c>
      <c r="H510" s="8" t="s">
        <v>1425</v>
      </c>
      <c r="I510" s="8" t="s">
        <v>1425</v>
      </c>
      <c r="J510" s="8"/>
      <c r="L510" s="37" t="s">
        <v>25</v>
      </c>
    </row>
    <row r="511" spans="1:12">
      <c r="A511" s="4">
        <v>9377</v>
      </c>
      <c r="B511" s="3" t="s">
        <v>1428</v>
      </c>
      <c r="C511" s="3" t="s">
        <v>1220</v>
      </c>
      <c r="D511" s="3" t="s">
        <v>19</v>
      </c>
      <c r="E511" s="3">
        <v>112413</v>
      </c>
      <c r="F511" s="3">
        <v>16004000999</v>
      </c>
      <c r="G511" s="3">
        <v>517938466</v>
      </c>
      <c r="H511" s="8" t="s">
        <v>1429</v>
      </c>
      <c r="I511" s="8" t="s">
        <v>1429</v>
      </c>
      <c r="J511" s="8"/>
      <c r="L511" s="37" t="s">
        <v>25</v>
      </c>
    </row>
    <row r="512" spans="1:12">
      <c r="A512" s="3">
        <v>9378</v>
      </c>
      <c r="B512" s="3" t="s">
        <v>1432</v>
      </c>
      <c r="C512" s="3" t="s">
        <v>1220</v>
      </c>
      <c r="D512" s="3" t="s">
        <v>19</v>
      </c>
      <c r="E512" s="3">
        <v>112200</v>
      </c>
      <c r="F512" s="3">
        <v>15979326199</v>
      </c>
      <c r="G512" s="3">
        <v>517637396</v>
      </c>
      <c r="H512" s="8" t="s">
        <v>1433</v>
      </c>
      <c r="I512" s="8" t="s">
        <v>1433</v>
      </c>
      <c r="J512" s="8"/>
      <c r="L512" s="37" t="s">
        <v>25</v>
      </c>
    </row>
    <row r="513" spans="1:12">
      <c r="A513" s="3">
        <v>9379</v>
      </c>
      <c r="B513" s="3" t="s">
        <v>1436</v>
      </c>
      <c r="C513" s="3" t="s">
        <v>1220</v>
      </c>
      <c r="D513" s="3" t="s">
        <v>19</v>
      </c>
      <c r="E513" s="3">
        <v>112207</v>
      </c>
      <c r="F513" s="3">
        <v>15979334764</v>
      </c>
      <c r="G513" s="3">
        <v>517637417</v>
      </c>
      <c r="H513" s="8" t="s">
        <v>1437</v>
      </c>
      <c r="I513" s="8" t="s">
        <v>1437</v>
      </c>
      <c r="J513" s="8"/>
      <c r="L513" s="37" t="s">
        <v>25</v>
      </c>
    </row>
    <row r="514" spans="1:12">
      <c r="A514" s="3">
        <v>9380</v>
      </c>
      <c r="B514" s="3" t="s">
        <v>1440</v>
      </c>
      <c r="C514" s="3" t="s">
        <v>1220</v>
      </c>
      <c r="D514" s="3" t="s">
        <v>19</v>
      </c>
      <c r="E514" s="3">
        <v>112199</v>
      </c>
      <c r="F514" s="3">
        <v>15979324455</v>
      </c>
      <c r="G514" s="3">
        <v>517637343</v>
      </c>
      <c r="H514" s="8" t="s">
        <v>1441</v>
      </c>
      <c r="I514" s="8" t="s">
        <v>1441</v>
      </c>
      <c r="J514" s="8"/>
      <c r="L514" s="37" t="s">
        <v>25</v>
      </c>
    </row>
    <row r="515" spans="1:12">
      <c r="A515" s="4">
        <v>9381</v>
      </c>
      <c r="B515" s="3" t="s">
        <v>1444</v>
      </c>
      <c r="C515" s="3" t="s">
        <v>1220</v>
      </c>
      <c r="D515" s="3" t="s">
        <v>19</v>
      </c>
      <c r="E515" s="3">
        <v>112411</v>
      </c>
      <c r="F515" s="3">
        <v>16003807673</v>
      </c>
      <c r="G515" s="3">
        <v>517938465</v>
      </c>
      <c r="H515" s="8" t="s">
        <v>1445</v>
      </c>
      <c r="I515" s="8" t="s">
        <v>1445</v>
      </c>
      <c r="J515" s="8"/>
      <c r="L515" s="37" t="s">
        <v>25</v>
      </c>
    </row>
    <row r="516" spans="1:12">
      <c r="A516" s="3">
        <v>9382</v>
      </c>
      <c r="B516" s="3" t="s">
        <v>1448</v>
      </c>
      <c r="C516" s="3" t="s">
        <v>1220</v>
      </c>
      <c r="D516" s="3" t="s">
        <v>19</v>
      </c>
      <c r="E516" s="3">
        <v>112441</v>
      </c>
      <c r="F516" s="3">
        <v>16008715386</v>
      </c>
      <c r="G516" s="3">
        <v>517999866</v>
      </c>
      <c r="H516" s="8" t="s">
        <v>1449</v>
      </c>
      <c r="I516" s="8" t="s">
        <v>1449</v>
      </c>
      <c r="J516" s="8"/>
      <c r="L516" s="37" t="s">
        <v>25</v>
      </c>
    </row>
    <row r="517" spans="1:12">
      <c r="A517" s="3">
        <v>9383</v>
      </c>
      <c r="B517" s="3" t="s">
        <v>1452</v>
      </c>
      <c r="C517" s="3" t="s">
        <v>1220</v>
      </c>
      <c r="D517" s="3" t="s">
        <v>19</v>
      </c>
      <c r="E517" s="3">
        <v>112208</v>
      </c>
      <c r="F517" s="3">
        <v>15979347462</v>
      </c>
      <c r="G517" s="3">
        <v>517638269</v>
      </c>
      <c r="H517" s="8" t="s">
        <v>1453</v>
      </c>
      <c r="I517" s="8" t="s">
        <v>1453</v>
      </c>
      <c r="J517" s="8"/>
      <c r="L517" s="37" t="s">
        <v>25</v>
      </c>
    </row>
    <row r="518" spans="1:12">
      <c r="A518" s="3">
        <v>9384</v>
      </c>
      <c r="B518" s="3" t="s">
        <v>1456</v>
      </c>
      <c r="C518" s="3" t="s">
        <v>1220</v>
      </c>
      <c r="D518" s="3" t="s">
        <v>19</v>
      </c>
      <c r="E518" s="3">
        <v>112445</v>
      </c>
      <c r="F518" s="3">
        <v>16008725351</v>
      </c>
      <c r="G518" s="3">
        <v>517999882</v>
      </c>
      <c r="H518" s="8" t="s">
        <v>1457</v>
      </c>
      <c r="I518" s="8" t="s">
        <v>1457</v>
      </c>
      <c r="J518" s="8"/>
      <c r="L518" s="37" t="s">
        <v>25</v>
      </c>
    </row>
    <row r="519" spans="1:12">
      <c r="A519" s="4">
        <v>9385</v>
      </c>
      <c r="B519" s="3" t="s">
        <v>1460</v>
      </c>
      <c r="C519" s="3" t="s">
        <v>1220</v>
      </c>
      <c r="D519" s="3" t="s">
        <v>19</v>
      </c>
      <c r="E519" s="3">
        <v>112151</v>
      </c>
      <c r="F519" s="3">
        <v>15973056208</v>
      </c>
      <c r="G519" s="3">
        <v>517571302</v>
      </c>
      <c r="H519" s="8" t="s">
        <v>1461</v>
      </c>
      <c r="I519" s="8" t="s">
        <v>1461</v>
      </c>
      <c r="J519" s="8"/>
      <c r="L519" s="37" t="s">
        <v>25</v>
      </c>
    </row>
    <row r="520" spans="1:12">
      <c r="A520" s="3">
        <v>9386</v>
      </c>
      <c r="B520" s="3" t="s">
        <v>1464</v>
      </c>
      <c r="C520" s="3" t="s">
        <v>1220</v>
      </c>
      <c r="D520" s="3" t="s">
        <v>19</v>
      </c>
      <c r="E520" s="3">
        <v>112174</v>
      </c>
      <c r="F520" s="3">
        <v>15974349583</v>
      </c>
      <c r="G520" s="3">
        <v>517571289</v>
      </c>
      <c r="H520" s="8" t="s">
        <v>1465</v>
      </c>
      <c r="I520" s="8" t="s">
        <v>1465</v>
      </c>
      <c r="J520" s="8"/>
      <c r="L520" s="37" t="s">
        <v>25</v>
      </c>
    </row>
    <row r="521" spans="1:12">
      <c r="A521" s="3">
        <v>9387</v>
      </c>
      <c r="C521" s="3" t="s">
        <v>1220</v>
      </c>
      <c r="H521" s="8"/>
      <c r="I521" s="8"/>
      <c r="J521" s="8"/>
    </row>
    <row r="522" spans="1:12">
      <c r="A522" s="3">
        <v>9388</v>
      </c>
      <c r="C522" s="3" t="s">
        <v>1220</v>
      </c>
      <c r="H522" s="8"/>
      <c r="I522" s="8"/>
      <c r="J522" s="8"/>
    </row>
    <row r="523" spans="1:12">
      <c r="A523" s="4">
        <v>9389</v>
      </c>
      <c r="B523" s="3" t="s">
        <v>1468</v>
      </c>
      <c r="C523" s="3" t="s">
        <v>1220</v>
      </c>
      <c r="D523" s="3" t="s">
        <v>19</v>
      </c>
      <c r="E523" s="3">
        <v>112165</v>
      </c>
      <c r="F523" s="3">
        <v>15974340092</v>
      </c>
      <c r="G523" s="3">
        <v>517571287</v>
      </c>
      <c r="H523" s="8" t="s">
        <v>1469</v>
      </c>
      <c r="I523" s="8" t="s">
        <v>1469</v>
      </c>
      <c r="J523" s="8"/>
      <c r="L523" s="37" t="s">
        <v>25</v>
      </c>
    </row>
    <row r="524" spans="1:12">
      <c r="A524" s="3">
        <v>9390</v>
      </c>
      <c r="B524" s="3" t="s">
        <v>1472</v>
      </c>
      <c r="C524" s="3" t="s">
        <v>1220</v>
      </c>
      <c r="D524" s="3" t="s">
        <v>19</v>
      </c>
      <c r="E524" s="3">
        <v>112169</v>
      </c>
      <c r="F524" s="3">
        <v>15974341209</v>
      </c>
      <c r="G524" s="3">
        <v>517571281</v>
      </c>
      <c r="H524" s="8" t="s">
        <v>1473</v>
      </c>
      <c r="I524" s="8" t="s">
        <v>1473</v>
      </c>
      <c r="J524" s="8"/>
      <c r="L524" s="37" t="s">
        <v>25</v>
      </c>
    </row>
    <row r="525" spans="1:12">
      <c r="A525" s="3">
        <v>9391</v>
      </c>
      <c r="B525" s="3" t="s">
        <v>1476</v>
      </c>
      <c r="C525" s="3" t="s">
        <v>1220</v>
      </c>
      <c r="D525" s="3" t="s">
        <v>19</v>
      </c>
      <c r="E525" s="3">
        <v>112173</v>
      </c>
      <c r="F525" s="3">
        <v>15974346092</v>
      </c>
      <c r="G525" s="3">
        <v>517571280</v>
      </c>
      <c r="H525" s="8" t="s">
        <v>1477</v>
      </c>
      <c r="I525" s="8" t="s">
        <v>1477</v>
      </c>
      <c r="J525" s="8"/>
      <c r="L525" s="37" t="s">
        <v>25</v>
      </c>
    </row>
    <row r="526" spans="1:12">
      <c r="A526" s="3">
        <v>9392</v>
      </c>
      <c r="C526" s="3" t="s">
        <v>1220</v>
      </c>
      <c r="H526" s="8"/>
      <c r="I526" s="8"/>
      <c r="J526" s="8"/>
    </row>
    <row r="527" spans="1:12">
      <c r="A527" s="4">
        <v>9393</v>
      </c>
      <c r="C527" s="3" t="s">
        <v>1220</v>
      </c>
      <c r="H527" s="8"/>
      <c r="I527" s="8"/>
      <c r="J527" s="8"/>
    </row>
    <row r="528" spans="1:12">
      <c r="A528" s="3">
        <v>9394</v>
      </c>
      <c r="B528" s="3" t="s">
        <v>1480</v>
      </c>
      <c r="C528" s="3" t="s">
        <v>1220</v>
      </c>
      <c r="D528" s="3" t="s">
        <v>19</v>
      </c>
      <c r="E528" s="3">
        <v>108209</v>
      </c>
      <c r="F528" s="3">
        <v>13409964981</v>
      </c>
      <c r="G528" s="3">
        <v>483305703</v>
      </c>
      <c r="H528" s="8" t="s">
        <v>1481</v>
      </c>
      <c r="I528" s="8" t="s">
        <v>1481</v>
      </c>
      <c r="J528" s="8"/>
      <c r="L528" s="37" t="s">
        <v>25</v>
      </c>
    </row>
    <row r="529" spans="1:12">
      <c r="A529" s="3">
        <v>9395</v>
      </c>
      <c r="B529" s="3" t="s">
        <v>1484</v>
      </c>
      <c r="C529" s="3" t="s">
        <v>1220</v>
      </c>
      <c r="D529" s="3" t="s">
        <v>19</v>
      </c>
      <c r="E529" s="3">
        <v>112467</v>
      </c>
      <c r="F529" s="3">
        <v>16008804463</v>
      </c>
      <c r="G529" s="3">
        <v>517999858</v>
      </c>
      <c r="H529" s="8" t="s">
        <v>1485</v>
      </c>
      <c r="I529" s="8" t="s">
        <v>1485</v>
      </c>
      <c r="J529" s="8"/>
      <c r="L529" s="37" t="s">
        <v>25</v>
      </c>
    </row>
    <row r="530" spans="1:12">
      <c r="A530" s="3">
        <v>9396</v>
      </c>
      <c r="B530" s="3" t="s">
        <v>1488</v>
      </c>
      <c r="C530" s="3" t="s">
        <v>1220</v>
      </c>
      <c r="D530" s="3" t="s">
        <v>19</v>
      </c>
      <c r="E530" s="3">
        <v>112205</v>
      </c>
      <c r="F530" s="3">
        <v>15979331354</v>
      </c>
      <c r="G530" s="3">
        <v>517637410</v>
      </c>
      <c r="H530" s="8" t="s">
        <v>1489</v>
      </c>
      <c r="I530" s="8" t="s">
        <v>1489</v>
      </c>
      <c r="J530" s="8"/>
      <c r="L530" s="37" t="s">
        <v>25</v>
      </c>
    </row>
    <row r="531" spans="1:12">
      <c r="A531" s="4">
        <v>9397</v>
      </c>
      <c r="B531" s="3" t="s">
        <v>1492</v>
      </c>
      <c r="C531" s="3" t="s">
        <v>1220</v>
      </c>
      <c r="D531" s="3" t="s">
        <v>19</v>
      </c>
      <c r="E531" s="3">
        <v>112201</v>
      </c>
      <c r="F531" s="3">
        <v>15979327552</v>
      </c>
      <c r="G531" s="3">
        <v>517637398</v>
      </c>
      <c r="H531" s="8" t="s">
        <v>1493</v>
      </c>
      <c r="I531" s="8" t="s">
        <v>1493</v>
      </c>
      <c r="J531" s="8"/>
      <c r="L531" s="37" t="s">
        <v>25</v>
      </c>
    </row>
    <row r="532" spans="1:12">
      <c r="A532" s="3">
        <v>9398</v>
      </c>
      <c r="B532" s="3" t="s">
        <v>1496</v>
      </c>
      <c r="C532" s="3" t="s">
        <v>1220</v>
      </c>
      <c r="D532" s="3" t="s">
        <v>19</v>
      </c>
      <c r="E532" s="3">
        <v>112190</v>
      </c>
      <c r="F532" s="3">
        <v>15979309288</v>
      </c>
      <c r="G532" s="3">
        <v>517638270</v>
      </c>
      <c r="H532" s="8" t="s">
        <v>1497</v>
      </c>
      <c r="I532" s="8" t="s">
        <v>1497</v>
      </c>
      <c r="J532" s="8"/>
      <c r="L532" s="37" t="s">
        <v>25</v>
      </c>
    </row>
    <row r="533" spans="1:12">
      <c r="A533" s="3">
        <v>9399</v>
      </c>
      <c r="B533" s="3" t="s">
        <v>1500</v>
      </c>
      <c r="C533" s="3" t="s">
        <v>1220</v>
      </c>
      <c r="D533" s="3" t="s">
        <v>19</v>
      </c>
      <c r="E533" s="3">
        <v>110053</v>
      </c>
      <c r="F533" s="3">
        <v>14742696104</v>
      </c>
      <c r="G533" s="3">
        <v>501459314</v>
      </c>
      <c r="H533" s="8" t="s">
        <v>1501</v>
      </c>
      <c r="I533" s="8" t="s">
        <v>1501</v>
      </c>
      <c r="J533" s="8"/>
      <c r="L533" s="37" t="s">
        <v>25</v>
      </c>
    </row>
    <row r="534" spans="1:12">
      <c r="A534" s="3">
        <v>9400</v>
      </c>
      <c r="C534" s="3" t="s">
        <v>1220</v>
      </c>
      <c r="H534" s="8"/>
      <c r="I534" s="8"/>
      <c r="J534" s="8"/>
    </row>
    <row r="535" spans="1:12">
      <c r="A535" s="4">
        <v>9401</v>
      </c>
      <c r="C535" s="3" t="s">
        <v>1220</v>
      </c>
      <c r="H535" s="8"/>
      <c r="I535" s="8"/>
      <c r="J535" s="8"/>
    </row>
    <row r="536" spans="1:12">
      <c r="A536" s="4">
        <v>9402</v>
      </c>
      <c r="B536" s="3" t="s">
        <v>1504</v>
      </c>
      <c r="C536" s="3" t="s">
        <v>1220</v>
      </c>
      <c r="D536" s="3" t="s">
        <v>19</v>
      </c>
      <c r="E536" s="3">
        <v>112416</v>
      </c>
      <c r="F536" s="3">
        <v>16004009511</v>
      </c>
      <c r="G536" s="3">
        <v>517938948</v>
      </c>
      <c r="H536" s="8" t="s">
        <v>1505</v>
      </c>
      <c r="I536" s="8" t="s">
        <v>1505</v>
      </c>
      <c r="J536" s="8"/>
      <c r="L536" s="37" t="s">
        <v>25</v>
      </c>
    </row>
    <row r="537" spans="1:12">
      <c r="A537" s="3">
        <v>9403</v>
      </c>
      <c r="B537" s="3" t="s">
        <v>1508</v>
      </c>
      <c r="C537" s="3" t="s">
        <v>1220</v>
      </c>
      <c r="D537" s="3" t="s">
        <v>19</v>
      </c>
      <c r="E537" s="3">
        <v>109460</v>
      </c>
      <c r="F537" s="3">
        <v>14295502213</v>
      </c>
      <c r="G537" s="3">
        <v>495621157</v>
      </c>
      <c r="H537" s="8" t="s">
        <v>1509</v>
      </c>
      <c r="I537" s="8" t="s">
        <v>1509</v>
      </c>
      <c r="J537" s="8"/>
      <c r="L537" s="37" t="s">
        <v>25</v>
      </c>
    </row>
    <row r="538" spans="1:12">
      <c r="A538" s="3">
        <v>9404</v>
      </c>
      <c r="B538" s="3" t="s">
        <v>1512</v>
      </c>
      <c r="C538" s="3" t="s">
        <v>1220</v>
      </c>
      <c r="D538" s="3" t="s">
        <v>19</v>
      </c>
      <c r="E538" s="3">
        <v>109514</v>
      </c>
      <c r="F538" s="3">
        <v>14295566308</v>
      </c>
      <c r="G538" s="3">
        <v>495621084</v>
      </c>
      <c r="H538" s="8" t="s">
        <v>1513</v>
      </c>
      <c r="I538" s="8" t="s">
        <v>1513</v>
      </c>
      <c r="J538" s="8"/>
      <c r="L538" s="37" t="s">
        <v>25</v>
      </c>
    </row>
    <row r="539" spans="1:12">
      <c r="A539" s="3">
        <v>9405</v>
      </c>
      <c r="C539" s="3" t="s">
        <v>1220</v>
      </c>
      <c r="D539" s="3" t="s">
        <v>19</v>
      </c>
      <c r="H539" s="8"/>
      <c r="I539" s="8"/>
      <c r="J539" s="8"/>
    </row>
    <row r="540" spans="1:12">
      <c r="A540" s="4">
        <v>9406</v>
      </c>
      <c r="B540" s="3" t="s">
        <v>1516</v>
      </c>
      <c r="C540" s="3" t="s">
        <v>1220</v>
      </c>
      <c r="D540" s="3" t="s">
        <v>19</v>
      </c>
      <c r="E540" s="3">
        <v>109544</v>
      </c>
      <c r="F540" s="3">
        <v>14295674927</v>
      </c>
      <c r="G540" s="3">
        <v>495621059</v>
      </c>
      <c r="H540" s="8" t="s">
        <v>1517</v>
      </c>
      <c r="I540" s="8" t="s">
        <v>1517</v>
      </c>
      <c r="J540" s="8"/>
      <c r="L540" s="37" t="s">
        <v>25</v>
      </c>
    </row>
    <row r="541" spans="1:12">
      <c r="A541" s="3">
        <v>9407</v>
      </c>
      <c r="B541" s="3" t="s">
        <v>1520</v>
      </c>
      <c r="C541" s="3" t="s">
        <v>1220</v>
      </c>
      <c r="D541" s="3" t="s">
        <v>19</v>
      </c>
      <c r="E541" s="3">
        <v>112368</v>
      </c>
      <c r="F541" s="3">
        <v>15998809021</v>
      </c>
      <c r="G541" s="3">
        <v>517878574</v>
      </c>
      <c r="H541" s="8" t="s">
        <v>1521</v>
      </c>
      <c r="I541" s="8" t="s">
        <v>1521</v>
      </c>
      <c r="J541" s="8"/>
      <c r="L541" s="37" t="s">
        <v>25</v>
      </c>
    </row>
    <row r="542" spans="1:12">
      <c r="A542" s="3">
        <v>9408</v>
      </c>
      <c r="B542" s="3" t="s">
        <v>1524</v>
      </c>
      <c r="C542" s="3" t="s">
        <v>1220</v>
      </c>
      <c r="D542" s="3" t="s">
        <v>19</v>
      </c>
      <c r="E542" s="3">
        <v>112367</v>
      </c>
      <c r="F542" s="3">
        <v>15998709759</v>
      </c>
      <c r="G542" s="3">
        <v>517878620</v>
      </c>
      <c r="H542" s="8" t="s">
        <v>1525</v>
      </c>
      <c r="I542" s="8" t="s">
        <v>1525</v>
      </c>
      <c r="J542" s="8"/>
      <c r="L542" s="37" t="s">
        <v>25</v>
      </c>
    </row>
    <row r="543" spans="1:12">
      <c r="A543" s="3">
        <v>9409</v>
      </c>
      <c r="B543" s="3" t="s">
        <v>1528</v>
      </c>
      <c r="C543" s="3" t="s">
        <v>1220</v>
      </c>
      <c r="D543" s="3" t="s">
        <v>19</v>
      </c>
      <c r="E543" s="3">
        <v>109445</v>
      </c>
      <c r="F543" s="3">
        <v>14295410180</v>
      </c>
      <c r="G543" s="3">
        <v>495621135</v>
      </c>
      <c r="H543" s="8" t="s">
        <v>1529</v>
      </c>
      <c r="I543" s="8" t="s">
        <v>1529</v>
      </c>
      <c r="J543" s="8"/>
      <c r="L543" s="37" t="s">
        <v>25</v>
      </c>
    </row>
    <row r="544" spans="1:12">
      <c r="A544" s="4">
        <v>9410</v>
      </c>
      <c r="B544" s="3" t="s">
        <v>1532</v>
      </c>
      <c r="C544" s="3" t="s">
        <v>1220</v>
      </c>
      <c r="D544" s="3" t="s">
        <v>19</v>
      </c>
      <c r="E544" s="3">
        <v>95945</v>
      </c>
      <c r="F544" s="3">
        <v>8011826044</v>
      </c>
      <c r="G544" s="3">
        <v>495621150</v>
      </c>
      <c r="H544" s="8" t="s">
        <v>1533</v>
      </c>
      <c r="I544" s="8" t="s">
        <v>1533</v>
      </c>
      <c r="J544" s="8"/>
      <c r="L544" s="37" t="s">
        <v>25</v>
      </c>
    </row>
    <row r="545" spans="1:12">
      <c r="A545" s="3">
        <v>9411</v>
      </c>
      <c r="C545" s="3" t="s">
        <v>1220</v>
      </c>
      <c r="H545" s="8"/>
      <c r="I545" s="8"/>
      <c r="J545" s="8"/>
    </row>
    <row r="546" spans="1:12">
      <c r="A546" s="3">
        <v>9412</v>
      </c>
      <c r="C546" s="3" t="s">
        <v>1220</v>
      </c>
      <c r="H546" s="8"/>
      <c r="I546" s="8"/>
      <c r="J546" s="8"/>
    </row>
    <row r="547" spans="1:12">
      <c r="A547" s="3">
        <v>9413</v>
      </c>
      <c r="B547" s="3" t="s">
        <v>1536</v>
      </c>
      <c r="C547" s="3" t="s">
        <v>1220</v>
      </c>
      <c r="D547" s="3" t="s">
        <v>19</v>
      </c>
      <c r="E547" s="3">
        <v>112058</v>
      </c>
      <c r="F547" s="3">
        <v>15876568956</v>
      </c>
      <c r="G547" s="3">
        <v>516172489</v>
      </c>
      <c r="H547" s="8" t="s">
        <v>1537</v>
      </c>
      <c r="I547" s="8" t="s">
        <v>1537</v>
      </c>
      <c r="J547" s="8"/>
      <c r="L547" s="37" t="s">
        <v>25</v>
      </c>
    </row>
    <row r="548" spans="1:12">
      <c r="A548" s="4">
        <v>9414</v>
      </c>
      <c r="B548" s="3" t="s">
        <v>1540</v>
      </c>
      <c r="C548" s="3" t="s">
        <v>1220</v>
      </c>
      <c r="D548" s="3" t="s">
        <v>19</v>
      </c>
      <c r="E548" s="3">
        <v>110072</v>
      </c>
      <c r="F548" s="3">
        <v>14742749551</v>
      </c>
      <c r="G548" s="3">
        <v>501459334</v>
      </c>
      <c r="H548" s="8" t="s">
        <v>1541</v>
      </c>
      <c r="I548" s="8" t="s">
        <v>1541</v>
      </c>
      <c r="J548" s="8"/>
      <c r="L548" s="37" t="s">
        <v>25</v>
      </c>
    </row>
    <row r="549" spans="1:12">
      <c r="A549" s="3">
        <v>9415</v>
      </c>
      <c r="B549" s="3" t="s">
        <v>1544</v>
      </c>
      <c r="C549" s="3" t="s">
        <v>1220</v>
      </c>
      <c r="D549" s="3" t="s">
        <v>19</v>
      </c>
      <c r="E549" s="3">
        <v>109485</v>
      </c>
      <c r="F549" s="3">
        <v>14295541152</v>
      </c>
      <c r="G549" s="3">
        <v>495621188</v>
      </c>
      <c r="H549" s="8" t="s">
        <v>1545</v>
      </c>
      <c r="I549" s="8" t="s">
        <v>1545</v>
      </c>
      <c r="J549" s="8"/>
      <c r="L549" s="37" t="s">
        <v>25</v>
      </c>
    </row>
    <row r="550" spans="1:12">
      <c r="A550" s="3">
        <v>9416</v>
      </c>
      <c r="C550" s="3" t="s">
        <v>1220</v>
      </c>
      <c r="H550" s="8"/>
      <c r="I550" s="8"/>
      <c r="J550" s="8"/>
    </row>
    <row r="551" spans="1:12">
      <c r="A551" s="3">
        <v>9417</v>
      </c>
      <c r="C551" s="3" t="s">
        <v>1220</v>
      </c>
      <c r="H551" s="8"/>
      <c r="I551" s="8"/>
      <c r="J551" s="8"/>
    </row>
    <row r="552" spans="1:12">
      <c r="A552" s="4">
        <v>9418</v>
      </c>
      <c r="B552" s="3" t="s">
        <v>1548</v>
      </c>
      <c r="C552" s="3" t="s">
        <v>1220</v>
      </c>
      <c r="D552" s="3" t="s">
        <v>19</v>
      </c>
      <c r="E552" s="3">
        <v>109543</v>
      </c>
      <c r="F552" s="3">
        <v>14295673282</v>
      </c>
      <c r="G552" s="3">
        <v>495621229</v>
      </c>
      <c r="H552" s="8" t="s">
        <v>1549</v>
      </c>
      <c r="I552" s="8" t="s">
        <v>1549</v>
      </c>
      <c r="J552" s="8"/>
      <c r="L552" s="37" t="s">
        <v>25</v>
      </c>
    </row>
    <row r="553" spans="1:12">
      <c r="A553" s="3">
        <v>9419</v>
      </c>
      <c r="B553" s="3" t="s">
        <v>1552</v>
      </c>
      <c r="C553" s="3" t="s">
        <v>1220</v>
      </c>
      <c r="D553" s="3" t="s">
        <v>19</v>
      </c>
      <c r="E553" s="3">
        <v>110054</v>
      </c>
      <c r="F553" s="3">
        <v>14742696850</v>
      </c>
      <c r="G553" s="3">
        <v>501459327</v>
      </c>
      <c r="H553" s="8" t="s">
        <v>1553</v>
      </c>
      <c r="I553" s="8" t="s">
        <v>1553</v>
      </c>
      <c r="J553" s="8"/>
      <c r="L553" s="37" t="s">
        <v>25</v>
      </c>
    </row>
    <row r="554" spans="1:12">
      <c r="A554" s="3">
        <v>9420</v>
      </c>
      <c r="B554" s="3" t="s">
        <v>1556</v>
      </c>
      <c r="C554" s="3" t="s">
        <v>1220</v>
      </c>
      <c r="D554" s="3" t="s">
        <v>19</v>
      </c>
      <c r="E554" s="3">
        <v>109469</v>
      </c>
      <c r="F554" s="3">
        <v>14295521367</v>
      </c>
      <c r="G554" s="3">
        <v>495621124</v>
      </c>
      <c r="H554" s="8" t="s">
        <v>1557</v>
      </c>
      <c r="I554" s="8" t="s">
        <v>1557</v>
      </c>
      <c r="J554" s="8"/>
      <c r="L554" s="37" t="s">
        <v>25</v>
      </c>
    </row>
    <row r="555" spans="1:12">
      <c r="A555" s="3">
        <v>9421</v>
      </c>
      <c r="B555" s="3" t="s">
        <v>1560</v>
      </c>
      <c r="C555" s="3" t="s">
        <v>1220</v>
      </c>
      <c r="D555" s="3" t="s">
        <v>19</v>
      </c>
      <c r="E555" s="3">
        <v>112216</v>
      </c>
      <c r="F555" s="3">
        <v>15979418879</v>
      </c>
      <c r="G555" s="3">
        <v>517637415</v>
      </c>
      <c r="H555" s="8" t="s">
        <v>1561</v>
      </c>
      <c r="I555" s="8" t="s">
        <v>1561</v>
      </c>
      <c r="J555" s="8"/>
      <c r="L555" s="37" t="s">
        <v>25</v>
      </c>
    </row>
    <row r="556" spans="1:12">
      <c r="A556" s="4">
        <v>9422</v>
      </c>
      <c r="B556" s="3" t="s">
        <v>1564</v>
      </c>
      <c r="C556" s="3" t="s">
        <v>1220</v>
      </c>
      <c r="D556" s="3" t="s">
        <v>19</v>
      </c>
      <c r="E556" s="3">
        <v>109515</v>
      </c>
      <c r="F556" s="3">
        <v>14295567136</v>
      </c>
      <c r="G556" s="3">
        <v>495621116</v>
      </c>
      <c r="H556" s="8" t="s">
        <v>1565</v>
      </c>
      <c r="I556" s="8" t="s">
        <v>1565</v>
      </c>
      <c r="J556" s="8"/>
      <c r="L556" s="37" t="s">
        <v>25</v>
      </c>
    </row>
    <row r="557" spans="1:12">
      <c r="A557" s="3">
        <v>9423</v>
      </c>
      <c r="C557" s="3" t="s">
        <v>1220</v>
      </c>
      <c r="H557" s="8"/>
      <c r="I557" s="8"/>
      <c r="J557" s="8"/>
    </row>
    <row r="558" spans="1:12">
      <c r="A558" s="3">
        <v>9424</v>
      </c>
      <c r="B558" s="3" t="s">
        <v>1572</v>
      </c>
      <c r="C558" s="3" t="s">
        <v>1220</v>
      </c>
      <c r="D558" s="3" t="s">
        <v>19</v>
      </c>
      <c r="E558" s="3">
        <v>112225</v>
      </c>
      <c r="F558" s="3">
        <v>15980241837</v>
      </c>
      <c r="G558" s="3">
        <v>517637588</v>
      </c>
      <c r="H558" s="8" t="s">
        <v>1573</v>
      </c>
      <c r="I558" s="8" t="s">
        <v>1573</v>
      </c>
      <c r="J558" s="8"/>
      <c r="L558" s="37" t="s">
        <v>25</v>
      </c>
    </row>
    <row r="559" spans="1:12">
      <c r="A559" s="3">
        <v>9425</v>
      </c>
      <c r="C559" s="3" t="s">
        <v>1220</v>
      </c>
      <c r="H559" s="8"/>
      <c r="I559" s="8"/>
      <c r="J559" s="8"/>
    </row>
    <row r="560" spans="1:12">
      <c r="A560" s="4">
        <v>9426</v>
      </c>
      <c r="C560" s="3" t="s">
        <v>1220</v>
      </c>
      <c r="H560" s="8"/>
      <c r="I560" s="8"/>
      <c r="J560" s="8"/>
    </row>
    <row r="561" spans="1:12">
      <c r="A561" s="3">
        <v>9427</v>
      </c>
      <c r="B561" s="3" t="s">
        <v>1576</v>
      </c>
      <c r="C561" s="3" t="s">
        <v>1220</v>
      </c>
      <c r="D561" s="3" t="s">
        <v>19</v>
      </c>
      <c r="E561" s="3">
        <v>112171</v>
      </c>
      <c r="F561" s="3">
        <v>15974343061</v>
      </c>
      <c r="G561" s="3">
        <v>517571270</v>
      </c>
      <c r="H561" s="8" t="s">
        <v>1577</v>
      </c>
      <c r="I561" s="8" t="s">
        <v>1577</v>
      </c>
      <c r="J561" s="8"/>
      <c r="L561" s="37" t="s">
        <v>25</v>
      </c>
    </row>
    <row r="562" spans="1:12">
      <c r="A562" s="3">
        <v>9428</v>
      </c>
      <c r="B562" s="3" t="s">
        <v>1580</v>
      </c>
      <c r="C562" s="3" t="s">
        <v>1220</v>
      </c>
      <c r="D562" s="3" t="s">
        <v>19</v>
      </c>
      <c r="E562" s="3">
        <v>112213</v>
      </c>
      <c r="F562" s="3">
        <v>15979381864</v>
      </c>
      <c r="G562" s="3">
        <v>517637393</v>
      </c>
      <c r="H562" s="8" t="s">
        <v>1581</v>
      </c>
      <c r="I562" s="8" t="s">
        <v>1581</v>
      </c>
      <c r="J562" s="8"/>
      <c r="L562" s="37" t="s">
        <v>25</v>
      </c>
    </row>
    <row r="563" spans="1:12">
      <c r="A563" s="3">
        <v>9429</v>
      </c>
      <c r="C563" s="3" t="s">
        <v>1220</v>
      </c>
      <c r="H563" s="8"/>
      <c r="I563" s="8"/>
      <c r="J563" s="8"/>
    </row>
    <row r="564" spans="1:12">
      <c r="A564" s="4">
        <v>9430</v>
      </c>
      <c r="C564" s="3" t="s">
        <v>1220</v>
      </c>
      <c r="H564" s="8"/>
      <c r="I564" s="8"/>
      <c r="J564" s="8"/>
    </row>
    <row r="565" spans="1:12">
      <c r="A565" s="3">
        <v>9431</v>
      </c>
      <c r="B565" s="3" t="s">
        <v>1584</v>
      </c>
      <c r="C565" s="3" t="s">
        <v>1220</v>
      </c>
      <c r="D565" s="3" t="s">
        <v>19</v>
      </c>
      <c r="E565" s="3">
        <v>112402</v>
      </c>
      <c r="F565" s="3">
        <v>16003769716</v>
      </c>
      <c r="G565" s="3">
        <v>517938472</v>
      </c>
      <c r="H565" s="8" t="s">
        <v>1585</v>
      </c>
      <c r="I565" s="8" t="s">
        <v>1585</v>
      </c>
      <c r="J565" s="8"/>
      <c r="L565" s="37" t="s">
        <v>25</v>
      </c>
    </row>
    <row r="566" spans="1:12">
      <c r="A566" s="3">
        <v>9432</v>
      </c>
      <c r="B566" s="3" t="s">
        <v>1588</v>
      </c>
      <c r="C566" s="3" t="s">
        <v>1220</v>
      </c>
      <c r="D566" s="3" t="s">
        <v>19</v>
      </c>
      <c r="E566" s="3">
        <v>109504</v>
      </c>
      <c r="F566" s="3">
        <v>14295555257</v>
      </c>
      <c r="G566" s="3">
        <v>495621144</v>
      </c>
      <c r="H566" s="8" t="s">
        <v>1589</v>
      </c>
      <c r="I566" s="8" t="s">
        <v>1589</v>
      </c>
      <c r="J566" s="8"/>
      <c r="L566" s="37" t="s">
        <v>25</v>
      </c>
    </row>
    <row r="567" spans="1:12">
      <c r="A567" s="3">
        <v>9433</v>
      </c>
      <c r="B567" s="3" t="s">
        <v>1592</v>
      </c>
      <c r="C567" s="3" t="s">
        <v>1220</v>
      </c>
      <c r="D567" s="3" t="s">
        <v>19</v>
      </c>
      <c r="E567" s="3">
        <v>109548</v>
      </c>
      <c r="F567" s="3">
        <v>14295692609</v>
      </c>
      <c r="G567" s="3">
        <v>495621220</v>
      </c>
      <c r="H567" s="8" t="s">
        <v>1593</v>
      </c>
      <c r="I567" s="8" t="s">
        <v>1593</v>
      </c>
      <c r="J567" s="8"/>
      <c r="L567" s="37" t="s">
        <v>25</v>
      </c>
    </row>
    <row r="568" spans="1:12">
      <c r="A568" s="4">
        <v>9434</v>
      </c>
      <c r="C568" s="3" t="s">
        <v>1220</v>
      </c>
      <c r="H568" s="8"/>
      <c r="I568" s="8"/>
      <c r="J568" s="8"/>
    </row>
    <row r="569" spans="1:12">
      <c r="A569" s="3">
        <v>9435</v>
      </c>
      <c r="C569" s="3" t="s">
        <v>1220</v>
      </c>
      <c r="H569" s="8"/>
      <c r="I569" s="8"/>
      <c r="J569" s="8"/>
    </row>
    <row r="570" spans="1:12">
      <c r="A570" s="3">
        <v>9436</v>
      </c>
      <c r="B570" s="3" t="s">
        <v>1596</v>
      </c>
      <c r="C570" s="3" t="s">
        <v>1220</v>
      </c>
      <c r="D570" s="3" t="s">
        <v>19</v>
      </c>
      <c r="E570" s="3">
        <v>109546</v>
      </c>
      <c r="F570" s="3">
        <v>14295682279</v>
      </c>
      <c r="G570" s="3">
        <v>495621077</v>
      </c>
      <c r="H570" s="8" t="s">
        <v>1597</v>
      </c>
      <c r="I570" s="8" t="s">
        <v>1597</v>
      </c>
      <c r="J570" s="8"/>
      <c r="L570" s="37" t="s">
        <v>25</v>
      </c>
    </row>
    <row r="571" spans="1:12">
      <c r="A571" s="3">
        <v>9437</v>
      </c>
      <c r="B571" s="3" t="s">
        <v>1600</v>
      </c>
      <c r="C571" s="3" t="s">
        <v>1220</v>
      </c>
      <c r="D571" s="3" t="s">
        <v>19</v>
      </c>
      <c r="E571" s="3">
        <v>112342</v>
      </c>
      <c r="F571" s="3">
        <v>15988513887</v>
      </c>
      <c r="G571" s="3">
        <v>517699244</v>
      </c>
      <c r="H571" s="8" t="s">
        <v>1601</v>
      </c>
      <c r="I571" s="8" t="s">
        <v>1601</v>
      </c>
      <c r="J571" s="8"/>
      <c r="L571" s="37" t="s">
        <v>25</v>
      </c>
    </row>
    <row r="572" spans="1:12">
      <c r="A572" s="4">
        <v>9438</v>
      </c>
      <c r="B572" s="3" t="s">
        <v>1604</v>
      </c>
      <c r="C572" s="3" t="s">
        <v>1220</v>
      </c>
      <c r="D572" s="3" t="s">
        <v>19</v>
      </c>
      <c r="E572" s="3">
        <v>95979</v>
      </c>
      <c r="F572" s="3">
        <v>8011941731</v>
      </c>
      <c r="G572" s="3">
        <v>495621147</v>
      </c>
      <c r="H572" s="8" t="s">
        <v>1605</v>
      </c>
      <c r="I572" s="8" t="s">
        <v>1605</v>
      </c>
      <c r="J572" s="8"/>
      <c r="L572" s="37" t="s">
        <v>25</v>
      </c>
    </row>
    <row r="573" spans="1:12">
      <c r="A573" s="3">
        <v>9439</v>
      </c>
      <c r="B573" s="3" t="s">
        <v>1608</v>
      </c>
      <c r="C573" s="3" t="s">
        <v>1220</v>
      </c>
      <c r="D573" s="3" t="s">
        <v>19</v>
      </c>
      <c r="E573" s="3">
        <v>109555</v>
      </c>
      <c r="F573" s="3">
        <v>14295772031</v>
      </c>
      <c r="G573" s="3">
        <v>495621225</v>
      </c>
      <c r="H573" s="8" t="s">
        <v>1609</v>
      </c>
      <c r="I573" s="8" t="s">
        <v>1609</v>
      </c>
      <c r="J573" s="8"/>
      <c r="L573" s="37" t="s">
        <v>25</v>
      </c>
    </row>
    <row r="574" spans="1:12">
      <c r="A574" s="3">
        <v>9440</v>
      </c>
      <c r="B574" s="3" t="s">
        <v>1612</v>
      </c>
      <c r="C574" s="3" t="s">
        <v>1220</v>
      </c>
      <c r="D574" s="3" t="s">
        <v>19</v>
      </c>
      <c r="E574" s="3">
        <v>109570</v>
      </c>
      <c r="F574" s="3">
        <v>14295824880</v>
      </c>
      <c r="G574" s="3">
        <v>495621133</v>
      </c>
      <c r="H574" s="8" t="s">
        <v>1613</v>
      </c>
      <c r="I574" s="8" t="s">
        <v>1613</v>
      </c>
      <c r="J574" s="8"/>
      <c r="L574" s="37" t="s">
        <v>25</v>
      </c>
    </row>
    <row r="575" spans="1:12">
      <c r="A575" s="3">
        <v>9441</v>
      </c>
      <c r="B575" s="3" t="s">
        <v>1616</v>
      </c>
      <c r="C575" s="3" t="s">
        <v>1220</v>
      </c>
      <c r="D575" s="3" t="s">
        <v>19</v>
      </c>
      <c r="E575" s="3">
        <v>112147</v>
      </c>
      <c r="F575" s="3">
        <v>15972792882</v>
      </c>
      <c r="G575" s="3">
        <v>517571274</v>
      </c>
      <c r="H575" s="8" t="s">
        <v>1617</v>
      </c>
      <c r="I575" s="8" t="s">
        <v>1617</v>
      </c>
      <c r="J575" s="8"/>
      <c r="L575" s="37" t="s">
        <v>25</v>
      </c>
    </row>
    <row r="576" spans="1:12">
      <c r="A576" s="4">
        <v>9442</v>
      </c>
      <c r="B576" s="3" t="s">
        <v>1620</v>
      </c>
      <c r="C576" s="3" t="s">
        <v>1220</v>
      </c>
      <c r="D576" s="3" t="s">
        <v>19</v>
      </c>
      <c r="E576" s="3">
        <v>112148</v>
      </c>
      <c r="F576" s="3">
        <v>15972951060</v>
      </c>
      <c r="G576" s="3">
        <v>517571294</v>
      </c>
      <c r="H576" s="8" t="s">
        <v>1621</v>
      </c>
      <c r="I576" s="8" t="s">
        <v>1621</v>
      </c>
      <c r="J576" s="8"/>
      <c r="L576" s="37" t="s">
        <v>25</v>
      </c>
    </row>
    <row r="577" spans="1:12">
      <c r="A577" s="3">
        <v>9443</v>
      </c>
      <c r="B577" s="3" t="s">
        <v>1624</v>
      </c>
      <c r="C577" s="3" t="s">
        <v>1220</v>
      </c>
      <c r="D577" s="3" t="s">
        <v>19</v>
      </c>
      <c r="E577" s="3">
        <v>112150</v>
      </c>
      <c r="F577" s="3">
        <v>15973050241</v>
      </c>
      <c r="G577" s="3">
        <v>517571269</v>
      </c>
      <c r="H577" s="8" t="s">
        <v>1625</v>
      </c>
      <c r="I577" s="8" t="s">
        <v>1625</v>
      </c>
      <c r="J577" s="8"/>
      <c r="L577" s="37" t="s">
        <v>25</v>
      </c>
    </row>
    <row r="578" spans="1:12">
      <c r="A578" s="3">
        <v>9444</v>
      </c>
      <c r="B578" s="3" t="s">
        <v>1628</v>
      </c>
      <c r="C578" s="3" t="s">
        <v>1220</v>
      </c>
      <c r="D578" s="3" t="s">
        <v>19</v>
      </c>
      <c r="E578" s="3">
        <v>112399</v>
      </c>
      <c r="F578" s="3">
        <v>16003758083</v>
      </c>
      <c r="G578" s="3">
        <v>517939141</v>
      </c>
      <c r="H578" s="8" t="s">
        <v>1629</v>
      </c>
      <c r="I578" s="8" t="s">
        <v>1629</v>
      </c>
      <c r="J578" s="8"/>
      <c r="L578" s="37" t="s">
        <v>25</v>
      </c>
    </row>
    <row r="579" spans="1:12">
      <c r="A579" s="3">
        <v>9445</v>
      </c>
      <c r="C579" s="3" t="s">
        <v>1220</v>
      </c>
      <c r="H579" s="8"/>
      <c r="I579" s="8"/>
      <c r="J579" s="8"/>
    </row>
    <row r="580" spans="1:12">
      <c r="A580" s="4">
        <v>9446</v>
      </c>
      <c r="C580" s="3" t="s">
        <v>1220</v>
      </c>
      <c r="H580" s="8"/>
      <c r="I580" s="8"/>
      <c r="J580" s="8"/>
    </row>
    <row r="581" spans="1:12">
      <c r="A581" s="3">
        <v>9447</v>
      </c>
      <c r="B581" s="3" t="s">
        <v>1632</v>
      </c>
      <c r="C581" s="3" t="s">
        <v>1220</v>
      </c>
      <c r="D581" s="3" t="s">
        <v>19</v>
      </c>
      <c r="E581" s="3">
        <v>112456</v>
      </c>
      <c r="F581" s="3">
        <v>16008743007</v>
      </c>
      <c r="G581" s="3">
        <v>517999894</v>
      </c>
      <c r="H581" s="8" t="s">
        <v>1633</v>
      </c>
      <c r="I581" s="8" t="s">
        <v>1633</v>
      </c>
      <c r="J581" s="8"/>
      <c r="L581" s="37" t="s">
        <v>25</v>
      </c>
    </row>
    <row r="582" spans="1:12">
      <c r="A582" s="3">
        <v>9448</v>
      </c>
      <c r="B582" s="3" t="s">
        <v>838</v>
      </c>
      <c r="C582" s="3" t="s">
        <v>1220</v>
      </c>
      <c r="D582" s="3" t="s">
        <v>19</v>
      </c>
      <c r="E582" s="3">
        <v>112157</v>
      </c>
      <c r="F582" s="3">
        <v>15974216449</v>
      </c>
      <c r="G582" s="3">
        <v>517571267</v>
      </c>
      <c r="H582" s="8" t="s">
        <v>1636</v>
      </c>
      <c r="I582" s="8" t="s">
        <v>1636</v>
      </c>
      <c r="J582" s="8"/>
      <c r="L582" s="37" t="s">
        <v>25</v>
      </c>
    </row>
    <row r="583" spans="1:12">
      <c r="A583" s="3">
        <v>9449</v>
      </c>
      <c r="B583" s="3" t="s">
        <v>1639</v>
      </c>
      <c r="C583" s="3" t="s">
        <v>1220</v>
      </c>
      <c r="D583" s="3" t="s">
        <v>19</v>
      </c>
      <c r="E583" s="3">
        <v>112155</v>
      </c>
      <c r="F583" s="3">
        <v>15974177564</v>
      </c>
      <c r="G583" s="3">
        <v>517571293</v>
      </c>
      <c r="H583" s="8" t="s">
        <v>1640</v>
      </c>
      <c r="I583" s="8" t="s">
        <v>1640</v>
      </c>
      <c r="J583" s="8"/>
      <c r="L583" s="37" t="s">
        <v>25</v>
      </c>
    </row>
    <row r="584" spans="1:12">
      <c r="A584" s="4">
        <v>9450</v>
      </c>
      <c r="B584" s="3" t="s">
        <v>1643</v>
      </c>
      <c r="C584" s="3" t="s">
        <v>1220</v>
      </c>
      <c r="D584" s="3" t="s">
        <v>19</v>
      </c>
      <c r="E584" s="3">
        <v>112156</v>
      </c>
      <c r="F584" s="3">
        <v>15974216448</v>
      </c>
      <c r="G584" s="3">
        <v>517571268</v>
      </c>
      <c r="H584" s="8" t="s">
        <v>1644</v>
      </c>
      <c r="I584" s="8" t="s">
        <v>1644</v>
      </c>
      <c r="J584" s="8"/>
      <c r="L584" s="37" t="s">
        <v>25</v>
      </c>
    </row>
    <row r="585" spans="1:12">
      <c r="A585" s="3">
        <v>9451</v>
      </c>
      <c r="C585" s="3" t="s">
        <v>1220</v>
      </c>
      <c r="H585" s="8"/>
      <c r="I585" s="8"/>
      <c r="J585" s="8"/>
    </row>
    <row r="586" spans="1:12">
      <c r="A586" s="3">
        <v>9452</v>
      </c>
      <c r="C586" s="3" t="s">
        <v>1220</v>
      </c>
      <c r="H586" s="8"/>
      <c r="I586" s="8"/>
      <c r="J586" s="8"/>
    </row>
    <row r="587" spans="1:12">
      <c r="A587" s="3">
        <v>9453</v>
      </c>
      <c r="B587" s="3" t="s">
        <v>1647</v>
      </c>
      <c r="C587" s="3" t="s">
        <v>1220</v>
      </c>
      <c r="D587" s="3" t="s">
        <v>19</v>
      </c>
      <c r="E587" s="3">
        <v>99305</v>
      </c>
      <c r="F587" s="3">
        <v>8319065666</v>
      </c>
      <c r="G587" s="3">
        <v>420272286</v>
      </c>
      <c r="H587" s="8" t="s">
        <v>1648</v>
      </c>
      <c r="I587" s="8" t="s">
        <v>1648</v>
      </c>
      <c r="J587" s="8"/>
      <c r="L587" s="37" t="s">
        <v>25</v>
      </c>
    </row>
    <row r="588" spans="1:12">
      <c r="A588" s="4">
        <v>9454</v>
      </c>
      <c r="B588" s="3" t="s">
        <v>1650</v>
      </c>
      <c r="C588" s="3" t="s">
        <v>1220</v>
      </c>
      <c r="D588" s="3" t="s">
        <v>19</v>
      </c>
      <c r="E588" s="3">
        <v>112486</v>
      </c>
      <c r="F588" s="3">
        <v>16009006483</v>
      </c>
      <c r="G588" s="3">
        <v>517999897</v>
      </c>
      <c r="H588" s="8" t="s">
        <v>1651</v>
      </c>
      <c r="I588" s="8" t="s">
        <v>1651</v>
      </c>
      <c r="J588" s="8"/>
      <c r="L588" s="37" t="s">
        <v>25</v>
      </c>
    </row>
    <row r="589" spans="1:12">
      <c r="A589" s="3">
        <v>9455</v>
      </c>
      <c r="B589" s="3" t="s">
        <v>1654</v>
      </c>
      <c r="C589" s="3" t="s">
        <v>1220</v>
      </c>
      <c r="D589" s="3" t="s">
        <v>19</v>
      </c>
      <c r="E589" s="3">
        <v>112196</v>
      </c>
      <c r="F589" s="3">
        <v>15979322839</v>
      </c>
      <c r="G589" s="3">
        <v>517637669</v>
      </c>
      <c r="H589" s="8" t="s">
        <v>1655</v>
      </c>
      <c r="I589" s="8" t="s">
        <v>1655</v>
      </c>
      <c r="J589" s="8"/>
      <c r="L589" s="37" t="s">
        <v>25</v>
      </c>
    </row>
    <row r="590" spans="1:12">
      <c r="A590" s="3">
        <v>9456</v>
      </c>
      <c r="B590" s="3" t="s">
        <v>1658</v>
      </c>
      <c r="C590" s="3" t="s">
        <v>1220</v>
      </c>
      <c r="D590" s="3" t="s">
        <v>19</v>
      </c>
      <c r="E590" s="3">
        <v>112418</v>
      </c>
      <c r="F590" s="3">
        <v>16004146363</v>
      </c>
      <c r="G590" s="3">
        <v>517938477</v>
      </c>
      <c r="H590" s="8" t="s">
        <v>1659</v>
      </c>
      <c r="I590" s="8" t="s">
        <v>1659</v>
      </c>
      <c r="J590" s="8"/>
      <c r="L590" s="37" t="s">
        <v>25</v>
      </c>
    </row>
    <row r="591" spans="1:12">
      <c r="A591" s="3">
        <v>9457</v>
      </c>
      <c r="B591" s="3" t="s">
        <v>1662</v>
      </c>
      <c r="C591" s="3" t="s">
        <v>1220</v>
      </c>
      <c r="D591" s="3" t="s">
        <v>19</v>
      </c>
      <c r="E591" s="3">
        <v>109563</v>
      </c>
      <c r="F591" s="3">
        <v>14295785437</v>
      </c>
      <c r="G591" s="3">
        <v>495621250</v>
      </c>
      <c r="H591" s="8" t="s">
        <v>1663</v>
      </c>
      <c r="I591" s="8" t="s">
        <v>1663</v>
      </c>
      <c r="J591" s="8"/>
      <c r="L591" s="37" t="s">
        <v>25</v>
      </c>
    </row>
    <row r="592" spans="1:12">
      <c r="A592" s="4">
        <v>9458</v>
      </c>
      <c r="B592" s="3" t="s">
        <v>1666</v>
      </c>
      <c r="C592" s="3" t="s">
        <v>1220</v>
      </c>
      <c r="D592" s="3" t="s">
        <v>19</v>
      </c>
      <c r="E592" s="3">
        <v>109564</v>
      </c>
      <c r="F592" s="3">
        <v>14295788260</v>
      </c>
      <c r="G592" s="3">
        <v>495621107</v>
      </c>
      <c r="H592" s="8" t="s">
        <v>1667</v>
      </c>
      <c r="I592" s="8" t="s">
        <v>1667</v>
      </c>
      <c r="J592" s="8"/>
      <c r="L592" s="37" t="s">
        <v>25</v>
      </c>
    </row>
    <row r="593" spans="1:12">
      <c r="A593" s="3">
        <v>9459</v>
      </c>
      <c r="B593" s="3" t="s">
        <v>1670</v>
      </c>
      <c r="C593" s="3" t="s">
        <v>1220</v>
      </c>
      <c r="D593" s="3" t="s">
        <v>19</v>
      </c>
      <c r="E593" s="3">
        <v>110069</v>
      </c>
      <c r="F593" s="3">
        <v>14742738831</v>
      </c>
      <c r="G593" s="3">
        <v>501459300</v>
      </c>
      <c r="H593" s="8" t="s">
        <v>1671</v>
      </c>
      <c r="I593" s="8" t="s">
        <v>1671</v>
      </c>
      <c r="J593" s="8"/>
      <c r="L593" s="37" t="s">
        <v>25</v>
      </c>
    </row>
    <row r="594" spans="1:12">
      <c r="A594" s="3">
        <v>9460</v>
      </c>
      <c r="C594" s="3" t="s">
        <v>1220</v>
      </c>
      <c r="H594" s="8"/>
      <c r="I594" s="8"/>
      <c r="J594" s="8"/>
    </row>
    <row r="595" spans="1:12">
      <c r="A595" s="3">
        <v>9461</v>
      </c>
      <c r="C595" s="3" t="s">
        <v>1220</v>
      </c>
      <c r="H595" s="8"/>
      <c r="I595" s="8"/>
      <c r="J595" s="8"/>
    </row>
    <row r="596" spans="1:12">
      <c r="A596" s="4">
        <v>9462</v>
      </c>
      <c r="B596" s="3" t="s">
        <v>1674</v>
      </c>
      <c r="C596" s="3" t="s">
        <v>1220</v>
      </c>
      <c r="D596" s="3" t="s">
        <v>19</v>
      </c>
      <c r="E596" s="3">
        <v>109562</v>
      </c>
      <c r="F596" s="3">
        <v>14295783132</v>
      </c>
      <c r="G596" s="3">
        <v>495621141</v>
      </c>
      <c r="H596" s="8" t="s">
        <v>1675</v>
      </c>
      <c r="I596" s="8" t="s">
        <v>1675</v>
      </c>
      <c r="J596" s="8"/>
      <c r="L596" s="37" t="s">
        <v>25</v>
      </c>
    </row>
    <row r="597" spans="1:12">
      <c r="A597" s="3">
        <v>9463</v>
      </c>
      <c r="B597" s="3" t="s">
        <v>1678</v>
      </c>
      <c r="C597" s="3" t="s">
        <v>1220</v>
      </c>
      <c r="D597" s="3" t="s">
        <v>19</v>
      </c>
      <c r="E597" s="3">
        <v>112483</v>
      </c>
      <c r="F597" s="3">
        <v>16009006480</v>
      </c>
      <c r="G597" s="3">
        <v>517999854</v>
      </c>
      <c r="H597" s="8" t="s">
        <v>1679</v>
      </c>
      <c r="I597" s="8" t="s">
        <v>1679</v>
      </c>
      <c r="J597" s="8"/>
      <c r="L597" s="37" t="s">
        <v>25</v>
      </c>
    </row>
    <row r="598" spans="1:12">
      <c r="A598" s="3">
        <v>9464</v>
      </c>
      <c r="B598" s="3" t="s">
        <v>877</v>
      </c>
      <c r="C598" s="3" t="s">
        <v>1220</v>
      </c>
      <c r="D598" s="3" t="s">
        <v>19</v>
      </c>
      <c r="E598" s="3">
        <v>109470</v>
      </c>
      <c r="F598" s="3">
        <v>14295522964</v>
      </c>
      <c r="G598" s="3">
        <v>495621136</v>
      </c>
      <c r="H598" s="8" t="s">
        <v>1682</v>
      </c>
      <c r="I598" s="8" t="s">
        <v>1682</v>
      </c>
      <c r="J598" s="8"/>
      <c r="L598" s="37" t="s">
        <v>25</v>
      </c>
    </row>
    <row r="599" spans="1:12">
      <c r="A599" s="3">
        <v>9465</v>
      </c>
      <c r="B599" s="3" t="s">
        <v>1685</v>
      </c>
      <c r="C599" s="3" t="s">
        <v>1220</v>
      </c>
      <c r="D599" s="3" t="s">
        <v>19</v>
      </c>
      <c r="E599" s="3">
        <v>112168</v>
      </c>
      <c r="F599" s="3">
        <v>15974341208</v>
      </c>
      <c r="G599" s="3">
        <v>517571275</v>
      </c>
      <c r="H599" s="8" t="s">
        <v>1686</v>
      </c>
      <c r="I599" s="8" t="s">
        <v>1686</v>
      </c>
      <c r="J599" s="8"/>
      <c r="L599" s="37" t="s">
        <v>25</v>
      </c>
    </row>
    <row r="600" spans="1:12">
      <c r="A600" s="4">
        <v>9466</v>
      </c>
      <c r="B600" s="3" t="s">
        <v>1689</v>
      </c>
      <c r="C600" s="3" t="s">
        <v>1220</v>
      </c>
      <c r="D600" s="3" t="s">
        <v>19</v>
      </c>
      <c r="E600" s="3">
        <v>109561</v>
      </c>
      <c r="F600" s="3">
        <v>14295783131</v>
      </c>
      <c r="G600" s="3">
        <v>495621120</v>
      </c>
      <c r="H600" s="8" t="s">
        <v>1690</v>
      </c>
      <c r="I600" s="8" t="s">
        <v>1690</v>
      </c>
      <c r="J600" s="8"/>
      <c r="L600" s="37" t="s">
        <v>25</v>
      </c>
    </row>
    <row r="601" spans="1:12">
      <c r="A601" s="3">
        <v>9467</v>
      </c>
      <c r="B601" s="3" t="s">
        <v>1693</v>
      </c>
      <c r="C601" s="3" t="s">
        <v>1220</v>
      </c>
      <c r="D601" s="3" t="s">
        <v>19</v>
      </c>
      <c r="E601" s="3">
        <v>112186</v>
      </c>
      <c r="F601" s="3">
        <v>15979301468</v>
      </c>
      <c r="G601" s="3">
        <v>517637346</v>
      </c>
      <c r="H601" s="8" t="s">
        <v>1694</v>
      </c>
      <c r="I601" s="8" t="s">
        <v>1694</v>
      </c>
      <c r="J601" s="8"/>
      <c r="L601" s="37" t="s">
        <v>25</v>
      </c>
    </row>
    <row r="602" spans="1:12">
      <c r="A602" s="3">
        <v>9468</v>
      </c>
      <c r="B602" s="3" t="s">
        <v>1697</v>
      </c>
      <c r="C602" s="3" t="s">
        <v>1220</v>
      </c>
      <c r="D602" s="3" t="s">
        <v>19</v>
      </c>
      <c r="E602" s="3">
        <v>112166</v>
      </c>
      <c r="F602" s="3">
        <v>15974340789</v>
      </c>
      <c r="G602" s="3">
        <v>517571304</v>
      </c>
      <c r="H602" s="8" t="s">
        <v>1698</v>
      </c>
      <c r="I602" s="8" t="s">
        <v>1698</v>
      </c>
      <c r="J602" s="8"/>
      <c r="L602" s="37" t="s">
        <v>25</v>
      </c>
    </row>
    <row r="603" spans="1:12">
      <c r="A603" s="3">
        <v>9469</v>
      </c>
      <c r="B603" s="3" t="s">
        <v>1701</v>
      </c>
      <c r="C603" s="3" t="s">
        <v>1220</v>
      </c>
      <c r="D603" s="3" t="s">
        <v>19</v>
      </c>
      <c r="E603" s="3">
        <v>112206</v>
      </c>
      <c r="F603" s="3">
        <v>15979332893</v>
      </c>
      <c r="G603" s="3">
        <v>517637341</v>
      </c>
      <c r="H603" s="8" t="s">
        <v>1702</v>
      </c>
      <c r="I603" s="8" t="s">
        <v>1702</v>
      </c>
      <c r="J603" s="8"/>
      <c r="L603" s="37" t="s">
        <v>25</v>
      </c>
    </row>
    <row r="604" spans="1:12">
      <c r="A604" s="4">
        <v>9470</v>
      </c>
      <c r="C604" s="3" t="s">
        <v>1220</v>
      </c>
      <c r="H604" s="8"/>
      <c r="I604" s="8"/>
      <c r="J604" s="8"/>
    </row>
    <row r="605" spans="1:12">
      <c r="A605" s="3">
        <v>9471</v>
      </c>
      <c r="C605" s="3" t="s">
        <v>1220</v>
      </c>
      <c r="H605" s="8"/>
      <c r="I605" s="8"/>
      <c r="J605" s="8"/>
    </row>
    <row r="606" spans="1:12">
      <c r="A606" s="3">
        <v>9472</v>
      </c>
      <c r="B606" s="3" t="s">
        <v>1705</v>
      </c>
      <c r="C606" s="3" t="s">
        <v>1220</v>
      </c>
      <c r="D606" s="3" t="s">
        <v>19</v>
      </c>
      <c r="E606" s="3">
        <v>112412</v>
      </c>
      <c r="F606" s="3">
        <v>16003990416</v>
      </c>
      <c r="G606" s="3">
        <v>517938464</v>
      </c>
      <c r="H606" s="8" t="s">
        <v>1706</v>
      </c>
      <c r="I606" s="8" t="s">
        <v>1706</v>
      </c>
      <c r="J606" s="8"/>
      <c r="L606" s="37" t="s">
        <v>25</v>
      </c>
    </row>
    <row r="607" spans="1:12">
      <c r="A607" s="3">
        <v>9473</v>
      </c>
      <c r="B607" s="3" t="s">
        <v>1709</v>
      </c>
      <c r="C607" s="3" t="s">
        <v>1220</v>
      </c>
      <c r="D607" s="3" t="s">
        <v>19</v>
      </c>
      <c r="E607" s="3">
        <v>112204</v>
      </c>
      <c r="F607" s="3">
        <v>15979331353</v>
      </c>
      <c r="G607" s="3">
        <v>517637344</v>
      </c>
      <c r="H607" s="8" t="s">
        <v>1710</v>
      </c>
      <c r="I607" s="8" t="s">
        <v>1710</v>
      </c>
      <c r="J607" s="8"/>
      <c r="L607" s="37" t="s">
        <v>25</v>
      </c>
    </row>
    <row r="608" spans="1:12">
      <c r="A608" s="4">
        <v>9474</v>
      </c>
      <c r="B608" s="3" t="s">
        <v>1713</v>
      </c>
      <c r="C608" s="3" t="s">
        <v>1220</v>
      </c>
      <c r="D608" s="3" t="s">
        <v>19</v>
      </c>
      <c r="E608" s="3">
        <v>112203</v>
      </c>
      <c r="F608" s="3">
        <v>15979327554</v>
      </c>
      <c r="G608" s="3">
        <v>517637352</v>
      </c>
      <c r="H608" s="8" t="s">
        <v>1714</v>
      </c>
      <c r="I608" s="8" t="s">
        <v>1714</v>
      </c>
      <c r="J608" s="8"/>
      <c r="L608" s="37" t="s">
        <v>25</v>
      </c>
    </row>
    <row r="609" spans="1:12">
      <c r="A609" s="3">
        <v>9475</v>
      </c>
      <c r="B609" s="3" t="s">
        <v>1717</v>
      </c>
      <c r="C609" s="3" t="s">
        <v>1220</v>
      </c>
      <c r="D609" s="3" t="s">
        <v>19</v>
      </c>
      <c r="E609" s="3">
        <v>112215</v>
      </c>
      <c r="F609" s="3">
        <v>15979410637</v>
      </c>
      <c r="G609" s="3">
        <v>517637339</v>
      </c>
      <c r="H609" s="8" t="s">
        <v>1718</v>
      </c>
      <c r="I609" s="8" t="s">
        <v>1718</v>
      </c>
      <c r="J609" s="8"/>
      <c r="L609" s="37" t="s">
        <v>25</v>
      </c>
    </row>
    <row r="610" spans="1:12">
      <c r="A610" s="3">
        <v>9476</v>
      </c>
      <c r="B610" s="3" t="s">
        <v>1721</v>
      </c>
      <c r="C610" s="3" t="s">
        <v>1220</v>
      </c>
      <c r="D610" s="3" t="s">
        <v>19</v>
      </c>
      <c r="E610" s="3">
        <v>112192</v>
      </c>
      <c r="F610" s="3">
        <v>15979311461</v>
      </c>
      <c r="G610" s="3">
        <v>517637461</v>
      </c>
      <c r="H610" s="8" t="s">
        <v>1722</v>
      </c>
      <c r="I610" s="8" t="s">
        <v>1722</v>
      </c>
      <c r="J610" s="8"/>
      <c r="L610" s="37" t="s">
        <v>25</v>
      </c>
    </row>
    <row r="611" spans="1:12">
      <c r="A611" s="3">
        <v>9477</v>
      </c>
      <c r="B611" s="3" t="s">
        <v>1725</v>
      </c>
      <c r="C611" s="3" t="s">
        <v>1220</v>
      </c>
      <c r="D611" s="3" t="s">
        <v>19</v>
      </c>
      <c r="E611" s="3">
        <v>112448</v>
      </c>
      <c r="F611" s="3">
        <v>16008740624</v>
      </c>
      <c r="G611" s="3">
        <v>517999891</v>
      </c>
      <c r="H611" s="8" t="s">
        <v>1726</v>
      </c>
      <c r="I611" s="8" t="s">
        <v>1726</v>
      </c>
      <c r="J611" s="8"/>
      <c r="L611" s="37" t="s">
        <v>25</v>
      </c>
    </row>
    <row r="612" spans="1:12">
      <c r="A612" s="4">
        <v>9478</v>
      </c>
      <c r="C612" s="3" t="s">
        <v>1220</v>
      </c>
      <c r="H612" s="8"/>
      <c r="I612" s="8"/>
      <c r="J612" s="8"/>
    </row>
    <row r="613" spans="1:12">
      <c r="A613" s="3">
        <v>9479</v>
      </c>
      <c r="C613" s="3" t="s">
        <v>1220</v>
      </c>
      <c r="H613" s="8"/>
      <c r="I613" s="8"/>
      <c r="J613" s="8"/>
    </row>
    <row r="614" spans="1:12">
      <c r="A614" s="3">
        <v>9480</v>
      </c>
      <c r="B614" s="3" t="s">
        <v>1729</v>
      </c>
      <c r="C614" s="3" t="s">
        <v>1220</v>
      </c>
      <c r="D614" s="3" t="s">
        <v>19</v>
      </c>
      <c r="E614" s="3">
        <v>112176</v>
      </c>
      <c r="F614" s="3">
        <v>15974352492</v>
      </c>
      <c r="G614" s="3">
        <v>517571284</v>
      </c>
      <c r="H614" s="8" t="s">
        <v>1730</v>
      </c>
      <c r="I614" s="8" t="s">
        <v>1730</v>
      </c>
      <c r="J614" s="8"/>
      <c r="L614" s="37" t="s">
        <v>25</v>
      </c>
    </row>
    <row r="615" spans="1:12">
      <c r="A615" s="3">
        <v>9481</v>
      </c>
      <c r="B615" s="3" t="s">
        <v>1733</v>
      </c>
      <c r="C615" s="3" t="s">
        <v>1220</v>
      </c>
      <c r="D615" s="3" t="s">
        <v>19</v>
      </c>
      <c r="E615" s="3">
        <v>112443</v>
      </c>
      <c r="F615" s="3">
        <v>16008725349</v>
      </c>
      <c r="G615" s="3">
        <v>517999875</v>
      </c>
      <c r="H615" s="8" t="s">
        <v>1734</v>
      </c>
      <c r="I615" s="8" t="s">
        <v>1734</v>
      </c>
      <c r="J615" s="8"/>
      <c r="L615" s="37" t="s">
        <v>25</v>
      </c>
    </row>
    <row r="616" spans="1:12">
      <c r="A616" s="4">
        <v>9482</v>
      </c>
      <c r="B616" s="3" t="s">
        <v>1737</v>
      </c>
      <c r="C616" s="3" t="s">
        <v>1220</v>
      </c>
      <c r="D616" s="3" t="s">
        <v>19</v>
      </c>
      <c r="E616" s="3">
        <v>112189</v>
      </c>
      <c r="F616" s="3">
        <v>15979309287</v>
      </c>
      <c r="G616" s="3">
        <v>517637349</v>
      </c>
      <c r="H616" s="8" t="s">
        <v>1738</v>
      </c>
      <c r="I616" s="8" t="s">
        <v>1738</v>
      </c>
      <c r="J616" s="8"/>
      <c r="L616" s="37" t="s">
        <v>25</v>
      </c>
    </row>
    <row r="617" spans="1:12">
      <c r="A617" s="3">
        <v>9483</v>
      </c>
      <c r="C617" s="3" t="s">
        <v>1220</v>
      </c>
      <c r="H617" s="8"/>
      <c r="I617" s="8"/>
      <c r="J617" s="8"/>
    </row>
    <row r="618" spans="1:12">
      <c r="A618" s="3">
        <v>9484</v>
      </c>
      <c r="C618" s="3" t="s">
        <v>1220</v>
      </c>
      <c r="H618" s="8"/>
      <c r="I618" s="8"/>
      <c r="J618" s="8"/>
    </row>
    <row r="619" spans="1:12">
      <c r="A619" s="3">
        <v>9485</v>
      </c>
      <c r="B619" s="3" t="s">
        <v>1741</v>
      </c>
      <c r="C619" s="3" t="s">
        <v>1220</v>
      </c>
      <c r="D619" s="3" t="s">
        <v>19</v>
      </c>
      <c r="E619" s="3">
        <v>109500</v>
      </c>
      <c r="F619" s="3">
        <v>14295553713</v>
      </c>
      <c r="G619" s="3">
        <v>495621091</v>
      </c>
      <c r="H619" s="8" t="s">
        <v>1742</v>
      </c>
      <c r="I619" s="8" t="s">
        <v>1742</v>
      </c>
      <c r="J619" s="8"/>
      <c r="L619" s="37" t="s">
        <v>25</v>
      </c>
    </row>
    <row r="620" spans="1:12">
      <c r="A620" s="4">
        <v>9486</v>
      </c>
      <c r="B620" s="3" t="s">
        <v>1745</v>
      </c>
      <c r="C620" s="3" t="s">
        <v>1220</v>
      </c>
      <c r="D620" s="3" t="s">
        <v>19</v>
      </c>
      <c r="E620" s="3">
        <v>110050</v>
      </c>
      <c r="F620" s="3">
        <v>14742673077</v>
      </c>
      <c r="G620" s="3">
        <v>501459325</v>
      </c>
      <c r="H620" s="8" t="s">
        <v>1746</v>
      </c>
      <c r="I620" s="8" t="s">
        <v>1746</v>
      </c>
      <c r="J620" s="8"/>
      <c r="L620" s="37" t="s">
        <v>25</v>
      </c>
    </row>
    <row r="621" spans="1:12">
      <c r="A621" s="3">
        <v>9487</v>
      </c>
      <c r="B621" s="3" t="s">
        <v>1749</v>
      </c>
      <c r="C621" s="3" t="s">
        <v>1220</v>
      </c>
      <c r="D621" s="3" t="s">
        <v>19</v>
      </c>
      <c r="E621" s="3">
        <v>109541</v>
      </c>
      <c r="F621" s="3">
        <v>14295648081</v>
      </c>
      <c r="G621" s="3">
        <v>495621130</v>
      </c>
      <c r="H621" s="8" t="s">
        <v>1750</v>
      </c>
      <c r="I621" s="8" t="s">
        <v>1750</v>
      </c>
      <c r="J621" s="8"/>
      <c r="L621" s="37" t="s">
        <v>25</v>
      </c>
    </row>
    <row r="622" spans="1:12">
      <c r="A622" s="3">
        <v>9488</v>
      </c>
      <c r="B622" s="3" t="s">
        <v>1753</v>
      </c>
      <c r="C622" s="3" t="s">
        <v>1220</v>
      </c>
      <c r="D622" s="3" t="s">
        <v>19</v>
      </c>
      <c r="E622" s="3">
        <v>109454</v>
      </c>
      <c r="F622" s="3">
        <v>14295459044</v>
      </c>
      <c r="G622" s="3">
        <v>495621103</v>
      </c>
      <c r="H622" s="8" t="s">
        <v>1754</v>
      </c>
      <c r="I622" s="8" t="s">
        <v>1754</v>
      </c>
      <c r="J622" s="8"/>
      <c r="L622" s="37" t="s">
        <v>25</v>
      </c>
    </row>
    <row r="623" spans="1:12">
      <c r="A623" s="3">
        <v>9489</v>
      </c>
      <c r="C623" s="3" t="s">
        <v>1220</v>
      </c>
      <c r="H623" s="8"/>
      <c r="I623" s="8"/>
      <c r="J623" s="8"/>
    </row>
    <row r="624" spans="1:12">
      <c r="A624" s="4">
        <v>9490</v>
      </c>
      <c r="C624" s="3" t="s">
        <v>1220</v>
      </c>
      <c r="H624" s="8"/>
      <c r="I624" s="8"/>
      <c r="J624" s="8"/>
    </row>
    <row r="625" spans="1:12">
      <c r="A625" s="3">
        <v>9491</v>
      </c>
      <c r="B625" s="3" t="s">
        <v>860</v>
      </c>
      <c r="C625" s="3" t="s">
        <v>1220</v>
      </c>
      <c r="D625" s="3" t="s">
        <v>19</v>
      </c>
      <c r="E625" s="3">
        <v>109455</v>
      </c>
      <c r="F625" s="3">
        <v>14295459045</v>
      </c>
      <c r="G625" s="3">
        <v>495621236</v>
      </c>
      <c r="H625" s="8" t="s">
        <v>1757</v>
      </c>
      <c r="I625" s="8" t="s">
        <v>1757</v>
      </c>
      <c r="J625" s="8"/>
      <c r="L625" s="37" t="s">
        <v>25</v>
      </c>
    </row>
    <row r="626" spans="1:12">
      <c r="A626" s="3">
        <v>9492</v>
      </c>
      <c r="B626" s="3" t="s">
        <v>1760</v>
      </c>
      <c r="C626" s="3" t="s">
        <v>1220</v>
      </c>
      <c r="D626" s="3" t="s">
        <v>19</v>
      </c>
      <c r="E626" s="3">
        <v>112214</v>
      </c>
      <c r="F626" s="3">
        <v>15979381865</v>
      </c>
      <c r="G626" s="3">
        <v>517637963</v>
      </c>
      <c r="H626" s="8" t="s">
        <v>1761</v>
      </c>
      <c r="I626" s="8" t="s">
        <v>1761</v>
      </c>
      <c r="J626" s="8"/>
      <c r="L626" s="37" t="s">
        <v>25</v>
      </c>
    </row>
    <row r="627" spans="1:12">
      <c r="A627" s="3">
        <v>9493</v>
      </c>
      <c r="B627" s="3" t="s">
        <v>1764</v>
      </c>
      <c r="C627" s="3" t="s">
        <v>1220</v>
      </c>
      <c r="D627" s="3" t="s">
        <v>19</v>
      </c>
      <c r="E627" s="3">
        <v>109508</v>
      </c>
      <c r="F627" s="3">
        <v>14295557668</v>
      </c>
      <c r="G627" s="3">
        <v>495621162</v>
      </c>
      <c r="H627" s="8" t="s">
        <v>1765</v>
      </c>
      <c r="I627" s="8" t="s">
        <v>1765</v>
      </c>
      <c r="J627" s="8"/>
      <c r="L627" s="37" t="s">
        <v>25</v>
      </c>
    </row>
    <row r="628" spans="1:12">
      <c r="A628" s="4">
        <v>9494</v>
      </c>
      <c r="C628" s="3" t="s">
        <v>1220</v>
      </c>
      <c r="H628" s="8"/>
      <c r="I628" s="8"/>
      <c r="J628" s="8"/>
    </row>
    <row r="629" spans="1:12">
      <c r="A629" s="3">
        <v>9495</v>
      </c>
      <c r="C629" s="3" t="s">
        <v>1220</v>
      </c>
      <c r="H629" s="8"/>
      <c r="I629" s="8"/>
      <c r="J629" s="8"/>
    </row>
    <row r="630" spans="1:12">
      <c r="A630" s="3">
        <v>9496</v>
      </c>
      <c r="B630" s="3" t="s">
        <v>1768</v>
      </c>
      <c r="C630" s="3" t="s">
        <v>1220</v>
      </c>
      <c r="D630" s="3" t="s">
        <v>19</v>
      </c>
      <c r="E630" s="3">
        <v>110051</v>
      </c>
      <c r="F630" s="3">
        <v>14742695640</v>
      </c>
      <c r="G630" s="3">
        <v>501459329</v>
      </c>
      <c r="H630" s="8" t="s">
        <v>1769</v>
      </c>
      <c r="I630" s="8" t="s">
        <v>1769</v>
      </c>
      <c r="J630" s="8"/>
      <c r="L630" s="37" t="s">
        <v>25</v>
      </c>
    </row>
    <row r="631" spans="1:12">
      <c r="A631" s="3">
        <v>9497</v>
      </c>
      <c r="B631" s="3" t="s">
        <v>1772</v>
      </c>
      <c r="C631" s="3" t="s">
        <v>1220</v>
      </c>
      <c r="D631" s="3" t="s">
        <v>19</v>
      </c>
      <c r="E631" s="3">
        <v>109494</v>
      </c>
      <c r="F631" s="3">
        <v>14295550208</v>
      </c>
      <c r="G631" s="3">
        <v>495621117</v>
      </c>
      <c r="H631" s="8" t="s">
        <v>1773</v>
      </c>
      <c r="I631" s="8" t="s">
        <v>1773</v>
      </c>
      <c r="J631" s="8"/>
      <c r="L631" s="37" t="s">
        <v>25</v>
      </c>
    </row>
    <row r="632" spans="1:12">
      <c r="A632" s="4">
        <v>9498</v>
      </c>
      <c r="B632" s="3" t="s">
        <v>1776</v>
      </c>
      <c r="C632" s="3" t="s">
        <v>1220</v>
      </c>
      <c r="D632" s="3" t="s">
        <v>19</v>
      </c>
      <c r="E632" s="3">
        <v>109468</v>
      </c>
      <c r="F632" s="3">
        <v>14295519770</v>
      </c>
      <c r="G632" s="3">
        <v>495621170</v>
      </c>
      <c r="H632" s="8" t="s">
        <v>1777</v>
      </c>
      <c r="I632" s="8" t="s">
        <v>1777</v>
      </c>
      <c r="J632" s="8"/>
      <c r="L632" s="37" t="s">
        <v>25</v>
      </c>
    </row>
    <row r="633" spans="1:12">
      <c r="A633" s="3">
        <v>9499</v>
      </c>
      <c r="C633" s="3" t="s">
        <v>1220</v>
      </c>
      <c r="H633" s="8"/>
      <c r="I633" s="8"/>
      <c r="J633" s="8"/>
    </row>
    <row r="634" spans="1:12">
      <c r="A634" s="3">
        <v>9500</v>
      </c>
      <c r="C634" s="3" t="s">
        <v>1220</v>
      </c>
      <c r="H634" s="8"/>
      <c r="I634" s="8"/>
      <c r="J634" s="8"/>
    </row>
    <row r="635" spans="1:12">
      <c r="A635" s="3">
        <v>9501</v>
      </c>
      <c r="B635" s="3" t="s">
        <v>1780</v>
      </c>
      <c r="C635" s="3" t="s">
        <v>1220</v>
      </c>
      <c r="D635" s="3" t="s">
        <v>19</v>
      </c>
      <c r="E635" s="3">
        <v>112478</v>
      </c>
      <c r="F635" s="3">
        <v>16008995119</v>
      </c>
      <c r="G635" s="3">
        <v>517999888</v>
      </c>
      <c r="H635" s="8" t="s">
        <v>1781</v>
      </c>
      <c r="I635" s="8" t="s">
        <v>1781</v>
      </c>
      <c r="J635" s="8"/>
      <c r="L635" s="37" t="s">
        <v>25</v>
      </c>
    </row>
    <row r="636" spans="1:12">
      <c r="A636" s="4">
        <v>9502</v>
      </c>
      <c r="B636" s="3" t="s">
        <v>1784</v>
      </c>
      <c r="C636" s="3" t="s">
        <v>1220</v>
      </c>
      <c r="D636" s="3" t="s">
        <v>19</v>
      </c>
      <c r="E636" s="3">
        <v>112485</v>
      </c>
      <c r="F636" s="3">
        <v>16009006482</v>
      </c>
      <c r="G636" s="3">
        <v>517999868</v>
      </c>
      <c r="H636" s="8" t="s">
        <v>1785</v>
      </c>
      <c r="I636" s="8" t="s">
        <v>1785</v>
      </c>
      <c r="J636" s="8"/>
      <c r="L636" s="37" t="s">
        <v>25</v>
      </c>
    </row>
    <row r="637" spans="1:12">
      <c r="A637" s="4">
        <v>9503</v>
      </c>
      <c r="B637" s="3" t="s">
        <v>1788</v>
      </c>
      <c r="C637" s="3" t="s">
        <v>1220</v>
      </c>
      <c r="D637" s="3" t="s">
        <v>19</v>
      </c>
      <c r="E637" s="3">
        <v>112398</v>
      </c>
      <c r="F637" s="3">
        <v>16003757687</v>
      </c>
      <c r="G637" s="3">
        <v>517938475</v>
      </c>
      <c r="H637" s="8" t="s">
        <v>1789</v>
      </c>
      <c r="I637" s="8" t="s">
        <v>1789</v>
      </c>
      <c r="J637" s="8"/>
      <c r="L637" s="37" t="s">
        <v>25</v>
      </c>
    </row>
    <row r="638" spans="1:12">
      <c r="A638" s="3">
        <v>9504</v>
      </c>
      <c r="B638" s="3" t="s">
        <v>1792</v>
      </c>
      <c r="C638" s="3" t="s">
        <v>1220</v>
      </c>
      <c r="D638" s="3" t="s">
        <v>19</v>
      </c>
      <c r="E638" s="3">
        <v>112177</v>
      </c>
      <c r="F638" s="3">
        <v>15974353927</v>
      </c>
      <c r="G638" s="3">
        <v>517571279</v>
      </c>
      <c r="H638" s="8" t="s">
        <v>1793</v>
      </c>
      <c r="I638" s="8" t="s">
        <v>1793</v>
      </c>
      <c r="J638" s="8"/>
      <c r="L638" s="37" t="s">
        <v>25</v>
      </c>
    </row>
    <row r="639" spans="1:12">
      <c r="A639" s="3">
        <v>9505</v>
      </c>
      <c r="B639" s="3" t="s">
        <v>1796</v>
      </c>
      <c r="C639" s="3" t="s">
        <v>1220</v>
      </c>
      <c r="D639" s="3" t="s">
        <v>19</v>
      </c>
      <c r="E639" s="3">
        <v>112222</v>
      </c>
      <c r="F639" s="3">
        <v>15979494965</v>
      </c>
      <c r="G639" s="3">
        <v>517637360</v>
      </c>
      <c r="H639" s="8" t="s">
        <v>1797</v>
      </c>
      <c r="I639" s="8" t="s">
        <v>1797</v>
      </c>
      <c r="J639" s="8"/>
      <c r="L639" s="37" t="s">
        <v>25</v>
      </c>
    </row>
    <row r="640" spans="1:12">
      <c r="A640" s="3">
        <v>9506</v>
      </c>
      <c r="C640" s="3" t="s">
        <v>1220</v>
      </c>
      <c r="H640" s="8"/>
      <c r="I640" s="8"/>
      <c r="J640" s="8"/>
    </row>
    <row r="641" spans="1:12">
      <c r="A641" s="4">
        <v>9507</v>
      </c>
      <c r="C641" s="3" t="s">
        <v>1220</v>
      </c>
      <c r="H641" s="8"/>
      <c r="I641" s="8"/>
      <c r="J641" s="8"/>
    </row>
    <row r="642" spans="1:12">
      <c r="A642" s="3">
        <v>9508</v>
      </c>
      <c r="C642" s="3" t="s">
        <v>1220</v>
      </c>
      <c r="H642" s="8"/>
      <c r="I642" s="8"/>
      <c r="J642" s="8"/>
    </row>
    <row r="643" spans="1:12">
      <c r="A643" s="3">
        <v>9509</v>
      </c>
      <c r="B643" s="3" t="s">
        <v>1800</v>
      </c>
      <c r="C643" s="3" t="s">
        <v>1220</v>
      </c>
      <c r="D643" s="3" t="s">
        <v>19</v>
      </c>
      <c r="E643" s="3">
        <v>112188</v>
      </c>
      <c r="F643" s="3">
        <v>15979303417</v>
      </c>
      <c r="G643" s="3">
        <v>517637399</v>
      </c>
      <c r="H643" s="8" t="s">
        <v>1801</v>
      </c>
      <c r="I643" s="8" t="s">
        <v>1801</v>
      </c>
      <c r="J643" s="8"/>
      <c r="L643" s="37" t="s">
        <v>25</v>
      </c>
    </row>
    <row r="644" spans="1:12">
      <c r="A644" s="3">
        <v>9510</v>
      </c>
      <c r="B644" s="3" t="s">
        <v>1804</v>
      </c>
      <c r="C644" s="3" t="s">
        <v>1220</v>
      </c>
      <c r="D644" s="3" t="s">
        <v>19</v>
      </c>
      <c r="E644" s="3">
        <v>112307</v>
      </c>
      <c r="F644" s="3">
        <v>15984692651</v>
      </c>
      <c r="G644" s="3">
        <v>517699239</v>
      </c>
      <c r="H644" s="8" t="s">
        <v>1805</v>
      </c>
      <c r="I644" s="8" t="s">
        <v>1805</v>
      </c>
      <c r="J644" s="8"/>
      <c r="L644" s="37" t="s">
        <v>25</v>
      </c>
    </row>
    <row r="645" spans="1:12">
      <c r="A645" s="4">
        <v>9511</v>
      </c>
      <c r="B645" s="3" t="s">
        <v>1808</v>
      </c>
      <c r="C645" s="3" t="s">
        <v>1220</v>
      </c>
      <c r="D645" s="3" t="s">
        <v>19</v>
      </c>
      <c r="E645" s="3">
        <v>112197</v>
      </c>
      <c r="F645" s="3">
        <v>15979322840</v>
      </c>
      <c r="G645" s="3">
        <v>517637353</v>
      </c>
      <c r="H645" s="8" t="s">
        <v>1809</v>
      </c>
      <c r="I645" s="8" t="s">
        <v>1809</v>
      </c>
      <c r="J645" s="8"/>
      <c r="L645" s="37" t="s">
        <v>25</v>
      </c>
    </row>
    <row r="646" spans="1:12">
      <c r="A646" s="3">
        <v>9512</v>
      </c>
      <c r="C646" s="3" t="s">
        <v>1220</v>
      </c>
      <c r="H646" s="8"/>
      <c r="I646" s="8"/>
      <c r="J646" s="8"/>
    </row>
    <row r="647" spans="1:12">
      <c r="A647" s="3">
        <v>9513</v>
      </c>
      <c r="C647" s="3" t="s">
        <v>1220</v>
      </c>
      <c r="H647" s="8"/>
      <c r="I647" s="8"/>
      <c r="J647" s="8"/>
    </row>
    <row r="648" spans="1:12">
      <c r="A648" s="3">
        <v>9514</v>
      </c>
      <c r="B648" s="3" t="s">
        <v>1812</v>
      </c>
      <c r="C648" s="3" t="s">
        <v>1220</v>
      </c>
      <c r="D648" s="3" t="s">
        <v>19</v>
      </c>
      <c r="E648" s="3">
        <v>109456</v>
      </c>
      <c r="F648" s="3">
        <v>14295462824</v>
      </c>
      <c r="G648" s="3">
        <v>495621197</v>
      </c>
      <c r="H648" s="8" t="s">
        <v>1813</v>
      </c>
      <c r="I648" s="8" t="s">
        <v>1813</v>
      </c>
      <c r="J648" s="8"/>
      <c r="L648" s="37" t="s">
        <v>25</v>
      </c>
    </row>
    <row r="649" spans="1:12">
      <c r="A649" s="4">
        <v>9515</v>
      </c>
      <c r="B649" s="3" t="s">
        <v>1816</v>
      </c>
      <c r="C649" s="3" t="s">
        <v>1220</v>
      </c>
      <c r="D649" s="3" t="s">
        <v>19</v>
      </c>
      <c r="E649" s="3">
        <v>109674</v>
      </c>
      <c r="F649" s="3">
        <v>14507317765</v>
      </c>
      <c r="G649" s="3">
        <v>498373756</v>
      </c>
      <c r="H649" s="8" t="s">
        <v>1817</v>
      </c>
      <c r="I649" s="8" t="s">
        <v>1817</v>
      </c>
      <c r="J649" s="8"/>
      <c r="L649" s="37" t="s">
        <v>25</v>
      </c>
    </row>
    <row r="650" spans="1:12">
      <c r="A650" s="3">
        <v>9516</v>
      </c>
      <c r="B650" s="3" t="s">
        <v>1820</v>
      </c>
      <c r="C650" s="3" t="s">
        <v>1220</v>
      </c>
      <c r="D650" s="3" t="s">
        <v>19</v>
      </c>
      <c r="E650" s="3">
        <v>109483</v>
      </c>
      <c r="F650" s="3">
        <v>14295539246</v>
      </c>
      <c r="G650" s="3">
        <v>495621078</v>
      </c>
      <c r="H650" s="8" t="s">
        <v>1821</v>
      </c>
      <c r="I650" s="8" t="s">
        <v>1821</v>
      </c>
      <c r="J650" s="8"/>
      <c r="L650" s="37" t="s">
        <v>25</v>
      </c>
    </row>
    <row r="651" spans="1:12">
      <c r="A651" s="3">
        <v>9517</v>
      </c>
      <c r="B651" s="3" t="s">
        <v>1824</v>
      </c>
      <c r="C651" s="3" t="s">
        <v>1220</v>
      </c>
      <c r="D651" s="3" t="s">
        <v>19</v>
      </c>
      <c r="E651" s="3">
        <v>112311</v>
      </c>
      <c r="F651" s="3">
        <v>15984713835</v>
      </c>
      <c r="G651" s="3">
        <v>517699256</v>
      </c>
      <c r="H651" s="8" t="s">
        <v>1825</v>
      </c>
      <c r="I651" s="8" t="s">
        <v>1825</v>
      </c>
      <c r="J651" s="8"/>
      <c r="L651" s="37" t="s">
        <v>25</v>
      </c>
    </row>
    <row r="652" spans="1:12">
      <c r="A652" s="3">
        <v>9518</v>
      </c>
      <c r="C652" s="3" t="s">
        <v>1220</v>
      </c>
      <c r="H652" s="8"/>
      <c r="I652" s="8"/>
      <c r="J652" s="8"/>
      <c r="L652" s="37"/>
    </row>
    <row r="653" spans="1:12">
      <c r="A653" s="4">
        <v>9519</v>
      </c>
      <c r="B653" s="3" t="s">
        <v>1828</v>
      </c>
      <c r="C653" s="3" t="s">
        <v>1220</v>
      </c>
      <c r="D653" s="3" t="s">
        <v>19</v>
      </c>
      <c r="E653" s="3">
        <v>112308</v>
      </c>
      <c r="F653" s="3">
        <v>15984696081</v>
      </c>
      <c r="G653" s="3">
        <v>517699262</v>
      </c>
      <c r="H653" s="8" t="s">
        <v>1829</v>
      </c>
      <c r="I653" s="8" t="s">
        <v>1829</v>
      </c>
      <c r="J653" s="8"/>
      <c r="L653" s="37" t="s">
        <v>25</v>
      </c>
    </row>
    <row r="654" spans="1:12">
      <c r="A654" s="3">
        <v>9520</v>
      </c>
      <c r="B654" s="3" t="s">
        <v>1832</v>
      </c>
      <c r="C654" s="3" t="s">
        <v>1220</v>
      </c>
      <c r="D654" s="3" t="s">
        <v>19</v>
      </c>
      <c r="E654" s="3">
        <v>112361</v>
      </c>
      <c r="F654" s="3">
        <v>15998688110</v>
      </c>
      <c r="G654" s="3">
        <v>517878593</v>
      </c>
      <c r="H654" s="8" t="s">
        <v>1833</v>
      </c>
      <c r="I654" s="8" t="s">
        <v>1833</v>
      </c>
      <c r="J654" s="8"/>
      <c r="L654" s="37" t="s">
        <v>25</v>
      </c>
    </row>
    <row r="655" spans="1:12">
      <c r="A655" s="3">
        <v>9521</v>
      </c>
      <c r="C655" s="3" t="s">
        <v>1220</v>
      </c>
      <c r="H655" s="8"/>
      <c r="I655" s="8"/>
      <c r="J655" s="8"/>
    </row>
    <row r="656" spans="1:12">
      <c r="A656" s="3">
        <v>9522</v>
      </c>
      <c r="C656" s="3" t="s">
        <v>1220</v>
      </c>
      <c r="H656" s="8"/>
      <c r="I656" s="8"/>
      <c r="J656" s="8"/>
    </row>
    <row r="657" spans="1:12">
      <c r="A657" s="4">
        <v>9523</v>
      </c>
      <c r="C657" s="3" t="s">
        <v>1220</v>
      </c>
      <c r="H657" s="8"/>
      <c r="I657" s="8"/>
      <c r="J657" s="8"/>
    </row>
    <row r="658" spans="1:12">
      <c r="A658" s="3">
        <v>9524</v>
      </c>
      <c r="B658" s="3" t="s">
        <v>1836</v>
      </c>
      <c r="C658" s="3" t="s">
        <v>1220</v>
      </c>
      <c r="D658" s="3" t="s">
        <v>19</v>
      </c>
      <c r="E658" s="3">
        <v>112193</v>
      </c>
      <c r="F658" s="3">
        <v>15979311462</v>
      </c>
      <c r="G658" s="3">
        <v>517637700</v>
      </c>
      <c r="H658" s="8" t="s">
        <v>1837</v>
      </c>
      <c r="I658" s="8" t="s">
        <v>1837</v>
      </c>
      <c r="J658" s="8"/>
      <c r="L658" s="37" t="s">
        <v>25</v>
      </c>
    </row>
    <row r="659" spans="1:12">
      <c r="A659" s="3">
        <v>9525</v>
      </c>
      <c r="B659" s="3" t="s">
        <v>1840</v>
      </c>
      <c r="C659" s="3" t="s">
        <v>1220</v>
      </c>
      <c r="D659" s="3" t="s">
        <v>19</v>
      </c>
      <c r="E659" s="3">
        <v>112309</v>
      </c>
      <c r="F659" s="3">
        <v>15984701217</v>
      </c>
      <c r="G659" s="3">
        <v>517699266</v>
      </c>
      <c r="H659" s="8" t="s">
        <v>1841</v>
      </c>
      <c r="I659" s="8" t="s">
        <v>1841</v>
      </c>
      <c r="J659" s="8"/>
      <c r="L659" s="37" t="s">
        <v>25</v>
      </c>
    </row>
    <row r="660" spans="1:12">
      <c r="A660" s="3">
        <v>9526</v>
      </c>
      <c r="B660" s="3" t="s">
        <v>1844</v>
      </c>
      <c r="C660" s="3" t="s">
        <v>1220</v>
      </c>
      <c r="D660" s="3" t="s">
        <v>19</v>
      </c>
      <c r="E660" s="3">
        <v>109451</v>
      </c>
      <c r="F660" s="3">
        <v>14295455121</v>
      </c>
      <c r="G660" s="3">
        <v>495621137</v>
      </c>
      <c r="H660" s="8" t="s">
        <v>1845</v>
      </c>
      <c r="I660" s="8" t="s">
        <v>1845</v>
      </c>
      <c r="J660" s="8"/>
      <c r="L660" s="37" t="s">
        <v>25</v>
      </c>
    </row>
    <row r="661" spans="1:12">
      <c r="A661" s="4">
        <v>9527</v>
      </c>
      <c r="C661" s="3" t="s">
        <v>1220</v>
      </c>
      <c r="H661" s="8"/>
      <c r="I661" s="8"/>
      <c r="J661" s="8"/>
    </row>
    <row r="662" spans="1:12">
      <c r="A662" s="3">
        <v>9528</v>
      </c>
      <c r="C662" s="3" t="s">
        <v>1220</v>
      </c>
      <c r="H662" s="8"/>
      <c r="I662" s="8"/>
      <c r="J662" s="8"/>
    </row>
    <row r="663" spans="1:12">
      <c r="A663" s="3">
        <v>9529</v>
      </c>
      <c r="B663" s="3" t="s">
        <v>1848</v>
      </c>
      <c r="C663" s="3" t="s">
        <v>1220</v>
      </c>
      <c r="D663" s="3" t="s">
        <v>19</v>
      </c>
      <c r="E663" s="3">
        <v>109492</v>
      </c>
      <c r="F663" s="3">
        <v>14295550206</v>
      </c>
      <c r="G663" s="3">
        <v>495621237</v>
      </c>
      <c r="H663" s="8" t="s">
        <v>1849</v>
      </c>
      <c r="I663" s="8" t="s">
        <v>1849</v>
      </c>
      <c r="J663" s="8"/>
      <c r="L663" s="37" t="s">
        <v>25</v>
      </c>
    </row>
    <row r="664" spans="1:12">
      <c r="A664" s="3">
        <v>9530</v>
      </c>
      <c r="B664" s="3" t="s">
        <v>957</v>
      </c>
      <c r="C664" s="3" t="s">
        <v>1220</v>
      </c>
      <c r="D664" s="3" t="s">
        <v>19</v>
      </c>
      <c r="E664" s="3">
        <v>109501</v>
      </c>
      <c r="F664" s="3">
        <v>14295553714</v>
      </c>
      <c r="G664" s="3">
        <v>495621076</v>
      </c>
      <c r="H664" s="8" t="s">
        <v>1852</v>
      </c>
      <c r="I664" s="8" t="s">
        <v>1852</v>
      </c>
      <c r="J664" s="8"/>
      <c r="L664" s="37" t="s">
        <v>25</v>
      </c>
    </row>
    <row r="665" spans="1:12">
      <c r="A665" s="4">
        <v>9531</v>
      </c>
      <c r="B665" s="3" t="s">
        <v>1855</v>
      </c>
      <c r="C665" s="3" t="s">
        <v>1220</v>
      </c>
      <c r="D665" s="3" t="s">
        <v>19</v>
      </c>
      <c r="E665" s="3">
        <v>109481</v>
      </c>
      <c r="F665" s="3">
        <v>14295538710</v>
      </c>
      <c r="G665" s="3">
        <v>495621179</v>
      </c>
      <c r="H665" s="8" t="s">
        <v>1856</v>
      </c>
      <c r="I665" s="8" t="s">
        <v>1856</v>
      </c>
      <c r="J665" s="8"/>
      <c r="L665" s="37" t="s">
        <v>25</v>
      </c>
    </row>
    <row r="666" spans="1:12">
      <c r="A666" s="3">
        <v>9532</v>
      </c>
      <c r="C666" s="3" t="s">
        <v>1220</v>
      </c>
      <c r="H666" s="8"/>
      <c r="I666" s="8"/>
      <c r="J666" s="8"/>
    </row>
    <row r="667" spans="1:12">
      <c r="A667" s="3">
        <v>9533</v>
      </c>
      <c r="C667" s="3" t="s">
        <v>1220</v>
      </c>
      <c r="H667" s="8"/>
      <c r="I667" s="8"/>
      <c r="J667" s="8"/>
    </row>
    <row r="668" spans="1:12">
      <c r="A668" s="3">
        <v>9534</v>
      </c>
      <c r="B668" s="3" t="s">
        <v>1859</v>
      </c>
      <c r="C668" s="3" t="s">
        <v>1220</v>
      </c>
      <c r="D668" s="3" t="s">
        <v>19</v>
      </c>
      <c r="E668" s="3">
        <v>109474</v>
      </c>
      <c r="F668" s="3">
        <v>14295526678</v>
      </c>
      <c r="G668" s="3">
        <v>495621227</v>
      </c>
      <c r="H668" s="8" t="s">
        <v>1860</v>
      </c>
      <c r="I668" s="8" t="s">
        <v>1860</v>
      </c>
      <c r="J668" s="8"/>
      <c r="L668" s="37" t="s">
        <v>25</v>
      </c>
    </row>
    <row r="669" spans="1:12">
      <c r="A669" s="4">
        <v>9535</v>
      </c>
      <c r="B669" s="3" t="s">
        <v>1863</v>
      </c>
      <c r="C669" s="3" t="s">
        <v>1220</v>
      </c>
      <c r="D669" s="3" t="s">
        <v>19</v>
      </c>
      <c r="E669" s="3">
        <v>112310</v>
      </c>
      <c r="F669" s="3">
        <v>15984701218</v>
      </c>
      <c r="G669" s="3">
        <v>517699268</v>
      </c>
      <c r="H669" s="8" t="s">
        <v>1864</v>
      </c>
      <c r="I669" s="8" t="s">
        <v>1864</v>
      </c>
      <c r="J669" s="8"/>
      <c r="L669" s="37" t="s">
        <v>25</v>
      </c>
    </row>
    <row r="670" spans="1:12">
      <c r="A670" s="3">
        <v>9536</v>
      </c>
      <c r="B670" s="3" t="s">
        <v>1867</v>
      </c>
      <c r="C670" s="3" t="s">
        <v>1220</v>
      </c>
      <c r="D670" s="3" t="s">
        <v>19</v>
      </c>
      <c r="E670" s="3">
        <v>112414</v>
      </c>
      <c r="F670" s="3">
        <v>16004001000</v>
      </c>
      <c r="G670" s="3">
        <v>517938469</v>
      </c>
      <c r="H670" s="8" t="s">
        <v>1868</v>
      </c>
      <c r="I670" s="8" t="s">
        <v>1868</v>
      </c>
      <c r="J670" s="8"/>
      <c r="L670" s="37" t="s">
        <v>25</v>
      </c>
    </row>
    <row r="671" spans="1:12">
      <c r="A671" s="3">
        <v>9537</v>
      </c>
      <c r="B671" s="3" t="s">
        <v>1871</v>
      </c>
      <c r="C671" s="3" t="s">
        <v>1220</v>
      </c>
      <c r="D671" s="3" t="s">
        <v>19</v>
      </c>
      <c r="E671" s="3">
        <v>112438</v>
      </c>
      <c r="F671" s="3">
        <v>16008702097</v>
      </c>
      <c r="G671" s="3">
        <v>517999847</v>
      </c>
      <c r="H671" s="8" t="s">
        <v>1872</v>
      </c>
      <c r="I671" s="8" t="s">
        <v>1872</v>
      </c>
      <c r="J671" s="8"/>
      <c r="L671" s="37" t="s">
        <v>25</v>
      </c>
    </row>
    <row r="672" spans="1:12">
      <c r="A672" s="3">
        <v>9538</v>
      </c>
      <c r="B672" s="3" t="s">
        <v>1875</v>
      </c>
      <c r="C672" s="3" t="s">
        <v>1220</v>
      </c>
      <c r="D672" s="3" t="s">
        <v>19</v>
      </c>
      <c r="E672" s="3">
        <v>112344</v>
      </c>
      <c r="F672" s="3">
        <v>15988513889</v>
      </c>
      <c r="G672" s="3">
        <v>517699277</v>
      </c>
      <c r="H672" s="8" t="s">
        <v>1876</v>
      </c>
      <c r="I672" s="8" t="s">
        <v>1876</v>
      </c>
      <c r="J672" s="8"/>
      <c r="L672" s="37" t="s">
        <v>25</v>
      </c>
    </row>
    <row r="673" spans="1:12">
      <c r="A673" s="4">
        <v>9539</v>
      </c>
      <c r="B673" s="3" t="s">
        <v>1879</v>
      </c>
      <c r="C673" s="3" t="s">
        <v>1220</v>
      </c>
      <c r="D673" s="3" t="s">
        <v>19</v>
      </c>
      <c r="E673" s="3">
        <v>109559</v>
      </c>
      <c r="F673" s="3">
        <v>14295776530</v>
      </c>
      <c r="G673" s="3">
        <v>495621169</v>
      </c>
      <c r="H673" s="8" t="s">
        <v>1880</v>
      </c>
      <c r="I673" s="8" t="s">
        <v>1880</v>
      </c>
      <c r="J673" s="8"/>
      <c r="L673" s="37" t="s">
        <v>25</v>
      </c>
    </row>
    <row r="674" spans="1:12">
      <c r="A674" s="3">
        <v>9540</v>
      </c>
      <c r="C674" s="3" t="s">
        <v>1220</v>
      </c>
      <c r="H674" s="8"/>
      <c r="I674" s="8"/>
      <c r="J674" s="8"/>
    </row>
    <row r="675" spans="1:12">
      <c r="A675" s="3">
        <v>9541</v>
      </c>
      <c r="C675" s="3" t="s">
        <v>1220</v>
      </c>
      <c r="H675" s="8"/>
      <c r="I675" s="8"/>
      <c r="J675" s="8"/>
    </row>
    <row r="676" spans="1:12">
      <c r="A676" s="3">
        <v>9542</v>
      </c>
      <c r="B676" s="3" t="s">
        <v>1883</v>
      </c>
      <c r="C676" s="3" t="s">
        <v>1220</v>
      </c>
      <c r="D676" s="3" t="s">
        <v>19</v>
      </c>
      <c r="E676" s="3">
        <v>109545</v>
      </c>
      <c r="F676" s="3">
        <v>14295675036</v>
      </c>
      <c r="G676" s="3">
        <v>495621118</v>
      </c>
      <c r="H676" s="8" t="s">
        <v>1884</v>
      </c>
      <c r="I676" s="8" t="s">
        <v>1884</v>
      </c>
      <c r="J676" s="8"/>
      <c r="L676" s="37" t="s">
        <v>25</v>
      </c>
    </row>
    <row r="677" spans="1:12">
      <c r="A677" s="4">
        <v>9543</v>
      </c>
      <c r="B677" s="3" t="s">
        <v>1887</v>
      </c>
      <c r="C677" s="3" t="s">
        <v>1220</v>
      </c>
      <c r="D677" s="3" t="s">
        <v>19</v>
      </c>
      <c r="E677" s="3">
        <v>109578</v>
      </c>
      <c r="F677" s="3">
        <v>14299386168</v>
      </c>
      <c r="G677" s="3">
        <v>495621067</v>
      </c>
      <c r="H677" s="8" t="s">
        <v>1888</v>
      </c>
      <c r="I677" s="8" t="s">
        <v>1888</v>
      </c>
      <c r="J677" s="8"/>
      <c r="L677" s="37" t="s">
        <v>25</v>
      </c>
    </row>
    <row r="678" spans="1:12">
      <c r="A678" s="3">
        <v>9544</v>
      </c>
      <c r="B678" s="3" t="s">
        <v>1891</v>
      </c>
      <c r="C678" s="3" t="s">
        <v>1220</v>
      </c>
      <c r="D678" s="3" t="s">
        <v>19</v>
      </c>
      <c r="E678" s="3">
        <v>112353</v>
      </c>
      <c r="F678" s="3">
        <v>15998583591</v>
      </c>
      <c r="G678" s="3">
        <v>517878557</v>
      </c>
      <c r="H678" s="8" t="s">
        <v>1892</v>
      </c>
      <c r="I678" s="8" t="s">
        <v>1892</v>
      </c>
      <c r="J678" s="8"/>
      <c r="L678" s="37" t="s">
        <v>25</v>
      </c>
    </row>
    <row r="679" spans="1:12">
      <c r="A679" s="3">
        <v>9545</v>
      </c>
      <c r="C679" s="3" t="s">
        <v>1220</v>
      </c>
      <c r="H679" s="8"/>
      <c r="I679" s="8"/>
      <c r="J679" s="8"/>
    </row>
    <row r="680" spans="1:12">
      <c r="A680" s="3">
        <v>9546</v>
      </c>
      <c r="C680" s="3" t="s">
        <v>1220</v>
      </c>
      <c r="H680" s="8"/>
      <c r="I680" s="8"/>
      <c r="J680" s="8"/>
    </row>
    <row r="681" spans="1:12">
      <c r="A681" s="4">
        <v>9547</v>
      </c>
      <c r="B681" s="3" t="s">
        <v>1895</v>
      </c>
      <c r="C681" s="3" t="s">
        <v>1220</v>
      </c>
      <c r="D681" s="3" t="s">
        <v>19</v>
      </c>
      <c r="E681" s="3">
        <v>112153</v>
      </c>
      <c r="F681" s="3">
        <v>15973223799</v>
      </c>
      <c r="G681" s="3">
        <v>517571286</v>
      </c>
      <c r="H681" s="8" t="s">
        <v>1896</v>
      </c>
      <c r="I681" s="8" t="s">
        <v>1896</v>
      </c>
      <c r="J681" s="8"/>
      <c r="L681" s="37" t="s">
        <v>25</v>
      </c>
    </row>
    <row r="682" spans="1:12">
      <c r="A682" s="3">
        <v>9548</v>
      </c>
      <c r="B682" s="3" t="s">
        <v>1899</v>
      </c>
      <c r="C682" s="3" t="s">
        <v>1220</v>
      </c>
      <c r="D682" s="3" t="s">
        <v>19</v>
      </c>
      <c r="E682" s="3">
        <v>112152</v>
      </c>
      <c r="F682" s="3">
        <v>15973180292</v>
      </c>
      <c r="G682" s="3">
        <v>517571301</v>
      </c>
      <c r="H682" s="8" t="s">
        <v>1900</v>
      </c>
      <c r="I682" s="8" t="s">
        <v>1900</v>
      </c>
      <c r="J682" s="8"/>
      <c r="L682" s="37" t="s">
        <v>25</v>
      </c>
    </row>
    <row r="683" spans="1:12">
      <c r="A683" s="3">
        <v>9549</v>
      </c>
      <c r="C683" s="3" t="s">
        <v>1220</v>
      </c>
      <c r="H683" s="8"/>
      <c r="I683" s="8"/>
      <c r="J683" s="8"/>
    </row>
    <row r="684" spans="1:12">
      <c r="A684" s="3">
        <v>9550</v>
      </c>
      <c r="C684" s="3" t="s">
        <v>1220</v>
      </c>
      <c r="H684" s="8"/>
      <c r="I684" s="8"/>
      <c r="J684" s="8"/>
    </row>
    <row r="685" spans="1:12">
      <c r="A685" s="4">
        <v>9551</v>
      </c>
      <c r="B685" s="3" t="s">
        <v>1903</v>
      </c>
      <c r="C685" s="3" t="s">
        <v>1220</v>
      </c>
      <c r="D685" s="3" t="s">
        <v>19</v>
      </c>
      <c r="E685" s="3">
        <v>109594</v>
      </c>
      <c r="F685" s="3">
        <v>14305342946</v>
      </c>
      <c r="G685" s="3">
        <v>495621196</v>
      </c>
      <c r="H685" s="8" t="s">
        <v>1904</v>
      </c>
      <c r="I685" s="8" t="s">
        <v>1904</v>
      </c>
      <c r="J685" s="8"/>
      <c r="L685" s="37" t="s">
        <v>25</v>
      </c>
    </row>
    <row r="686" spans="1:12">
      <c r="A686" s="3">
        <v>9552</v>
      </c>
      <c r="B686" s="3" t="s">
        <v>1907</v>
      </c>
      <c r="C686" s="3" t="s">
        <v>1220</v>
      </c>
      <c r="D686" s="3" t="s">
        <v>19</v>
      </c>
      <c r="E686" s="3">
        <v>109465</v>
      </c>
      <c r="F686" s="3">
        <v>14295518264</v>
      </c>
      <c r="G686" s="3">
        <v>495621126</v>
      </c>
      <c r="H686" s="8" t="s">
        <v>1908</v>
      </c>
      <c r="I686" s="8" t="s">
        <v>1908</v>
      </c>
      <c r="J686" s="8"/>
      <c r="L686" s="37" t="s">
        <v>25</v>
      </c>
    </row>
    <row r="687" spans="1:12">
      <c r="A687" s="3">
        <v>9553</v>
      </c>
      <c r="B687" s="3" t="s">
        <v>1911</v>
      </c>
      <c r="C687" s="3" t="s">
        <v>1220</v>
      </c>
      <c r="D687" s="3" t="s">
        <v>19</v>
      </c>
      <c r="E687" s="3">
        <v>109584</v>
      </c>
      <c r="F687" s="3">
        <v>14299667363</v>
      </c>
      <c r="G687" s="3">
        <v>495621138</v>
      </c>
      <c r="H687" s="8" t="s">
        <v>1912</v>
      </c>
      <c r="I687" s="8" t="s">
        <v>1912</v>
      </c>
      <c r="J687" s="8"/>
      <c r="L687" s="37" t="s">
        <v>25</v>
      </c>
    </row>
    <row r="688" spans="1:12">
      <c r="A688" s="3">
        <v>9554</v>
      </c>
      <c r="B688" s="3" t="s">
        <v>1915</v>
      </c>
      <c r="C688" s="3" t="s">
        <v>1220</v>
      </c>
      <c r="D688" s="3" t="s">
        <v>19</v>
      </c>
      <c r="E688" s="3">
        <v>112327</v>
      </c>
      <c r="F688" s="3">
        <v>15986922199</v>
      </c>
      <c r="G688" s="3">
        <v>517699211</v>
      </c>
      <c r="H688" s="8" t="s">
        <v>1916</v>
      </c>
      <c r="I688" s="8" t="s">
        <v>1916</v>
      </c>
      <c r="J688" s="8"/>
      <c r="L688" s="37" t="s">
        <v>25</v>
      </c>
    </row>
    <row r="689" spans="1:12">
      <c r="A689" s="4">
        <v>9555</v>
      </c>
      <c r="B689" s="3" t="s">
        <v>1919</v>
      </c>
      <c r="C689" s="3" t="s">
        <v>1220</v>
      </c>
      <c r="D689" s="3" t="s">
        <v>19</v>
      </c>
      <c r="E689" s="3">
        <v>112345</v>
      </c>
      <c r="F689" s="3">
        <v>15988557215</v>
      </c>
      <c r="G689" s="3">
        <v>517699169</v>
      </c>
      <c r="H689" s="8" t="s">
        <v>1920</v>
      </c>
      <c r="I689" s="8" t="s">
        <v>1920</v>
      </c>
      <c r="J689" s="8"/>
      <c r="L689" s="37" t="s">
        <v>25</v>
      </c>
    </row>
    <row r="690" spans="1:12">
      <c r="A690" s="3">
        <v>9556</v>
      </c>
      <c r="B690" s="3" t="s">
        <v>1923</v>
      </c>
      <c r="C690" s="3" t="s">
        <v>1220</v>
      </c>
      <c r="D690" s="3" t="s">
        <v>19</v>
      </c>
      <c r="E690" s="3">
        <v>112220</v>
      </c>
      <c r="F690" s="3">
        <v>15979422859</v>
      </c>
      <c r="G690" s="3">
        <v>517637460</v>
      </c>
      <c r="H690" s="8" t="s">
        <v>1924</v>
      </c>
      <c r="I690" s="8" t="s">
        <v>1924</v>
      </c>
      <c r="J690" s="8"/>
      <c r="L690" s="37" t="s">
        <v>25</v>
      </c>
    </row>
    <row r="691" spans="1:12">
      <c r="A691" s="3">
        <v>9557</v>
      </c>
      <c r="C691" s="3" t="s">
        <v>1220</v>
      </c>
      <c r="H691" s="8"/>
      <c r="I691" s="8"/>
      <c r="J691" s="8"/>
    </row>
    <row r="692" spans="1:12">
      <c r="A692" s="3">
        <v>9558</v>
      </c>
      <c r="C692" s="3" t="s">
        <v>1220</v>
      </c>
      <c r="H692" s="8"/>
      <c r="I692" s="8"/>
      <c r="J692" s="8"/>
    </row>
    <row r="693" spans="1:12">
      <c r="A693" s="4">
        <v>9559</v>
      </c>
      <c r="B693" s="3" t="s">
        <v>1927</v>
      </c>
      <c r="C693" s="3" t="s">
        <v>1220</v>
      </c>
      <c r="D693" s="3" t="s">
        <v>19</v>
      </c>
      <c r="E693" s="3">
        <v>112202</v>
      </c>
      <c r="F693" s="3">
        <v>15979327553</v>
      </c>
      <c r="G693" s="3">
        <v>517637394</v>
      </c>
      <c r="H693" s="8" t="s">
        <v>1928</v>
      </c>
      <c r="I693" s="8" t="s">
        <v>1928</v>
      </c>
      <c r="J693" s="8"/>
      <c r="L693" s="37" t="s">
        <v>25</v>
      </c>
    </row>
    <row r="694" spans="1:12">
      <c r="A694" s="3">
        <v>9560</v>
      </c>
      <c r="B694" s="3" t="s">
        <v>1931</v>
      </c>
      <c r="C694" s="3" t="s">
        <v>1220</v>
      </c>
      <c r="D694" s="3" t="s">
        <v>19</v>
      </c>
      <c r="E694" s="3">
        <v>109452</v>
      </c>
      <c r="F694" s="3">
        <v>14295455739</v>
      </c>
      <c r="G694" s="3">
        <v>495621062</v>
      </c>
      <c r="H694" s="8" t="s">
        <v>1932</v>
      </c>
      <c r="I694" s="8" t="s">
        <v>1932</v>
      </c>
      <c r="J694" s="8"/>
      <c r="L694" s="37" t="s">
        <v>25</v>
      </c>
    </row>
    <row r="695" spans="1:12">
      <c r="A695" s="3">
        <v>9561</v>
      </c>
      <c r="B695" s="3" t="s">
        <v>1935</v>
      </c>
      <c r="C695" s="3" t="s">
        <v>1220</v>
      </c>
      <c r="D695" s="3" t="s">
        <v>19</v>
      </c>
      <c r="E695" s="3">
        <v>109510</v>
      </c>
      <c r="F695" s="3">
        <v>14295560335</v>
      </c>
      <c r="G695" s="3">
        <v>495621246</v>
      </c>
      <c r="H695" s="8" t="s">
        <v>1936</v>
      </c>
      <c r="I695" s="8" t="s">
        <v>1936</v>
      </c>
      <c r="J695" s="8"/>
      <c r="L695" s="37" t="s">
        <v>25</v>
      </c>
    </row>
    <row r="696" spans="1:12">
      <c r="A696" s="3">
        <v>9562</v>
      </c>
      <c r="B696" s="3" t="s">
        <v>1939</v>
      </c>
      <c r="C696" s="3" t="s">
        <v>1220</v>
      </c>
      <c r="D696" s="3" t="s">
        <v>19</v>
      </c>
      <c r="E696" s="3">
        <v>109511</v>
      </c>
      <c r="F696" s="3">
        <v>14295564806</v>
      </c>
      <c r="G696" s="3">
        <v>495621204</v>
      </c>
      <c r="H696" s="8" t="s">
        <v>1940</v>
      </c>
      <c r="I696" s="8" t="s">
        <v>1940</v>
      </c>
      <c r="J696" s="8"/>
      <c r="L696" s="37" t="s">
        <v>25</v>
      </c>
    </row>
    <row r="697" spans="1:12">
      <c r="A697" s="4">
        <v>9563</v>
      </c>
      <c r="B697" s="3" t="s">
        <v>1943</v>
      </c>
      <c r="C697" s="3" t="s">
        <v>1220</v>
      </c>
      <c r="D697" s="3" t="s">
        <v>19</v>
      </c>
      <c r="E697" s="3">
        <v>109436</v>
      </c>
      <c r="F697" s="3">
        <v>14294931470</v>
      </c>
      <c r="G697" s="3">
        <v>495621127</v>
      </c>
      <c r="H697" s="8" t="s">
        <v>1944</v>
      </c>
      <c r="I697" s="8" t="s">
        <v>1944</v>
      </c>
      <c r="J697" s="8"/>
      <c r="L697" s="37" t="s">
        <v>25</v>
      </c>
    </row>
    <row r="698" spans="1:12">
      <c r="A698" s="3">
        <v>9564</v>
      </c>
      <c r="B698" s="3" t="s">
        <v>1947</v>
      </c>
      <c r="C698" s="3" t="s">
        <v>1220</v>
      </c>
      <c r="D698" s="3" t="s">
        <v>19</v>
      </c>
      <c r="E698" s="3">
        <v>109560</v>
      </c>
      <c r="F698" s="3">
        <v>14295776531</v>
      </c>
      <c r="G698" s="3">
        <v>495621093</v>
      </c>
      <c r="H698" s="8" t="s">
        <v>1948</v>
      </c>
      <c r="I698" s="8" t="s">
        <v>1948</v>
      </c>
      <c r="J698" s="8"/>
      <c r="L698" s="37" t="s">
        <v>25</v>
      </c>
    </row>
    <row r="699" spans="1:12">
      <c r="A699" s="3">
        <v>9565</v>
      </c>
      <c r="B699" s="3" t="s">
        <v>1951</v>
      </c>
      <c r="C699" s="3" t="s">
        <v>1220</v>
      </c>
      <c r="D699" s="3" t="s">
        <v>19</v>
      </c>
      <c r="E699" s="3">
        <v>109666</v>
      </c>
      <c r="F699" s="3">
        <v>14507298048</v>
      </c>
      <c r="G699" s="3">
        <v>498373747</v>
      </c>
      <c r="H699" s="8" t="s">
        <v>1952</v>
      </c>
      <c r="I699" s="8" t="s">
        <v>1952</v>
      </c>
      <c r="J699" s="8"/>
      <c r="L699" s="37" t="s">
        <v>25</v>
      </c>
    </row>
    <row r="700" spans="1:12">
      <c r="A700" s="3">
        <v>9566</v>
      </c>
      <c r="C700" s="3" t="s">
        <v>1220</v>
      </c>
      <c r="H700" s="8"/>
      <c r="I700" s="8"/>
      <c r="J700" s="8"/>
    </row>
    <row r="701" spans="1:12">
      <c r="A701" s="4">
        <v>9567</v>
      </c>
      <c r="C701" s="3" t="s">
        <v>1220</v>
      </c>
      <c r="H701" s="8"/>
      <c r="I701" s="8"/>
      <c r="J701" s="8"/>
    </row>
    <row r="702" spans="1:12">
      <c r="A702" s="3">
        <v>9568</v>
      </c>
      <c r="B702" s="3" t="s">
        <v>1955</v>
      </c>
      <c r="C702" s="3" t="s">
        <v>1220</v>
      </c>
      <c r="D702" s="3" t="s">
        <v>19</v>
      </c>
      <c r="E702" s="3">
        <v>112178</v>
      </c>
      <c r="F702" s="3">
        <v>15974354085</v>
      </c>
      <c r="G702" s="3">
        <v>517571285</v>
      </c>
      <c r="H702" s="8" t="s">
        <v>4177</v>
      </c>
      <c r="I702" s="8" t="s">
        <v>4177</v>
      </c>
      <c r="J702" s="8"/>
      <c r="L702" s="37" t="s">
        <v>25</v>
      </c>
    </row>
    <row r="703" spans="1:12">
      <c r="A703" s="3">
        <v>9569</v>
      </c>
      <c r="B703" s="3" t="s">
        <v>1959</v>
      </c>
      <c r="C703" s="3" t="s">
        <v>1220</v>
      </c>
      <c r="D703" s="3" t="s">
        <v>19</v>
      </c>
      <c r="E703" s="3">
        <v>104603</v>
      </c>
      <c r="F703" s="3">
        <v>11052366091</v>
      </c>
      <c r="G703" s="3">
        <v>453875853</v>
      </c>
      <c r="H703" s="8" t="s">
        <v>1960</v>
      </c>
      <c r="I703" s="8" t="s">
        <v>1960</v>
      </c>
      <c r="J703" s="8"/>
      <c r="L703" s="37" t="s">
        <v>25</v>
      </c>
    </row>
    <row r="704" spans="1:12">
      <c r="A704" s="3">
        <v>9570</v>
      </c>
      <c r="C704" s="3" t="s">
        <v>1220</v>
      </c>
      <c r="H704" s="8"/>
      <c r="I704" s="8"/>
      <c r="J704" s="8"/>
    </row>
    <row r="705" spans="1:12">
      <c r="A705" s="4">
        <v>9571</v>
      </c>
      <c r="B705" s="3" t="s">
        <v>1963</v>
      </c>
      <c r="C705" s="3" t="s">
        <v>1220</v>
      </c>
      <c r="D705" s="3" t="s">
        <v>19</v>
      </c>
      <c r="E705" s="3">
        <v>109579</v>
      </c>
      <c r="F705" s="3">
        <v>14299420867</v>
      </c>
      <c r="G705" s="3">
        <v>495621153</v>
      </c>
      <c r="H705" s="8" t="s">
        <v>1964</v>
      </c>
      <c r="I705" s="8" t="s">
        <v>1964</v>
      </c>
      <c r="J705" s="8"/>
      <c r="L705" s="37" t="s">
        <v>25</v>
      </c>
    </row>
    <row r="706" spans="1:12">
      <c r="A706" s="3">
        <v>9572</v>
      </c>
      <c r="B706" s="3" t="s">
        <v>1967</v>
      </c>
      <c r="C706" s="3" t="s">
        <v>1220</v>
      </c>
      <c r="D706" s="3" t="s">
        <v>19</v>
      </c>
      <c r="E706" s="3">
        <v>112400</v>
      </c>
      <c r="F706" s="3">
        <v>16003765590</v>
      </c>
      <c r="G706" s="3">
        <v>517938462</v>
      </c>
      <c r="H706" s="8" t="s">
        <v>1968</v>
      </c>
      <c r="I706" s="8" t="s">
        <v>1968</v>
      </c>
      <c r="J706" s="8"/>
      <c r="L706" s="37" t="s">
        <v>25</v>
      </c>
    </row>
    <row r="707" spans="1:12">
      <c r="A707" s="3">
        <v>9573</v>
      </c>
      <c r="B707" s="3" t="s">
        <v>1971</v>
      </c>
      <c r="C707" s="3" t="s">
        <v>1220</v>
      </c>
      <c r="D707" s="3" t="s">
        <v>19</v>
      </c>
      <c r="E707" s="3">
        <v>112182</v>
      </c>
      <c r="F707" s="3">
        <v>15974362251</v>
      </c>
      <c r="G707" s="3">
        <v>517571292</v>
      </c>
      <c r="H707" s="8" t="s">
        <v>1972</v>
      </c>
      <c r="I707" s="8" t="s">
        <v>1972</v>
      </c>
      <c r="J707" s="8"/>
      <c r="L707" s="37" t="s">
        <v>25</v>
      </c>
    </row>
    <row r="708" spans="1:12">
      <c r="A708" s="3">
        <v>9574</v>
      </c>
      <c r="B708" s="3" t="s">
        <v>1975</v>
      </c>
      <c r="C708" s="3" t="s">
        <v>1220</v>
      </c>
      <c r="D708" s="3" t="s">
        <v>19</v>
      </c>
      <c r="E708" s="3">
        <v>112223</v>
      </c>
      <c r="F708" s="3">
        <v>15979665846</v>
      </c>
      <c r="G708" s="3">
        <v>517637355</v>
      </c>
      <c r="H708" s="8" t="s">
        <v>1976</v>
      </c>
      <c r="I708" s="8" t="s">
        <v>1976</v>
      </c>
      <c r="J708" s="8"/>
      <c r="L708" s="37" t="s">
        <v>25</v>
      </c>
    </row>
    <row r="709" spans="1:12">
      <c r="A709" s="4">
        <v>9575</v>
      </c>
      <c r="C709" s="3" t="s">
        <v>1220</v>
      </c>
      <c r="H709" s="8"/>
      <c r="I709" s="8"/>
      <c r="J709" s="8"/>
    </row>
    <row r="710" spans="1:12">
      <c r="A710" s="3">
        <v>9576</v>
      </c>
      <c r="C710" s="3" t="s">
        <v>1220</v>
      </c>
      <c r="H710" s="8"/>
      <c r="I710" s="8"/>
      <c r="J710" s="8"/>
    </row>
    <row r="711" spans="1:12">
      <c r="A711" s="3">
        <v>9577</v>
      </c>
      <c r="B711" s="3" t="s">
        <v>1979</v>
      </c>
      <c r="C711" s="3" t="s">
        <v>1220</v>
      </c>
      <c r="D711" s="3" t="s">
        <v>19</v>
      </c>
      <c r="E711" s="3">
        <v>109472</v>
      </c>
      <c r="F711" s="3">
        <v>14295524490</v>
      </c>
      <c r="G711" s="3">
        <v>495621063</v>
      </c>
      <c r="H711" s="8" t="s">
        <v>1980</v>
      </c>
      <c r="I711" s="8" t="s">
        <v>1980</v>
      </c>
      <c r="J711" s="8"/>
      <c r="L711" s="37" t="s">
        <v>25</v>
      </c>
    </row>
    <row r="712" spans="1:12">
      <c r="A712" s="3">
        <v>9578</v>
      </c>
      <c r="B712" s="3" t="s">
        <v>1983</v>
      </c>
      <c r="C712" s="3" t="s">
        <v>1220</v>
      </c>
      <c r="D712" s="3" t="s">
        <v>19</v>
      </c>
      <c r="E712" s="3">
        <v>112322</v>
      </c>
      <c r="F712" s="3">
        <v>15986834866</v>
      </c>
      <c r="G712" s="3">
        <v>517699260</v>
      </c>
      <c r="H712" s="8" t="s">
        <v>1984</v>
      </c>
      <c r="I712" s="8" t="s">
        <v>1984</v>
      </c>
      <c r="J712" s="8"/>
      <c r="L712" s="37" t="s">
        <v>25</v>
      </c>
    </row>
    <row r="713" spans="1:12">
      <c r="A713" s="4">
        <v>9579</v>
      </c>
      <c r="B713" s="3" t="s">
        <v>1987</v>
      </c>
      <c r="C713" s="3" t="s">
        <v>1220</v>
      </c>
      <c r="D713" s="3" t="s">
        <v>19</v>
      </c>
      <c r="E713" s="3">
        <v>109576</v>
      </c>
      <c r="F713" s="3">
        <v>14299386166</v>
      </c>
      <c r="G713" s="3">
        <v>495621168</v>
      </c>
      <c r="H713" s="8" t="s">
        <v>1988</v>
      </c>
      <c r="I713" s="8" t="s">
        <v>1988</v>
      </c>
      <c r="J713" s="8"/>
      <c r="L713" s="37" t="s">
        <v>25</v>
      </c>
    </row>
    <row r="714" spans="1:12">
      <c r="A714" s="3">
        <v>9580</v>
      </c>
      <c r="B714" s="3" t="s">
        <v>1991</v>
      </c>
      <c r="C714" s="3" t="s">
        <v>1220</v>
      </c>
      <c r="D714" s="3" t="s">
        <v>19</v>
      </c>
      <c r="E714" s="3">
        <v>112301</v>
      </c>
      <c r="F714" s="3">
        <v>15984668038</v>
      </c>
      <c r="G714" s="3">
        <v>517699226</v>
      </c>
      <c r="H714" s="8" t="s">
        <v>1992</v>
      </c>
      <c r="I714" s="8" t="s">
        <v>1992</v>
      </c>
      <c r="J714" s="8"/>
      <c r="L714" s="37" t="s">
        <v>25</v>
      </c>
    </row>
    <row r="715" spans="1:12">
      <c r="A715" s="3">
        <v>9581</v>
      </c>
      <c r="B715" s="3" t="s">
        <v>1995</v>
      </c>
      <c r="C715" s="3" t="s">
        <v>1220</v>
      </c>
      <c r="D715" s="3" t="s">
        <v>19</v>
      </c>
      <c r="E715" s="3">
        <v>112183</v>
      </c>
      <c r="F715" s="3">
        <v>15974362499</v>
      </c>
      <c r="G715" s="3">
        <v>517571273</v>
      </c>
      <c r="H715" s="8" t="s">
        <v>1996</v>
      </c>
      <c r="I715" s="8" t="s">
        <v>1996</v>
      </c>
      <c r="J715" s="8"/>
      <c r="L715" s="37" t="s">
        <v>25</v>
      </c>
    </row>
    <row r="716" spans="1:12">
      <c r="A716" s="3">
        <v>9582</v>
      </c>
      <c r="B716" s="3" t="s">
        <v>1999</v>
      </c>
      <c r="C716" s="3" t="s">
        <v>1220</v>
      </c>
      <c r="D716" s="3" t="s">
        <v>19</v>
      </c>
      <c r="E716" s="3">
        <v>109525</v>
      </c>
      <c r="F716" s="3">
        <v>14295605065</v>
      </c>
      <c r="G716" s="3">
        <v>495621230</v>
      </c>
      <c r="H716" s="8" t="s">
        <v>2000</v>
      </c>
      <c r="I716" s="8" t="s">
        <v>2000</v>
      </c>
      <c r="J716" s="8"/>
      <c r="L716" s="37" t="s">
        <v>25</v>
      </c>
    </row>
    <row r="717" spans="1:12">
      <c r="A717" s="4">
        <v>9583</v>
      </c>
      <c r="C717" s="3" t="s">
        <v>1220</v>
      </c>
      <c r="H717" s="8"/>
      <c r="I717" s="8"/>
      <c r="J717" s="8"/>
    </row>
    <row r="718" spans="1:12">
      <c r="A718" s="3">
        <v>9584</v>
      </c>
      <c r="C718" s="3" t="s">
        <v>1220</v>
      </c>
      <c r="H718" s="8"/>
      <c r="I718" s="8"/>
      <c r="J718" s="8"/>
    </row>
    <row r="719" spans="1:12">
      <c r="A719" s="3">
        <v>9585</v>
      </c>
      <c r="B719" s="3" t="s">
        <v>2003</v>
      </c>
      <c r="C719" s="3" t="s">
        <v>1220</v>
      </c>
      <c r="D719" s="3" t="s">
        <v>19</v>
      </c>
      <c r="E719" s="3">
        <v>109551</v>
      </c>
      <c r="F719" s="3">
        <v>14295734483</v>
      </c>
      <c r="G719" s="3">
        <v>495621151</v>
      </c>
      <c r="H719" s="8" t="s">
        <v>2004</v>
      </c>
      <c r="I719" s="8" t="s">
        <v>2004</v>
      </c>
      <c r="J719" s="8"/>
      <c r="L719" s="37" t="s">
        <v>25</v>
      </c>
    </row>
    <row r="720" spans="1:12">
      <c r="A720" s="3">
        <v>9586</v>
      </c>
      <c r="B720" s="3" t="s">
        <v>2007</v>
      </c>
      <c r="C720" s="3" t="s">
        <v>1220</v>
      </c>
      <c r="D720" s="3" t="s">
        <v>19</v>
      </c>
      <c r="E720" s="3">
        <v>109549</v>
      </c>
      <c r="F720" s="3">
        <v>14295718098</v>
      </c>
      <c r="G720" s="3">
        <v>495621202</v>
      </c>
      <c r="H720" s="8" t="s">
        <v>2008</v>
      </c>
      <c r="I720" s="8" t="s">
        <v>2008</v>
      </c>
      <c r="J720" s="8"/>
      <c r="L720" s="37" t="s">
        <v>25</v>
      </c>
    </row>
    <row r="721" spans="1:12">
      <c r="A721" s="4">
        <v>9587</v>
      </c>
      <c r="B721" s="3" t="s">
        <v>2011</v>
      </c>
      <c r="C721" s="3" t="s">
        <v>1220</v>
      </c>
      <c r="D721" s="3" t="s">
        <v>19</v>
      </c>
      <c r="E721" s="3">
        <v>109505</v>
      </c>
      <c r="F721" s="3">
        <v>14295555616</v>
      </c>
      <c r="G721" s="3">
        <v>495621086</v>
      </c>
      <c r="H721" s="8" t="s">
        <v>2012</v>
      </c>
      <c r="I721" s="8" t="s">
        <v>2012</v>
      </c>
      <c r="J721" s="8"/>
      <c r="L721" s="37" t="s">
        <v>25</v>
      </c>
    </row>
    <row r="722" spans="1:12">
      <c r="A722" s="3">
        <v>9588</v>
      </c>
      <c r="B722" s="3" t="s">
        <v>2015</v>
      </c>
      <c r="C722" s="3" t="s">
        <v>1220</v>
      </c>
      <c r="D722" s="3" t="s">
        <v>19</v>
      </c>
      <c r="E722" s="3">
        <v>109458</v>
      </c>
      <c r="F722" s="3">
        <v>14295464068</v>
      </c>
      <c r="G722" s="3">
        <v>495621158</v>
      </c>
      <c r="H722" s="8" t="s">
        <v>2016</v>
      </c>
      <c r="I722" s="8" t="s">
        <v>2016</v>
      </c>
      <c r="J722" s="8"/>
      <c r="L722" s="37" t="s">
        <v>25</v>
      </c>
    </row>
    <row r="723" spans="1:12">
      <c r="A723" s="3">
        <v>9589</v>
      </c>
      <c r="C723" s="3" t="s">
        <v>1220</v>
      </c>
      <c r="H723" s="8"/>
      <c r="I723" s="8"/>
      <c r="J723" s="8"/>
    </row>
    <row r="724" spans="1:12">
      <c r="A724" s="3">
        <v>9590</v>
      </c>
      <c r="C724" s="3" t="s">
        <v>1220</v>
      </c>
      <c r="H724" s="8"/>
      <c r="I724" s="8"/>
      <c r="J724" s="8"/>
    </row>
    <row r="725" spans="1:12">
      <c r="A725" s="4">
        <v>9591</v>
      </c>
      <c r="B725" s="3" t="s">
        <v>2019</v>
      </c>
      <c r="C725" s="3" t="s">
        <v>1220</v>
      </c>
      <c r="D725" s="3" t="s">
        <v>19</v>
      </c>
      <c r="E725" s="3">
        <v>109530</v>
      </c>
      <c r="F725" s="3">
        <v>14295608426</v>
      </c>
      <c r="G725" s="3">
        <v>495621140</v>
      </c>
      <c r="H725" s="8" t="s">
        <v>2020</v>
      </c>
      <c r="I725" s="8" t="s">
        <v>2020</v>
      </c>
      <c r="J725" s="8"/>
      <c r="L725" s="37" t="s">
        <v>25</v>
      </c>
    </row>
    <row r="726" spans="1:12">
      <c r="A726" s="3">
        <v>9592</v>
      </c>
      <c r="B726" s="3" t="s">
        <v>2023</v>
      </c>
      <c r="C726" s="3" t="s">
        <v>1220</v>
      </c>
      <c r="D726" s="3" t="s">
        <v>19</v>
      </c>
      <c r="E726" s="3">
        <v>112181</v>
      </c>
      <c r="F726" s="3">
        <v>15974362250</v>
      </c>
      <c r="G726" s="3">
        <v>517571276</v>
      </c>
      <c r="H726" s="8" t="s">
        <v>2024</v>
      </c>
      <c r="I726" s="8" t="s">
        <v>2024</v>
      </c>
      <c r="J726" s="8"/>
      <c r="L726" s="37" t="s">
        <v>25</v>
      </c>
    </row>
    <row r="727" spans="1:12">
      <c r="A727" s="3">
        <v>9593</v>
      </c>
      <c r="C727" s="3" t="s">
        <v>1220</v>
      </c>
      <c r="H727" s="8"/>
      <c r="I727" s="8"/>
      <c r="J727" s="8"/>
    </row>
    <row r="728" spans="1:12">
      <c r="A728" s="3">
        <v>9594</v>
      </c>
      <c r="C728" s="3" t="s">
        <v>1220</v>
      </c>
      <c r="H728" s="8"/>
      <c r="I728" s="8"/>
      <c r="J728" s="8"/>
    </row>
    <row r="729" spans="1:12">
      <c r="A729" s="4">
        <v>9595</v>
      </c>
      <c r="B729" s="3" t="s">
        <v>2026</v>
      </c>
      <c r="C729" s="3" t="s">
        <v>1220</v>
      </c>
      <c r="D729" s="3" t="s">
        <v>19</v>
      </c>
      <c r="E729" s="3">
        <v>112405</v>
      </c>
      <c r="F729" s="3">
        <v>16003771543</v>
      </c>
      <c r="G729" s="3">
        <v>517939142</v>
      </c>
      <c r="H729" s="8" t="s">
        <v>2027</v>
      </c>
      <c r="I729" s="8" t="s">
        <v>2027</v>
      </c>
      <c r="J729" s="8"/>
      <c r="L729" s="37" t="s">
        <v>25</v>
      </c>
    </row>
    <row r="730" spans="1:12">
      <c r="A730" s="3">
        <v>9596</v>
      </c>
      <c r="B730" s="3" t="s">
        <v>2030</v>
      </c>
      <c r="C730" s="3" t="s">
        <v>1220</v>
      </c>
      <c r="D730" s="3" t="s">
        <v>19</v>
      </c>
      <c r="E730" s="3">
        <v>109547</v>
      </c>
      <c r="F730" s="3">
        <v>14295682280</v>
      </c>
      <c r="G730" s="3">
        <v>495621139</v>
      </c>
      <c r="H730" s="8" t="s">
        <v>2031</v>
      </c>
      <c r="I730" s="8" t="s">
        <v>2031</v>
      </c>
      <c r="J730" s="8"/>
      <c r="L730" s="37" t="s">
        <v>25</v>
      </c>
    </row>
    <row r="731" spans="1:12">
      <c r="A731" s="3">
        <v>9597</v>
      </c>
      <c r="B731" s="3" t="s">
        <v>2034</v>
      </c>
      <c r="C731" s="3" t="s">
        <v>1220</v>
      </c>
      <c r="D731" s="3" t="s">
        <v>19</v>
      </c>
      <c r="E731" s="3">
        <v>112323</v>
      </c>
      <c r="F731" s="3">
        <v>15986834867</v>
      </c>
      <c r="G731" s="3">
        <v>517699173</v>
      </c>
      <c r="H731" s="8" t="s">
        <v>2035</v>
      </c>
      <c r="I731" s="8" t="s">
        <v>2035</v>
      </c>
      <c r="J731" s="8"/>
      <c r="L731" s="37" t="s">
        <v>25</v>
      </c>
    </row>
    <row r="732" spans="1:12">
      <c r="A732" s="3">
        <v>9598</v>
      </c>
      <c r="B732" s="3" t="s">
        <v>2038</v>
      </c>
      <c r="C732" s="3" t="s">
        <v>1220</v>
      </c>
      <c r="D732" s="3" t="s">
        <v>19</v>
      </c>
      <c r="E732" s="3">
        <v>109591</v>
      </c>
      <c r="F732" s="3">
        <v>14299667370</v>
      </c>
      <c r="G732" s="3">
        <v>495621073</v>
      </c>
      <c r="H732" s="8" t="s">
        <v>2039</v>
      </c>
      <c r="I732" s="8" t="s">
        <v>2039</v>
      </c>
      <c r="J732" s="8"/>
      <c r="L732" s="37" t="s">
        <v>25</v>
      </c>
    </row>
    <row r="733" spans="1:12">
      <c r="A733" s="4">
        <v>9599</v>
      </c>
      <c r="B733" s="3" t="s">
        <v>2042</v>
      </c>
      <c r="C733" s="3" t="s">
        <v>1220</v>
      </c>
      <c r="D733" s="3" t="s">
        <v>19</v>
      </c>
      <c r="E733" s="3">
        <v>112059</v>
      </c>
      <c r="F733" s="3">
        <v>15876623297</v>
      </c>
      <c r="G733" s="3">
        <v>516172490</v>
      </c>
      <c r="H733" s="8" t="s">
        <v>2043</v>
      </c>
      <c r="I733" s="8" t="s">
        <v>2043</v>
      </c>
      <c r="J733" s="8"/>
      <c r="L733" s="37" t="s">
        <v>25</v>
      </c>
    </row>
    <row r="734" spans="1:12">
      <c r="A734" s="3">
        <v>9600</v>
      </c>
      <c r="B734" s="3" t="s">
        <v>2046</v>
      </c>
      <c r="C734" s="3" t="s">
        <v>1220</v>
      </c>
      <c r="D734" s="3" t="s">
        <v>19</v>
      </c>
      <c r="E734" s="3">
        <v>112333</v>
      </c>
      <c r="F734" s="3">
        <v>15987995173</v>
      </c>
      <c r="G734" s="3">
        <v>517699155</v>
      </c>
      <c r="H734" s="8" t="s">
        <v>2047</v>
      </c>
      <c r="I734" s="8" t="s">
        <v>2047</v>
      </c>
      <c r="J734" s="8"/>
      <c r="L734" s="37" t="s">
        <v>25</v>
      </c>
    </row>
    <row r="735" spans="1:12">
      <c r="A735" s="3">
        <v>9601</v>
      </c>
      <c r="B735" s="3" t="s">
        <v>2050</v>
      </c>
      <c r="C735" s="3" t="s">
        <v>1220</v>
      </c>
      <c r="D735" s="3" t="s">
        <v>19</v>
      </c>
      <c r="E735" s="3">
        <v>112324</v>
      </c>
      <c r="F735" s="3">
        <v>15986835898</v>
      </c>
      <c r="G735" s="3">
        <v>517699154</v>
      </c>
      <c r="H735" s="8" t="s">
        <v>2051</v>
      </c>
      <c r="I735" s="8" t="s">
        <v>2051</v>
      </c>
      <c r="J735" s="8"/>
      <c r="L735" s="37" t="s">
        <v>25</v>
      </c>
    </row>
    <row r="736" spans="1:12">
      <c r="A736" s="3">
        <v>9602</v>
      </c>
      <c r="B736" s="3" t="s">
        <v>2054</v>
      </c>
      <c r="C736" s="3" t="s">
        <v>1220</v>
      </c>
      <c r="D736" s="3" t="s">
        <v>19</v>
      </c>
      <c r="E736" s="3">
        <v>112194</v>
      </c>
      <c r="F736" s="3">
        <v>15979313363</v>
      </c>
      <c r="G736" s="3">
        <v>517637350</v>
      </c>
      <c r="H736" s="8" t="s">
        <v>2055</v>
      </c>
      <c r="I736" s="8" t="s">
        <v>2055</v>
      </c>
      <c r="J736" s="8"/>
      <c r="L736" s="37" t="s">
        <v>25</v>
      </c>
    </row>
    <row r="737" spans="1:12">
      <c r="A737" s="4">
        <v>9603</v>
      </c>
      <c r="B737" s="3" t="s">
        <v>2058</v>
      </c>
      <c r="C737" s="3" t="s">
        <v>1220</v>
      </c>
      <c r="D737" s="3" t="s">
        <v>19</v>
      </c>
      <c r="E737" s="3">
        <v>112224</v>
      </c>
      <c r="F737" s="3">
        <v>15979665847</v>
      </c>
      <c r="G737" s="3">
        <v>517637715</v>
      </c>
      <c r="H737" s="8" t="s">
        <v>2059</v>
      </c>
      <c r="I737" s="8" t="s">
        <v>2059</v>
      </c>
      <c r="J737" s="8"/>
      <c r="L737" s="37" t="s">
        <v>25</v>
      </c>
    </row>
    <row r="738" spans="1:12">
      <c r="A738" s="4">
        <v>9604</v>
      </c>
      <c r="C738" s="3" t="s">
        <v>1220</v>
      </c>
      <c r="H738" s="8"/>
      <c r="I738" s="8"/>
      <c r="J738" s="8"/>
      <c r="L738" s="37" t="s">
        <v>25</v>
      </c>
    </row>
    <row r="739" spans="1:12">
      <c r="A739" s="3">
        <v>9605</v>
      </c>
      <c r="B739" s="3" t="s">
        <v>2062</v>
      </c>
      <c r="C739" s="3" t="s">
        <v>1220</v>
      </c>
      <c r="D739" s="3" t="s">
        <v>19</v>
      </c>
      <c r="E739" s="3">
        <v>112221</v>
      </c>
      <c r="F739" s="3">
        <v>15979422860</v>
      </c>
      <c r="G739" s="3">
        <v>517637347</v>
      </c>
      <c r="H739" s="8" t="s">
        <v>2063</v>
      </c>
      <c r="I739" s="8" t="s">
        <v>2063</v>
      </c>
      <c r="J739" s="8"/>
      <c r="L739" s="37" t="s">
        <v>25</v>
      </c>
    </row>
    <row r="740" spans="1:12">
      <c r="A740" s="3">
        <v>9606</v>
      </c>
      <c r="B740" s="3" t="s">
        <v>2066</v>
      </c>
      <c r="C740" s="3" t="s">
        <v>1220</v>
      </c>
      <c r="D740" s="3" t="s">
        <v>19</v>
      </c>
      <c r="E740" s="3">
        <v>112314</v>
      </c>
      <c r="F740" s="3">
        <v>15986560442</v>
      </c>
      <c r="G740" s="3">
        <v>517699224</v>
      </c>
      <c r="H740" s="8" t="s">
        <v>2067</v>
      </c>
      <c r="I740" s="8" t="s">
        <v>2067</v>
      </c>
      <c r="J740" s="8"/>
      <c r="L740" s="37" t="s">
        <v>25</v>
      </c>
    </row>
    <row r="741" spans="1:12">
      <c r="A741" s="3">
        <v>9607</v>
      </c>
      <c r="C741" s="3" t="s">
        <v>1220</v>
      </c>
      <c r="H741" s="8"/>
      <c r="I741" s="8"/>
      <c r="J741" s="8"/>
    </row>
    <row r="742" spans="1:12">
      <c r="A742" s="4">
        <v>9608</v>
      </c>
      <c r="C742" s="3" t="s">
        <v>1220</v>
      </c>
      <c r="H742" s="8"/>
      <c r="I742" s="8"/>
      <c r="J742" s="8"/>
    </row>
    <row r="743" spans="1:12">
      <c r="A743" s="3">
        <v>9609</v>
      </c>
      <c r="B743" s="3" t="s">
        <v>2070</v>
      </c>
      <c r="C743" s="3" t="s">
        <v>1220</v>
      </c>
      <c r="D743" s="3" t="s">
        <v>19</v>
      </c>
      <c r="E743" s="3">
        <v>112351</v>
      </c>
      <c r="F743" s="3">
        <v>15998580363</v>
      </c>
      <c r="G743" s="3">
        <v>517878561</v>
      </c>
      <c r="H743" s="8" t="s">
        <v>2071</v>
      </c>
      <c r="I743" s="8" t="s">
        <v>2071</v>
      </c>
      <c r="J743" s="8"/>
      <c r="L743" s="37" t="s">
        <v>25</v>
      </c>
    </row>
    <row r="744" spans="1:12">
      <c r="A744" s="3">
        <v>9610</v>
      </c>
      <c r="C744" s="3" t="s">
        <v>1220</v>
      </c>
      <c r="H744" s="8"/>
      <c r="I744" s="8"/>
      <c r="J744" s="8"/>
    </row>
    <row r="745" spans="1:12">
      <c r="A745" s="3">
        <v>9611</v>
      </c>
      <c r="C745" s="3" t="s">
        <v>1220</v>
      </c>
      <c r="H745" s="8"/>
      <c r="I745" s="8"/>
      <c r="J745" s="8"/>
    </row>
    <row r="746" spans="1:12">
      <c r="A746" s="4">
        <v>9612</v>
      </c>
      <c r="B746" s="3" t="s">
        <v>2074</v>
      </c>
      <c r="C746" s="3" t="s">
        <v>1220</v>
      </c>
      <c r="D746" s="3" t="s">
        <v>19</v>
      </c>
      <c r="E746" s="3">
        <v>109558</v>
      </c>
      <c r="F746" s="3">
        <v>14295774168</v>
      </c>
      <c r="G746" s="3">
        <v>495621061</v>
      </c>
      <c r="H746" s="8" t="s">
        <v>2075</v>
      </c>
      <c r="I746" s="8" t="s">
        <v>2075</v>
      </c>
      <c r="J746" s="8"/>
      <c r="L746" s="37" t="s">
        <v>25</v>
      </c>
    </row>
    <row r="747" spans="1:12">
      <c r="A747" s="3">
        <v>9613</v>
      </c>
      <c r="C747" s="3" t="s">
        <v>1220</v>
      </c>
      <c r="H747" s="8"/>
      <c r="I747" s="8"/>
      <c r="J747" s="8"/>
    </row>
    <row r="748" spans="1:12">
      <c r="A748" s="3">
        <v>9614</v>
      </c>
      <c r="C748" s="3" t="s">
        <v>1220</v>
      </c>
      <c r="H748" s="8"/>
      <c r="I748" s="8"/>
      <c r="J748" s="8"/>
    </row>
    <row r="749" spans="1:12">
      <c r="A749" s="3">
        <v>9615</v>
      </c>
      <c r="B749" s="3" t="s">
        <v>2078</v>
      </c>
      <c r="C749" s="3" t="s">
        <v>1220</v>
      </c>
      <c r="D749" s="3" t="s">
        <v>19</v>
      </c>
      <c r="E749" s="3">
        <v>112459</v>
      </c>
      <c r="F749" s="3">
        <v>16008748852</v>
      </c>
      <c r="G749" s="3">
        <v>517999860</v>
      </c>
      <c r="H749" s="8" t="s">
        <v>2079</v>
      </c>
      <c r="I749" s="8" t="s">
        <v>2079</v>
      </c>
      <c r="J749" s="8"/>
      <c r="L749" s="37" t="s">
        <v>25</v>
      </c>
    </row>
    <row r="750" spans="1:12">
      <c r="A750" s="4">
        <v>9616</v>
      </c>
      <c r="B750" s="3" t="s">
        <v>2082</v>
      </c>
      <c r="C750" s="3" t="s">
        <v>1220</v>
      </c>
      <c r="D750" s="3" t="s">
        <v>19</v>
      </c>
      <c r="E750" s="3">
        <v>112460</v>
      </c>
      <c r="F750" s="3">
        <v>16008756506</v>
      </c>
      <c r="G750" s="3">
        <v>517999887</v>
      </c>
      <c r="H750" s="8" t="s">
        <v>2083</v>
      </c>
      <c r="I750" s="8" t="s">
        <v>2083</v>
      </c>
      <c r="J750" s="8"/>
      <c r="L750" s="37" t="s">
        <v>25</v>
      </c>
    </row>
    <row r="751" spans="1:12">
      <c r="A751" s="3">
        <v>9617</v>
      </c>
      <c r="B751" s="3" t="s">
        <v>2086</v>
      </c>
      <c r="C751" s="3" t="s">
        <v>1220</v>
      </c>
      <c r="D751" s="3" t="s">
        <v>19</v>
      </c>
      <c r="E751" s="3">
        <v>112457</v>
      </c>
      <c r="F751" s="3">
        <v>16008743008</v>
      </c>
      <c r="G751" s="3">
        <v>517999870</v>
      </c>
      <c r="H751" s="8" t="s">
        <v>2087</v>
      </c>
      <c r="I751" s="8" t="s">
        <v>2087</v>
      </c>
      <c r="J751" s="8"/>
      <c r="L751" s="37" t="s">
        <v>25</v>
      </c>
    </row>
    <row r="752" spans="1:12">
      <c r="A752" s="3">
        <v>9618</v>
      </c>
      <c r="C752" s="3" t="s">
        <v>1220</v>
      </c>
      <c r="H752" s="8"/>
      <c r="I752" s="8"/>
      <c r="J752" s="8"/>
    </row>
    <row r="753" spans="1:12">
      <c r="A753" s="3">
        <v>9619</v>
      </c>
      <c r="C753" s="3" t="s">
        <v>1220</v>
      </c>
      <c r="H753" s="8"/>
      <c r="I753" s="8"/>
      <c r="J753" s="8"/>
    </row>
    <row r="754" spans="1:12">
      <c r="A754" s="4">
        <v>9620</v>
      </c>
      <c r="B754" s="3" t="s">
        <v>2090</v>
      </c>
      <c r="C754" s="3" t="s">
        <v>1220</v>
      </c>
      <c r="D754" s="3" t="s">
        <v>19</v>
      </c>
      <c r="E754" s="3">
        <v>112458</v>
      </c>
      <c r="F754" s="3">
        <v>16008743009</v>
      </c>
      <c r="G754" s="3">
        <v>517999852</v>
      </c>
      <c r="H754" s="8" t="s">
        <v>2091</v>
      </c>
      <c r="I754" s="8" t="s">
        <v>2091</v>
      </c>
      <c r="J754" s="8"/>
      <c r="L754" s="37" t="s">
        <v>25</v>
      </c>
    </row>
    <row r="755" spans="1:12">
      <c r="A755" s="3">
        <v>9621</v>
      </c>
      <c r="B755" s="3" t="s">
        <v>2094</v>
      </c>
      <c r="C755" s="3" t="s">
        <v>1220</v>
      </c>
      <c r="D755" s="3" t="s">
        <v>19</v>
      </c>
      <c r="E755" s="3">
        <v>112461</v>
      </c>
      <c r="F755" s="3">
        <v>16008756507</v>
      </c>
      <c r="G755" s="3">
        <v>517999864</v>
      </c>
      <c r="H755" s="8" t="s">
        <v>2095</v>
      </c>
      <c r="I755" s="8" t="s">
        <v>2095</v>
      </c>
      <c r="J755" s="8"/>
      <c r="L755" s="37" t="s">
        <v>25</v>
      </c>
    </row>
    <row r="756" spans="1:12">
      <c r="A756" s="3">
        <v>9622</v>
      </c>
      <c r="B756" s="3" t="s">
        <v>2098</v>
      </c>
      <c r="C756" s="3" t="s">
        <v>1220</v>
      </c>
      <c r="D756" s="3" t="s">
        <v>19</v>
      </c>
      <c r="E756" s="3">
        <v>112463</v>
      </c>
      <c r="F756" s="3">
        <v>16008756509</v>
      </c>
      <c r="G756" s="3">
        <v>517999843</v>
      </c>
      <c r="H756" s="8" t="s">
        <v>2099</v>
      </c>
      <c r="I756" s="8" t="s">
        <v>2099</v>
      </c>
      <c r="J756" s="8"/>
      <c r="L756" s="37" t="s">
        <v>25</v>
      </c>
    </row>
    <row r="757" spans="1:12">
      <c r="A757" s="3">
        <v>9623</v>
      </c>
      <c r="B757" s="3" t="s">
        <v>2102</v>
      </c>
      <c r="C757" s="3" t="s">
        <v>1220</v>
      </c>
      <c r="D757" s="3" t="s">
        <v>19</v>
      </c>
      <c r="E757" s="3">
        <v>109526</v>
      </c>
      <c r="F757" s="3">
        <v>14295604746</v>
      </c>
      <c r="G757" s="3">
        <v>495621074</v>
      </c>
      <c r="H757" s="8" t="s">
        <v>2103</v>
      </c>
      <c r="I757" s="8" t="s">
        <v>2103</v>
      </c>
      <c r="J757" s="8"/>
      <c r="L757" s="37" t="s">
        <v>25</v>
      </c>
    </row>
    <row r="758" spans="1:12">
      <c r="A758" s="4">
        <v>9624</v>
      </c>
      <c r="B758" s="3" t="s">
        <v>2106</v>
      </c>
      <c r="C758" s="3" t="s">
        <v>1220</v>
      </c>
      <c r="D758" s="3" t="s">
        <v>19</v>
      </c>
      <c r="E758" s="3">
        <v>108973</v>
      </c>
      <c r="F758" s="3">
        <v>13818403734</v>
      </c>
      <c r="G758" s="3">
        <v>489011250</v>
      </c>
      <c r="H758" s="8" t="s">
        <v>2107</v>
      </c>
      <c r="I758" s="8" t="s">
        <v>2107</v>
      </c>
      <c r="J758" s="8"/>
      <c r="L758" s="37" t="s">
        <v>25</v>
      </c>
    </row>
    <row r="759" spans="1:12">
      <c r="A759" s="3">
        <v>9625</v>
      </c>
      <c r="B759" s="3" t="s">
        <v>2110</v>
      </c>
      <c r="C759" s="3" t="s">
        <v>1220</v>
      </c>
      <c r="D759" s="3" t="s">
        <v>19</v>
      </c>
      <c r="E759" s="3">
        <v>108971</v>
      </c>
      <c r="F759" s="3">
        <v>13818369240</v>
      </c>
      <c r="G759" s="3">
        <v>489011247</v>
      </c>
      <c r="H759" s="8" t="s">
        <v>2111</v>
      </c>
      <c r="I759" s="8" t="s">
        <v>2111</v>
      </c>
      <c r="J759" s="8"/>
      <c r="L759" s="37" t="s">
        <v>25</v>
      </c>
    </row>
    <row r="760" spans="1:12">
      <c r="A760" s="3">
        <v>9626</v>
      </c>
      <c r="B760" s="3" t="s">
        <v>2114</v>
      </c>
      <c r="C760" s="3" t="s">
        <v>1220</v>
      </c>
      <c r="D760" s="3" t="s">
        <v>19</v>
      </c>
      <c r="E760" s="3">
        <v>112464</v>
      </c>
      <c r="F760" s="3">
        <v>16008756510</v>
      </c>
      <c r="G760" s="3">
        <v>517999889</v>
      </c>
      <c r="H760" s="8" t="s">
        <v>2115</v>
      </c>
      <c r="I760" s="8" t="s">
        <v>2115</v>
      </c>
      <c r="J760" s="8"/>
      <c r="L760" s="37" t="s">
        <v>25</v>
      </c>
    </row>
    <row r="761" spans="1:12">
      <c r="A761" s="3">
        <v>9627</v>
      </c>
      <c r="B761" s="3" t="s">
        <v>2118</v>
      </c>
      <c r="C761" s="3" t="s">
        <v>1220</v>
      </c>
      <c r="D761" s="3" t="s">
        <v>19</v>
      </c>
      <c r="E761" s="3">
        <v>112376</v>
      </c>
      <c r="F761" s="3">
        <v>15999076174</v>
      </c>
      <c r="G761" s="3">
        <v>517878584</v>
      </c>
      <c r="H761" s="8" t="s">
        <v>2119</v>
      </c>
      <c r="I761" s="8" t="s">
        <v>2119</v>
      </c>
      <c r="J761" s="8"/>
      <c r="L761" s="37" t="s">
        <v>25</v>
      </c>
    </row>
    <row r="762" spans="1:12">
      <c r="A762" s="4">
        <v>9628</v>
      </c>
      <c r="B762" s="3" t="s">
        <v>2122</v>
      </c>
      <c r="C762" s="3" t="s">
        <v>1220</v>
      </c>
      <c r="D762" s="3" t="s">
        <v>19</v>
      </c>
      <c r="E762" s="3">
        <v>112350</v>
      </c>
      <c r="F762" s="3">
        <v>15998580276</v>
      </c>
      <c r="G762" s="3">
        <v>517878579</v>
      </c>
      <c r="H762" s="8" t="s">
        <v>2123</v>
      </c>
      <c r="I762" s="8" t="s">
        <v>2123</v>
      </c>
      <c r="J762" s="8"/>
      <c r="L762" s="37" t="s">
        <v>25</v>
      </c>
    </row>
    <row r="763" spans="1:12">
      <c r="A763" s="3">
        <v>9629</v>
      </c>
      <c r="B763" s="3" t="s">
        <v>2126</v>
      </c>
      <c r="C763" s="3" t="s">
        <v>1220</v>
      </c>
      <c r="D763" s="3" t="s">
        <v>19</v>
      </c>
      <c r="E763" s="3">
        <v>108976</v>
      </c>
      <c r="F763" s="3">
        <v>13818427018</v>
      </c>
      <c r="G763" s="3">
        <v>489011259</v>
      </c>
      <c r="H763" s="8" t="s">
        <v>2127</v>
      </c>
      <c r="I763" s="8" t="s">
        <v>2127</v>
      </c>
      <c r="J763" s="8"/>
      <c r="L763" s="37" t="s">
        <v>25</v>
      </c>
    </row>
    <row r="764" spans="1:12">
      <c r="A764" s="3">
        <v>9630</v>
      </c>
      <c r="B764" s="3" t="s">
        <v>2130</v>
      </c>
      <c r="C764" s="3" t="s">
        <v>1220</v>
      </c>
      <c r="D764" s="3" t="s">
        <v>19</v>
      </c>
      <c r="E764" s="3">
        <v>94475</v>
      </c>
      <c r="F764" s="3">
        <v>7502547544</v>
      </c>
      <c r="G764" s="3">
        <v>409614152</v>
      </c>
      <c r="H764" s="8" t="s">
        <v>2131</v>
      </c>
      <c r="I764" s="8" t="s">
        <v>2131</v>
      </c>
      <c r="J764" s="8"/>
      <c r="L764" s="37" t="s">
        <v>25</v>
      </c>
    </row>
    <row r="765" spans="1:12">
      <c r="A765" s="3">
        <v>9631</v>
      </c>
      <c r="B765" s="3" t="s">
        <v>2134</v>
      </c>
      <c r="C765" s="3" t="s">
        <v>1220</v>
      </c>
      <c r="D765" s="3" t="s">
        <v>19</v>
      </c>
      <c r="E765" s="3">
        <v>108974</v>
      </c>
      <c r="F765" s="3">
        <v>13818413479</v>
      </c>
      <c r="G765" s="3">
        <v>489011253</v>
      </c>
      <c r="H765" s="8" t="s">
        <v>2135</v>
      </c>
      <c r="I765" s="8" t="s">
        <v>2135</v>
      </c>
      <c r="J765" s="8"/>
      <c r="L765" s="37" t="s">
        <v>25</v>
      </c>
    </row>
    <row r="766" spans="1:12">
      <c r="A766" s="4">
        <v>9632</v>
      </c>
      <c r="B766" s="3" t="s">
        <v>2138</v>
      </c>
      <c r="C766" s="3" t="s">
        <v>1220</v>
      </c>
      <c r="D766" s="3" t="s">
        <v>19</v>
      </c>
      <c r="E766" s="3">
        <v>108972</v>
      </c>
      <c r="F766" s="3">
        <v>13818385759</v>
      </c>
      <c r="G766" s="3">
        <v>489011251</v>
      </c>
      <c r="H766" s="8" t="s">
        <v>2139</v>
      </c>
      <c r="I766" s="8" t="s">
        <v>2139</v>
      </c>
      <c r="J766" s="8"/>
      <c r="L766" s="37" t="s">
        <v>25</v>
      </c>
    </row>
    <row r="767" spans="1:12">
      <c r="A767" s="3">
        <v>9633</v>
      </c>
      <c r="B767" s="3" t="s">
        <v>2142</v>
      </c>
      <c r="C767" s="3" t="s">
        <v>1220</v>
      </c>
      <c r="D767" s="3" t="s">
        <v>19</v>
      </c>
      <c r="E767" s="3">
        <v>108977</v>
      </c>
      <c r="F767" s="3">
        <v>13818431583</v>
      </c>
      <c r="G767" s="3">
        <v>489011246</v>
      </c>
      <c r="H767" s="8" t="s">
        <v>2143</v>
      </c>
      <c r="I767" s="8" t="s">
        <v>2143</v>
      </c>
      <c r="J767" s="8"/>
      <c r="L767" s="37" t="s">
        <v>25</v>
      </c>
    </row>
    <row r="768" spans="1:12">
      <c r="A768" s="3">
        <v>9634</v>
      </c>
      <c r="C768" s="3" t="s">
        <v>1220</v>
      </c>
      <c r="H768" s="8"/>
      <c r="I768" s="8"/>
      <c r="J768" s="8"/>
    </row>
    <row r="769" spans="1:12">
      <c r="A769" s="3">
        <v>9635</v>
      </c>
      <c r="B769" s="3" t="s">
        <v>2146</v>
      </c>
      <c r="C769" s="3" t="s">
        <v>1220</v>
      </c>
      <c r="D769" s="3" t="s">
        <v>19</v>
      </c>
      <c r="E769" s="3">
        <v>112328</v>
      </c>
      <c r="F769" s="3">
        <v>15986924376</v>
      </c>
      <c r="G769" s="3">
        <v>517699168</v>
      </c>
      <c r="H769" s="8" t="s">
        <v>2147</v>
      </c>
      <c r="I769" s="8" t="s">
        <v>2147</v>
      </c>
      <c r="J769" s="8"/>
      <c r="L769" s="37" t="s">
        <v>25</v>
      </c>
    </row>
    <row r="770" spans="1:12">
      <c r="A770" s="4">
        <v>9636</v>
      </c>
      <c r="B770" s="3" t="s">
        <v>2150</v>
      </c>
      <c r="C770" s="3" t="s">
        <v>1220</v>
      </c>
      <c r="D770" s="3" t="s">
        <v>19</v>
      </c>
      <c r="E770" s="3">
        <v>112326</v>
      </c>
      <c r="F770" s="3">
        <v>15986892616</v>
      </c>
      <c r="G770" s="3">
        <v>517699214</v>
      </c>
      <c r="H770" s="8" t="s">
        <v>2151</v>
      </c>
      <c r="I770" s="8" t="s">
        <v>2151</v>
      </c>
      <c r="J770" s="8"/>
      <c r="L770" s="37" t="s">
        <v>25</v>
      </c>
    </row>
    <row r="771" spans="1:12">
      <c r="A771" s="3">
        <v>9637</v>
      </c>
      <c r="B771" s="3" t="s">
        <v>2154</v>
      </c>
      <c r="C771" s="3" t="s">
        <v>1220</v>
      </c>
      <c r="D771" s="3" t="s">
        <v>19</v>
      </c>
      <c r="E771" s="3">
        <v>112159</v>
      </c>
      <c r="F771" s="3">
        <v>15974317651</v>
      </c>
      <c r="G771" s="3">
        <v>517571303</v>
      </c>
      <c r="H771" s="8" t="s">
        <v>2155</v>
      </c>
      <c r="I771" s="8" t="s">
        <v>2155</v>
      </c>
      <c r="J771" s="8"/>
      <c r="L771" s="37" t="s">
        <v>25</v>
      </c>
    </row>
    <row r="772" spans="1:12">
      <c r="A772" s="3">
        <v>9638</v>
      </c>
      <c r="B772" s="3" t="s">
        <v>2158</v>
      </c>
      <c r="C772" s="3" t="s">
        <v>1220</v>
      </c>
      <c r="D772" s="3" t="s">
        <v>19</v>
      </c>
      <c r="E772" s="3">
        <v>112335</v>
      </c>
      <c r="F772" s="3">
        <v>15987995175</v>
      </c>
      <c r="G772" s="3">
        <v>517699184</v>
      </c>
      <c r="H772" s="8" t="s">
        <v>2159</v>
      </c>
      <c r="I772" s="8" t="s">
        <v>2159</v>
      </c>
      <c r="J772" s="8"/>
      <c r="L772" s="37" t="s">
        <v>25</v>
      </c>
    </row>
    <row r="773" spans="1:12">
      <c r="A773" s="3">
        <v>9639</v>
      </c>
      <c r="B773" s="3" t="s">
        <v>2162</v>
      </c>
      <c r="C773" s="3" t="s">
        <v>1220</v>
      </c>
      <c r="D773" s="3" t="s">
        <v>19</v>
      </c>
      <c r="E773" s="3">
        <v>108978</v>
      </c>
      <c r="F773" s="3">
        <v>13818433356</v>
      </c>
      <c r="G773" s="3">
        <v>489011248</v>
      </c>
      <c r="H773" s="8" t="s">
        <v>2163</v>
      </c>
      <c r="I773" s="8" t="s">
        <v>2163</v>
      </c>
      <c r="J773" s="8"/>
      <c r="L773" s="37" t="s">
        <v>25</v>
      </c>
    </row>
    <row r="774" spans="1:12">
      <c r="A774" s="4">
        <v>9640</v>
      </c>
      <c r="C774" s="3" t="s">
        <v>1220</v>
      </c>
      <c r="H774" s="8"/>
      <c r="I774" s="8"/>
      <c r="J774" s="8"/>
      <c r="L774" s="37"/>
    </row>
    <row r="775" spans="1:12">
      <c r="A775" s="3">
        <v>9641</v>
      </c>
      <c r="C775" s="3" t="s">
        <v>1220</v>
      </c>
      <c r="H775" s="8"/>
      <c r="I775" s="8"/>
      <c r="J775" s="8"/>
    </row>
    <row r="776" spans="1:12">
      <c r="A776" s="3">
        <v>9642</v>
      </c>
      <c r="C776" s="3" t="s">
        <v>1220</v>
      </c>
      <c r="H776" s="8"/>
      <c r="I776" s="8"/>
      <c r="J776" s="8"/>
    </row>
    <row r="777" spans="1:12">
      <c r="A777" s="3">
        <v>9643</v>
      </c>
      <c r="B777" s="3" t="s">
        <v>2166</v>
      </c>
      <c r="C777" s="3" t="s">
        <v>1220</v>
      </c>
      <c r="D777" s="3" t="s">
        <v>19</v>
      </c>
      <c r="E777" s="3">
        <v>112246</v>
      </c>
      <c r="F777" s="3">
        <v>15984418609</v>
      </c>
      <c r="G777" s="3">
        <v>517699174</v>
      </c>
      <c r="H777" s="8" t="s">
        <v>2167</v>
      </c>
      <c r="I777" s="8" t="s">
        <v>2167</v>
      </c>
      <c r="J777" s="8"/>
      <c r="L777" s="37" t="s">
        <v>25</v>
      </c>
    </row>
    <row r="778" spans="1:12">
      <c r="A778" s="4">
        <v>9644</v>
      </c>
      <c r="B778" s="3" t="s">
        <v>2170</v>
      </c>
      <c r="C778" s="3" t="s">
        <v>1220</v>
      </c>
      <c r="D778" s="3" t="s">
        <v>19</v>
      </c>
      <c r="E778" s="3">
        <v>112403</v>
      </c>
      <c r="F778" s="3">
        <v>16003769917</v>
      </c>
      <c r="G778" s="3">
        <v>517938458</v>
      </c>
      <c r="H778" s="8" t="s">
        <v>2171</v>
      </c>
      <c r="I778" s="8" t="s">
        <v>2171</v>
      </c>
      <c r="J778" s="8"/>
      <c r="L778" s="37" t="s">
        <v>25</v>
      </c>
    </row>
    <row r="779" spans="1:12">
      <c r="A779" s="3">
        <v>9645</v>
      </c>
      <c r="B779" s="3" t="s">
        <v>2174</v>
      </c>
      <c r="C779" s="3" t="s">
        <v>1220</v>
      </c>
      <c r="D779" s="3" t="s">
        <v>19</v>
      </c>
      <c r="E779" s="3">
        <v>112248</v>
      </c>
      <c r="F779" s="3">
        <v>15984438855</v>
      </c>
      <c r="G779" s="3">
        <v>517699243</v>
      </c>
      <c r="H779" s="8" t="s">
        <v>2175</v>
      </c>
      <c r="I779" s="8" t="s">
        <v>2175</v>
      </c>
      <c r="J779" s="8"/>
      <c r="L779" s="37" t="s">
        <v>25</v>
      </c>
    </row>
    <row r="780" spans="1:12">
      <c r="A780" s="3">
        <v>9646</v>
      </c>
      <c r="B780" s="3" t="s">
        <v>2178</v>
      </c>
      <c r="C780" s="3" t="s">
        <v>1220</v>
      </c>
      <c r="D780" s="3" t="s">
        <v>19</v>
      </c>
      <c r="E780" s="3">
        <v>112226</v>
      </c>
      <c r="F780" s="3">
        <v>15980242333</v>
      </c>
      <c r="G780" s="3">
        <v>517638236</v>
      </c>
      <c r="H780" s="8" t="s">
        <v>2179</v>
      </c>
      <c r="I780" s="8" t="s">
        <v>2179</v>
      </c>
      <c r="J780" s="8"/>
      <c r="L780" s="37" t="s">
        <v>25</v>
      </c>
    </row>
    <row r="781" spans="1:12">
      <c r="A781" s="3">
        <v>9647</v>
      </c>
      <c r="B781" s="3" t="s">
        <v>2182</v>
      </c>
      <c r="C781" s="3" t="s">
        <v>1220</v>
      </c>
      <c r="D781" s="3" t="s">
        <v>19</v>
      </c>
      <c r="E781" s="3">
        <v>112452</v>
      </c>
      <c r="F781" s="3">
        <v>16008741848</v>
      </c>
      <c r="G781" s="3">
        <v>517999877</v>
      </c>
      <c r="H781" s="8" t="s">
        <v>2183</v>
      </c>
      <c r="I781" s="8" t="s">
        <v>2183</v>
      </c>
      <c r="J781" s="8"/>
      <c r="L781" s="37" t="s">
        <v>25</v>
      </c>
    </row>
    <row r="782" spans="1:12">
      <c r="A782" s="4">
        <v>9648</v>
      </c>
      <c r="C782" s="3" t="s">
        <v>1220</v>
      </c>
      <c r="H782" s="8"/>
      <c r="I782" s="8"/>
      <c r="J782" s="8"/>
    </row>
    <row r="783" spans="1:12">
      <c r="A783" s="3">
        <v>9649</v>
      </c>
      <c r="C783" s="3" t="s">
        <v>1220</v>
      </c>
      <c r="H783" s="8"/>
      <c r="I783" s="8"/>
      <c r="J783" s="8"/>
    </row>
    <row r="784" spans="1:12">
      <c r="A784" s="3">
        <v>9650</v>
      </c>
      <c r="C784" s="3" t="s">
        <v>1220</v>
      </c>
      <c r="H784" s="8"/>
      <c r="I784" s="8"/>
      <c r="J784" s="8"/>
    </row>
    <row r="785" spans="1:12">
      <c r="A785" s="3">
        <v>9651</v>
      </c>
      <c r="B785" s="3" t="s">
        <v>2185</v>
      </c>
      <c r="C785" s="3" t="s">
        <v>1220</v>
      </c>
      <c r="D785" s="3" t="s">
        <v>19</v>
      </c>
      <c r="E785" s="3">
        <v>112401</v>
      </c>
      <c r="F785" s="3">
        <v>16003769086</v>
      </c>
      <c r="G785" s="3">
        <v>517938474</v>
      </c>
      <c r="H785" s="8" t="s">
        <v>2186</v>
      </c>
      <c r="I785" s="8" t="s">
        <v>2186</v>
      </c>
      <c r="J785" s="8"/>
      <c r="L785" s="37" t="s">
        <v>25</v>
      </c>
    </row>
    <row r="786" spans="1:12">
      <c r="A786" s="4">
        <v>9652</v>
      </c>
      <c r="B786" s="3" t="s">
        <v>2189</v>
      </c>
      <c r="C786" s="3" t="s">
        <v>1220</v>
      </c>
      <c r="D786" s="3" t="s">
        <v>19</v>
      </c>
      <c r="E786" s="3">
        <v>112346</v>
      </c>
      <c r="F786" s="3">
        <v>15988775476</v>
      </c>
      <c r="G786" s="3">
        <v>517699258</v>
      </c>
      <c r="H786" s="8" t="s">
        <v>2190</v>
      </c>
      <c r="I786" s="8" t="s">
        <v>2190</v>
      </c>
      <c r="J786" s="8"/>
      <c r="L786" s="37" t="s">
        <v>25</v>
      </c>
    </row>
    <row r="787" spans="1:12">
      <c r="A787" s="3">
        <v>9653</v>
      </c>
      <c r="B787" s="3" t="s">
        <v>2193</v>
      </c>
      <c r="C787" s="3" t="s">
        <v>1220</v>
      </c>
      <c r="D787" s="3" t="s">
        <v>19</v>
      </c>
      <c r="E787" s="3">
        <v>112453</v>
      </c>
      <c r="F787" s="3">
        <v>16008743004</v>
      </c>
      <c r="G787" s="3">
        <v>517999883</v>
      </c>
      <c r="H787" s="8" t="s">
        <v>2194</v>
      </c>
      <c r="I787" s="8" t="s">
        <v>2194</v>
      </c>
      <c r="J787" s="8"/>
      <c r="L787" s="37" t="s">
        <v>25</v>
      </c>
    </row>
    <row r="788" spans="1:12">
      <c r="A788" s="3">
        <v>9654</v>
      </c>
      <c r="B788" s="3" t="s">
        <v>2197</v>
      </c>
      <c r="C788" s="3" t="s">
        <v>1220</v>
      </c>
      <c r="D788" s="3" t="s">
        <v>19</v>
      </c>
      <c r="E788" s="3">
        <v>112487</v>
      </c>
      <c r="F788" s="3">
        <v>16009006484</v>
      </c>
      <c r="G788" s="3">
        <v>517999902</v>
      </c>
      <c r="H788" s="8" t="s">
        <v>2198</v>
      </c>
      <c r="I788" s="8" t="s">
        <v>2198</v>
      </c>
      <c r="J788" s="8"/>
      <c r="L788" s="37" t="s">
        <v>25</v>
      </c>
    </row>
    <row r="789" spans="1:12">
      <c r="A789" s="3">
        <v>9655</v>
      </c>
      <c r="B789" s="3" t="s">
        <v>2201</v>
      </c>
      <c r="C789" s="3" t="s">
        <v>1220</v>
      </c>
      <c r="D789" s="3" t="s">
        <v>19</v>
      </c>
      <c r="E789" s="3">
        <v>109467</v>
      </c>
      <c r="F789" s="3">
        <v>14295519077</v>
      </c>
      <c r="G789" s="3">
        <v>495621241</v>
      </c>
      <c r="H789" s="8" t="s">
        <v>2202</v>
      </c>
      <c r="I789" s="8" t="s">
        <v>2202</v>
      </c>
      <c r="J789" s="8"/>
      <c r="L789" s="37" t="s">
        <v>25</v>
      </c>
    </row>
    <row r="790" spans="1:12">
      <c r="A790" s="4">
        <v>9656</v>
      </c>
      <c r="B790" s="3" t="s">
        <v>2205</v>
      </c>
      <c r="C790" s="3" t="s">
        <v>1220</v>
      </c>
      <c r="D790" s="3" t="s">
        <v>19</v>
      </c>
      <c r="E790" s="3">
        <v>112481</v>
      </c>
      <c r="F790" s="3">
        <v>16009005125</v>
      </c>
      <c r="G790" s="3">
        <v>517999881</v>
      </c>
      <c r="H790" s="8" t="s">
        <v>2206</v>
      </c>
      <c r="I790" s="8" t="s">
        <v>2206</v>
      </c>
      <c r="J790" s="8"/>
      <c r="L790" s="37" t="s">
        <v>25</v>
      </c>
    </row>
    <row r="791" spans="1:12">
      <c r="A791" s="3">
        <v>9657</v>
      </c>
      <c r="B791" s="3" t="s">
        <v>2209</v>
      </c>
      <c r="C791" s="3" t="s">
        <v>1220</v>
      </c>
      <c r="D791" s="3" t="s">
        <v>19</v>
      </c>
      <c r="E791" s="3">
        <v>112439</v>
      </c>
      <c r="F791" s="3">
        <v>16008702098</v>
      </c>
      <c r="G791" s="3">
        <v>517999856</v>
      </c>
      <c r="H791" s="8" t="s">
        <v>2210</v>
      </c>
      <c r="I791" s="8" t="s">
        <v>2210</v>
      </c>
      <c r="J791" s="8"/>
      <c r="L791" s="37" t="s">
        <v>25</v>
      </c>
    </row>
    <row r="792" spans="1:12">
      <c r="A792" s="3">
        <v>9658</v>
      </c>
      <c r="B792" s="3" t="s">
        <v>2213</v>
      </c>
      <c r="C792" s="3" t="s">
        <v>1220</v>
      </c>
      <c r="D792" s="3" t="s">
        <v>19</v>
      </c>
      <c r="E792" s="3">
        <v>112488</v>
      </c>
      <c r="F792" s="3">
        <v>16009042778</v>
      </c>
      <c r="G792" s="3">
        <v>517999857</v>
      </c>
      <c r="H792" s="8" t="s">
        <v>2214</v>
      </c>
      <c r="I792" s="8" t="s">
        <v>2214</v>
      </c>
      <c r="J792" s="8"/>
      <c r="L792" s="37" t="s">
        <v>25</v>
      </c>
    </row>
    <row r="793" spans="1:12">
      <c r="A793" s="3">
        <v>9659</v>
      </c>
      <c r="B793" s="3" t="s">
        <v>2217</v>
      </c>
      <c r="C793" s="3" t="s">
        <v>1220</v>
      </c>
      <c r="D793" s="3" t="s">
        <v>19</v>
      </c>
      <c r="E793" s="3">
        <v>109552</v>
      </c>
      <c r="F793" s="3">
        <v>14295734484</v>
      </c>
      <c r="G793" s="3">
        <v>495621184</v>
      </c>
      <c r="H793" s="8" t="s">
        <v>2218</v>
      </c>
      <c r="I793" s="8" t="s">
        <v>2218</v>
      </c>
      <c r="J793" s="8"/>
      <c r="L793" s="37" t="s">
        <v>25</v>
      </c>
    </row>
    <row r="794" spans="1:12">
      <c r="A794" s="4">
        <v>9660</v>
      </c>
      <c r="C794" s="3" t="s">
        <v>1220</v>
      </c>
      <c r="H794" s="8"/>
      <c r="I794" s="8"/>
      <c r="J794" s="8"/>
    </row>
    <row r="795" spans="1:12">
      <c r="A795" s="3">
        <v>9661</v>
      </c>
      <c r="C795" s="3" t="s">
        <v>1220</v>
      </c>
      <c r="H795" s="8"/>
      <c r="I795" s="8"/>
      <c r="J795" s="8"/>
    </row>
    <row r="796" spans="1:12">
      <c r="A796" s="3">
        <v>9662</v>
      </c>
      <c r="C796" s="3" t="s">
        <v>1220</v>
      </c>
      <c r="H796" s="8"/>
      <c r="I796" s="8"/>
      <c r="J796" s="8"/>
    </row>
    <row r="797" spans="1:12">
      <c r="A797" s="3">
        <v>9663</v>
      </c>
      <c r="B797" s="3" t="s">
        <v>2221</v>
      </c>
      <c r="C797" s="3" t="s">
        <v>1220</v>
      </c>
      <c r="D797" s="3" t="s">
        <v>19</v>
      </c>
      <c r="E797" s="3">
        <v>112410</v>
      </c>
      <c r="F797" s="3">
        <v>16003807672</v>
      </c>
      <c r="G797" s="3">
        <v>517938868</v>
      </c>
      <c r="H797" s="8" t="s">
        <v>2222</v>
      </c>
      <c r="I797" s="8" t="s">
        <v>2222</v>
      </c>
      <c r="J797" s="8"/>
      <c r="L797" s="37" t="s">
        <v>25</v>
      </c>
    </row>
    <row r="798" spans="1:12">
      <c r="A798" s="4">
        <v>9664</v>
      </c>
      <c r="B798" s="3" t="s">
        <v>2225</v>
      </c>
      <c r="C798" s="3" t="s">
        <v>1220</v>
      </c>
      <c r="D798" s="3" t="s">
        <v>19</v>
      </c>
      <c r="E798" s="3">
        <v>112444</v>
      </c>
      <c r="F798" s="3">
        <v>16008725350</v>
      </c>
      <c r="G798" s="3">
        <v>517999861</v>
      </c>
      <c r="H798" s="8" t="s">
        <v>2226</v>
      </c>
      <c r="I798" s="8" t="s">
        <v>2226</v>
      </c>
      <c r="J798" s="8"/>
      <c r="L798" s="37" t="s">
        <v>25</v>
      </c>
    </row>
    <row r="799" spans="1:12">
      <c r="A799" s="3">
        <v>9665</v>
      </c>
      <c r="B799" s="3" t="s">
        <v>2229</v>
      </c>
      <c r="C799" s="3" t="s">
        <v>1220</v>
      </c>
      <c r="D799" s="3" t="s">
        <v>19</v>
      </c>
      <c r="E799" s="3">
        <v>112282</v>
      </c>
      <c r="F799" s="3">
        <v>15984634755</v>
      </c>
      <c r="G799" s="3">
        <v>517699181</v>
      </c>
      <c r="H799" s="8" t="s">
        <v>2230</v>
      </c>
      <c r="I799" s="8" t="s">
        <v>2230</v>
      </c>
      <c r="J799" s="8"/>
      <c r="L799" s="37" t="s">
        <v>25</v>
      </c>
    </row>
    <row r="800" spans="1:12">
      <c r="A800" s="3">
        <v>9666</v>
      </c>
      <c r="B800" s="3" t="s">
        <v>2233</v>
      </c>
      <c r="C800" s="3" t="s">
        <v>1220</v>
      </c>
      <c r="D800" s="3" t="s">
        <v>19</v>
      </c>
      <c r="E800" s="3">
        <v>112250</v>
      </c>
      <c r="F800" s="3">
        <v>15984463511</v>
      </c>
      <c r="G800" s="3">
        <v>517699254</v>
      </c>
      <c r="H800" s="8" t="s">
        <v>2234</v>
      </c>
      <c r="I800" s="8" t="s">
        <v>2234</v>
      </c>
      <c r="J800" s="8"/>
      <c r="L800" s="37" t="s">
        <v>25</v>
      </c>
    </row>
    <row r="801" spans="1:12">
      <c r="A801" s="3">
        <v>9667</v>
      </c>
      <c r="C801" s="3" t="s">
        <v>1220</v>
      </c>
      <c r="H801" s="8"/>
      <c r="I801" s="8"/>
      <c r="J801" s="8"/>
    </row>
    <row r="802" spans="1:12">
      <c r="A802" s="4">
        <v>9668</v>
      </c>
      <c r="B802" s="3" t="s">
        <v>2237</v>
      </c>
      <c r="C802" s="3" t="s">
        <v>1220</v>
      </c>
      <c r="D802" s="3" t="s">
        <v>19</v>
      </c>
      <c r="E802" s="3">
        <v>112249</v>
      </c>
      <c r="F802" s="3">
        <v>15984463510</v>
      </c>
      <c r="G802" s="3">
        <v>517699190</v>
      </c>
      <c r="H802" s="8" t="s">
        <v>2238</v>
      </c>
      <c r="I802" s="8" t="s">
        <v>2238</v>
      </c>
      <c r="J802" s="8"/>
      <c r="L802" s="37" t="s">
        <v>25</v>
      </c>
    </row>
    <row r="803" spans="1:12">
      <c r="A803" s="3">
        <v>9669</v>
      </c>
      <c r="B803" s="3" t="s">
        <v>2241</v>
      </c>
      <c r="C803" s="3" t="s">
        <v>1220</v>
      </c>
      <c r="D803" s="3" t="s">
        <v>19</v>
      </c>
      <c r="E803" s="3">
        <v>112318</v>
      </c>
      <c r="F803" s="3">
        <v>15986767767</v>
      </c>
      <c r="G803" s="3">
        <v>517699242</v>
      </c>
      <c r="H803" s="8" t="s">
        <v>2242</v>
      </c>
      <c r="I803" s="8" t="s">
        <v>2242</v>
      </c>
      <c r="J803" s="8"/>
      <c r="L803" s="37" t="s">
        <v>25</v>
      </c>
    </row>
    <row r="804" spans="1:12">
      <c r="A804" s="3">
        <v>9670</v>
      </c>
      <c r="B804" s="3" t="s">
        <v>2245</v>
      </c>
      <c r="C804" s="3" t="s">
        <v>1220</v>
      </c>
      <c r="D804" s="3" t="s">
        <v>19</v>
      </c>
      <c r="E804" s="3">
        <v>112258</v>
      </c>
      <c r="F804" s="3">
        <v>15984549263</v>
      </c>
      <c r="G804" s="3">
        <v>517699249</v>
      </c>
      <c r="H804" s="8" t="s">
        <v>2246</v>
      </c>
      <c r="I804" s="8" t="s">
        <v>2246</v>
      </c>
      <c r="J804" s="8"/>
      <c r="L804" s="37" t="s">
        <v>25</v>
      </c>
    </row>
    <row r="805" spans="1:12">
      <c r="A805" s="3">
        <v>9671</v>
      </c>
      <c r="B805" s="3" t="s">
        <v>2249</v>
      </c>
      <c r="C805" s="3" t="s">
        <v>1220</v>
      </c>
      <c r="D805" s="3" t="s">
        <v>19</v>
      </c>
      <c r="E805" s="3">
        <v>109682</v>
      </c>
      <c r="F805" s="3">
        <v>14507339012</v>
      </c>
      <c r="G805" s="3">
        <v>498373754</v>
      </c>
      <c r="H805" s="8" t="s">
        <v>2250</v>
      </c>
      <c r="I805" s="8" t="s">
        <v>2250</v>
      </c>
      <c r="J805" s="8"/>
      <c r="L805" s="37" t="s">
        <v>25</v>
      </c>
    </row>
    <row r="806" spans="1:12">
      <c r="A806" s="4">
        <v>9672</v>
      </c>
      <c r="C806" s="3" t="s">
        <v>1220</v>
      </c>
      <c r="H806" s="8"/>
      <c r="I806" s="8"/>
      <c r="J806" s="8"/>
    </row>
    <row r="807" spans="1:12">
      <c r="A807" s="3">
        <v>9673</v>
      </c>
      <c r="C807" s="3" t="s">
        <v>1220</v>
      </c>
      <c r="H807" s="8"/>
      <c r="I807" s="8"/>
      <c r="J807" s="8"/>
    </row>
    <row r="808" spans="1:12">
      <c r="A808" s="3">
        <v>9674</v>
      </c>
      <c r="B808" s="3" t="s">
        <v>2253</v>
      </c>
      <c r="C808" s="3" t="s">
        <v>1220</v>
      </c>
      <c r="D808" s="3" t="s">
        <v>19</v>
      </c>
      <c r="E808" s="3">
        <v>109464</v>
      </c>
      <c r="F808" s="3">
        <v>14295513927</v>
      </c>
      <c r="G808" s="3">
        <v>495621148</v>
      </c>
      <c r="H808" s="8" t="s">
        <v>2254</v>
      </c>
      <c r="I808" s="8" t="s">
        <v>2254</v>
      </c>
      <c r="J808" s="8"/>
      <c r="L808" s="37" t="s">
        <v>25</v>
      </c>
    </row>
    <row r="809" spans="1:12">
      <c r="A809" s="3">
        <v>9675</v>
      </c>
      <c r="B809" s="3" t="s">
        <v>2257</v>
      </c>
      <c r="C809" s="3" t="s">
        <v>1220</v>
      </c>
      <c r="D809" s="3" t="s">
        <v>19</v>
      </c>
      <c r="E809" s="3">
        <v>112471</v>
      </c>
      <c r="F809" s="3">
        <v>16008826410</v>
      </c>
      <c r="G809" s="3">
        <v>517999872</v>
      </c>
      <c r="H809" s="8" t="s">
        <v>2258</v>
      </c>
      <c r="I809" s="8" t="s">
        <v>2258</v>
      </c>
      <c r="J809" s="8"/>
      <c r="L809" s="37" t="s">
        <v>25</v>
      </c>
    </row>
    <row r="810" spans="1:12">
      <c r="A810" s="4">
        <v>9676</v>
      </c>
      <c r="B810" s="3" t="s">
        <v>2261</v>
      </c>
      <c r="C810" s="3" t="s">
        <v>1220</v>
      </c>
      <c r="D810" s="3" t="s">
        <v>19</v>
      </c>
      <c r="E810" s="3">
        <v>112252</v>
      </c>
      <c r="F810" s="3">
        <v>15984463513</v>
      </c>
      <c r="G810" s="3">
        <v>517699240</v>
      </c>
      <c r="H810" s="8" t="s">
        <v>2262</v>
      </c>
      <c r="I810" s="8" t="s">
        <v>2262</v>
      </c>
      <c r="J810" s="8"/>
      <c r="L810" s="37" t="s">
        <v>25</v>
      </c>
    </row>
    <row r="811" spans="1:12">
      <c r="A811" s="3">
        <v>9677</v>
      </c>
      <c r="B811" s="3" t="s">
        <v>2265</v>
      </c>
      <c r="C811" s="3" t="s">
        <v>1220</v>
      </c>
      <c r="D811" s="3" t="s">
        <v>19</v>
      </c>
      <c r="E811" s="3">
        <v>112404</v>
      </c>
      <c r="F811" s="3">
        <v>16003771333</v>
      </c>
      <c r="G811" s="3">
        <v>517938455</v>
      </c>
      <c r="H811" s="8" t="s">
        <v>2266</v>
      </c>
      <c r="I811" s="8" t="s">
        <v>2266</v>
      </c>
      <c r="J811" s="8"/>
      <c r="L811" s="37" t="s">
        <v>25</v>
      </c>
    </row>
    <row r="812" spans="1:12">
      <c r="A812" s="3">
        <v>9678</v>
      </c>
      <c r="B812" s="3" t="s">
        <v>2269</v>
      </c>
      <c r="C812" s="3" t="s">
        <v>1220</v>
      </c>
      <c r="D812" s="3" t="s">
        <v>19</v>
      </c>
      <c r="E812" s="3">
        <v>112431</v>
      </c>
      <c r="F812" s="3">
        <v>16004287723</v>
      </c>
      <c r="G812" s="3">
        <v>517938921</v>
      </c>
      <c r="H812" s="8" t="s">
        <v>2270</v>
      </c>
      <c r="I812" s="8" t="s">
        <v>2270</v>
      </c>
      <c r="J812" s="8"/>
      <c r="L812" s="37" t="s">
        <v>25</v>
      </c>
    </row>
    <row r="813" spans="1:12">
      <c r="A813" s="3">
        <v>9679</v>
      </c>
      <c r="B813" s="3" t="s">
        <v>2273</v>
      </c>
      <c r="C813" s="3" t="s">
        <v>1220</v>
      </c>
      <c r="D813" s="3" t="s">
        <v>19</v>
      </c>
      <c r="E813" s="3">
        <v>112320</v>
      </c>
      <c r="F813" s="3">
        <v>15986777698</v>
      </c>
      <c r="G813" s="3">
        <v>517699198</v>
      </c>
      <c r="H813" s="8" t="s">
        <v>2274</v>
      </c>
      <c r="I813" s="8" t="s">
        <v>2274</v>
      </c>
      <c r="J813" s="8"/>
      <c r="L813" s="37" t="s">
        <v>25</v>
      </c>
    </row>
    <row r="814" spans="1:12">
      <c r="A814" s="4">
        <v>9680</v>
      </c>
      <c r="B814" s="3" t="s">
        <v>2277</v>
      </c>
      <c r="C814" s="3" t="s">
        <v>1220</v>
      </c>
      <c r="D814" s="3" t="s">
        <v>19</v>
      </c>
      <c r="E814" s="3">
        <v>112261</v>
      </c>
      <c r="F814" s="3">
        <v>15984554527</v>
      </c>
      <c r="G814" s="3">
        <v>517699247</v>
      </c>
      <c r="H814" s="8" t="s">
        <v>2278</v>
      </c>
      <c r="I814" s="8" t="s">
        <v>2278</v>
      </c>
      <c r="J814" s="8"/>
      <c r="L814" s="37" t="s">
        <v>25</v>
      </c>
    </row>
    <row r="815" spans="1:12">
      <c r="A815" s="3">
        <v>9681</v>
      </c>
      <c r="B815" s="3" t="s">
        <v>2281</v>
      </c>
      <c r="C815" s="3" t="s">
        <v>1220</v>
      </c>
      <c r="D815" s="3" t="s">
        <v>19</v>
      </c>
      <c r="E815" s="3">
        <v>112256</v>
      </c>
      <c r="F815" s="3">
        <v>15984540256</v>
      </c>
      <c r="G815" s="3">
        <v>517699191</v>
      </c>
      <c r="H815" s="8" t="s">
        <v>2282</v>
      </c>
      <c r="I815" s="8" t="s">
        <v>2282</v>
      </c>
      <c r="J815" s="8"/>
      <c r="L815" s="37" t="s">
        <v>25</v>
      </c>
    </row>
    <row r="816" spans="1:12">
      <c r="A816" s="3">
        <v>9682</v>
      </c>
      <c r="B816" s="3" t="s">
        <v>2285</v>
      </c>
      <c r="C816" s="3" t="s">
        <v>1220</v>
      </c>
      <c r="D816" s="3" t="s">
        <v>19</v>
      </c>
      <c r="E816" s="3">
        <v>112482</v>
      </c>
      <c r="F816" s="3">
        <v>16009006479</v>
      </c>
      <c r="G816" s="3">
        <v>517999853</v>
      </c>
      <c r="H816" s="8" t="s">
        <v>2286</v>
      </c>
      <c r="I816" s="8" t="s">
        <v>2286</v>
      </c>
      <c r="J816" s="8"/>
      <c r="L816" s="37" t="s">
        <v>25</v>
      </c>
    </row>
    <row r="817" spans="1:12">
      <c r="A817" s="3">
        <v>9683</v>
      </c>
      <c r="B817" s="3" t="s">
        <v>2289</v>
      </c>
      <c r="C817" s="3" t="s">
        <v>1220</v>
      </c>
      <c r="D817" s="3" t="s">
        <v>19</v>
      </c>
      <c r="E817" s="3">
        <v>112430</v>
      </c>
      <c r="F817" s="3">
        <v>16004212785</v>
      </c>
      <c r="G817" s="3">
        <v>517938467</v>
      </c>
      <c r="H817" s="8" t="s">
        <v>2290</v>
      </c>
      <c r="I817" s="8" t="s">
        <v>2290</v>
      </c>
      <c r="J817" s="8"/>
      <c r="L817" s="37" t="s">
        <v>25</v>
      </c>
    </row>
    <row r="818" spans="1:12">
      <c r="A818" s="4">
        <v>9684</v>
      </c>
      <c r="C818" s="3" t="s">
        <v>1220</v>
      </c>
      <c r="H818" s="8"/>
      <c r="I818" s="8"/>
      <c r="J818" s="8"/>
    </row>
    <row r="819" spans="1:12">
      <c r="A819" s="3">
        <v>9685</v>
      </c>
      <c r="C819" s="3" t="s">
        <v>1220</v>
      </c>
      <c r="H819" s="8"/>
      <c r="I819" s="8"/>
      <c r="J819" s="8"/>
    </row>
    <row r="820" spans="1:12">
      <c r="A820" s="3">
        <v>9686</v>
      </c>
      <c r="B820" s="3" t="s">
        <v>2293</v>
      </c>
      <c r="C820" s="3" t="s">
        <v>1220</v>
      </c>
      <c r="D820" s="3" t="s">
        <v>19</v>
      </c>
      <c r="E820" s="3">
        <v>112253</v>
      </c>
      <c r="F820" s="3">
        <v>15984463514</v>
      </c>
      <c r="G820" s="3">
        <v>517699223</v>
      </c>
      <c r="H820" s="8" t="s">
        <v>2294</v>
      </c>
      <c r="I820" s="8" t="s">
        <v>2294</v>
      </c>
      <c r="J820" s="8"/>
      <c r="L820" s="37" t="s">
        <v>25</v>
      </c>
    </row>
    <row r="821" spans="1:12">
      <c r="A821" s="3">
        <v>9687</v>
      </c>
      <c r="B821" s="3" t="s">
        <v>2297</v>
      </c>
      <c r="C821" s="3" t="s">
        <v>1220</v>
      </c>
      <c r="D821" s="3" t="s">
        <v>19</v>
      </c>
      <c r="E821" s="3">
        <v>109540</v>
      </c>
      <c r="F821" s="3">
        <v>14295648080</v>
      </c>
      <c r="G821" s="3">
        <v>495621099</v>
      </c>
      <c r="H821" s="8" t="s">
        <v>2298</v>
      </c>
      <c r="I821" s="8" t="s">
        <v>2298</v>
      </c>
      <c r="J821" s="8"/>
      <c r="L821" s="37" t="s">
        <v>25</v>
      </c>
    </row>
    <row r="822" spans="1:12">
      <c r="A822" s="4">
        <v>9688</v>
      </c>
      <c r="B822" s="3" t="s">
        <v>2301</v>
      </c>
      <c r="C822" s="3" t="s">
        <v>1220</v>
      </c>
      <c r="D822" s="3" t="s">
        <v>19</v>
      </c>
      <c r="E822" s="3">
        <v>112369</v>
      </c>
      <c r="F822" s="3">
        <v>15998889821</v>
      </c>
      <c r="G822" s="3">
        <v>517878597</v>
      </c>
      <c r="H822" s="8" t="s">
        <v>2302</v>
      </c>
      <c r="I822" s="8" t="s">
        <v>2302</v>
      </c>
      <c r="J822" s="8"/>
      <c r="L822" s="37" t="s">
        <v>25</v>
      </c>
    </row>
    <row r="823" spans="1:12">
      <c r="A823" s="3">
        <v>9689</v>
      </c>
      <c r="B823" s="3" t="s">
        <v>2305</v>
      </c>
      <c r="C823" s="3" t="s">
        <v>1220</v>
      </c>
      <c r="D823" s="3" t="s">
        <v>19</v>
      </c>
      <c r="E823" s="3">
        <v>112415</v>
      </c>
      <c r="F823" s="3">
        <v>16004003564</v>
      </c>
      <c r="G823" s="3">
        <v>517938453</v>
      </c>
      <c r="H823" s="8" t="s">
        <v>2306</v>
      </c>
      <c r="I823" s="8" t="s">
        <v>2306</v>
      </c>
      <c r="J823" s="8"/>
      <c r="L823" s="37" t="s">
        <v>25</v>
      </c>
    </row>
    <row r="824" spans="1:12">
      <c r="A824" s="3">
        <v>9690</v>
      </c>
      <c r="B824" s="3" t="s">
        <v>2309</v>
      </c>
      <c r="C824" s="3" t="s">
        <v>1220</v>
      </c>
      <c r="D824" s="3" t="s">
        <v>19</v>
      </c>
      <c r="E824" s="3">
        <v>112317</v>
      </c>
      <c r="F824" s="3">
        <v>15986767104</v>
      </c>
      <c r="G824" s="3">
        <v>517699253</v>
      </c>
      <c r="H824" s="8" t="s">
        <v>2310</v>
      </c>
      <c r="I824" s="8" t="s">
        <v>2310</v>
      </c>
      <c r="J824" s="8"/>
      <c r="L824" s="37" t="s">
        <v>25</v>
      </c>
    </row>
    <row r="825" spans="1:12">
      <c r="A825" s="3">
        <v>9691</v>
      </c>
      <c r="B825" s="3" t="s">
        <v>2313</v>
      </c>
      <c r="C825" s="3" t="s">
        <v>1220</v>
      </c>
      <c r="D825" s="3" t="s">
        <v>19</v>
      </c>
      <c r="E825" s="3">
        <v>112470</v>
      </c>
      <c r="F825" s="3">
        <v>16008826409</v>
      </c>
      <c r="G825" s="3">
        <v>517999879</v>
      </c>
      <c r="H825" s="8" t="s">
        <v>2314</v>
      </c>
      <c r="I825" s="8" t="s">
        <v>2314</v>
      </c>
      <c r="J825" s="8"/>
      <c r="L825" s="37" t="s">
        <v>25</v>
      </c>
    </row>
    <row r="826" spans="1:12">
      <c r="A826" s="4">
        <v>9692</v>
      </c>
      <c r="C826" s="3" t="s">
        <v>1220</v>
      </c>
      <c r="H826" s="8"/>
      <c r="I826" s="8"/>
      <c r="J826" s="8"/>
    </row>
    <row r="827" spans="1:12">
      <c r="A827" s="3">
        <v>9693</v>
      </c>
      <c r="C827" s="3" t="s">
        <v>1220</v>
      </c>
      <c r="H827" s="8"/>
      <c r="I827" s="8"/>
      <c r="J827" s="8"/>
    </row>
    <row r="828" spans="1:12">
      <c r="A828" s="3">
        <v>9694</v>
      </c>
      <c r="B828" s="3" t="s">
        <v>2317</v>
      </c>
      <c r="C828" s="3" t="s">
        <v>1220</v>
      </c>
      <c r="D828" s="3" t="s">
        <v>19</v>
      </c>
      <c r="E828" s="3">
        <v>112428</v>
      </c>
      <c r="F828" s="3">
        <v>16004186679</v>
      </c>
      <c r="G828" s="3">
        <v>517938461</v>
      </c>
      <c r="H828" s="8" t="s">
        <v>2318</v>
      </c>
      <c r="I828" s="8" t="s">
        <v>2318</v>
      </c>
      <c r="J828" s="8"/>
      <c r="L828" s="37" t="s">
        <v>25</v>
      </c>
    </row>
    <row r="829" spans="1:12">
      <c r="A829" s="3">
        <v>9695</v>
      </c>
      <c r="B829" s="3" t="s">
        <v>2321</v>
      </c>
      <c r="C829" s="3" t="s">
        <v>1220</v>
      </c>
      <c r="D829" s="3" t="s">
        <v>19</v>
      </c>
      <c r="E829" s="3">
        <v>112247</v>
      </c>
      <c r="F829" s="3">
        <v>15984418610</v>
      </c>
      <c r="G829" s="3">
        <v>517699216</v>
      </c>
      <c r="H829" s="8" t="s">
        <v>2322</v>
      </c>
      <c r="I829" s="8" t="s">
        <v>2322</v>
      </c>
      <c r="J829" s="8"/>
      <c r="L829" s="37" t="s">
        <v>25</v>
      </c>
    </row>
    <row r="830" spans="1:12">
      <c r="A830" s="4">
        <v>9696</v>
      </c>
      <c r="B830" s="3" t="s">
        <v>2325</v>
      </c>
      <c r="C830" s="3" t="s">
        <v>1220</v>
      </c>
      <c r="D830" s="3" t="s">
        <v>19</v>
      </c>
      <c r="E830" s="3">
        <v>112259</v>
      </c>
      <c r="F830" s="3">
        <v>15984554525</v>
      </c>
      <c r="G830" s="3">
        <v>517699187</v>
      </c>
      <c r="H830" s="8" t="s">
        <v>2326</v>
      </c>
      <c r="I830" s="8" t="s">
        <v>2326</v>
      </c>
      <c r="J830" s="8"/>
      <c r="L830" s="37" t="s">
        <v>25</v>
      </c>
    </row>
    <row r="831" spans="1:12">
      <c r="A831" s="3">
        <v>9697</v>
      </c>
      <c r="B831" s="3" t="s">
        <v>2329</v>
      </c>
      <c r="C831" s="3" t="s">
        <v>1220</v>
      </c>
      <c r="D831" s="3" t="s">
        <v>19</v>
      </c>
      <c r="E831" s="3">
        <v>112251</v>
      </c>
      <c r="F831" s="3">
        <v>15984463512</v>
      </c>
      <c r="G831" s="3">
        <v>517699231</v>
      </c>
      <c r="H831" s="8" t="s">
        <v>2330</v>
      </c>
      <c r="I831" s="8" t="s">
        <v>2330</v>
      </c>
      <c r="J831" s="8"/>
      <c r="L831" s="37" t="s">
        <v>25</v>
      </c>
    </row>
    <row r="832" spans="1:12">
      <c r="A832" s="3">
        <v>9698</v>
      </c>
      <c r="B832" s="3" t="s">
        <v>2332</v>
      </c>
      <c r="C832" s="3" t="s">
        <v>1220</v>
      </c>
      <c r="D832" s="3" t="s">
        <v>19</v>
      </c>
      <c r="E832" s="3">
        <v>112227</v>
      </c>
      <c r="F832" s="3">
        <v>15980242334</v>
      </c>
      <c r="G832" s="3">
        <v>517637413</v>
      </c>
      <c r="H832" s="8" t="s">
        <v>2333</v>
      </c>
      <c r="I832" s="8" t="s">
        <v>2333</v>
      </c>
      <c r="J832" s="8"/>
      <c r="L832" s="37" t="s">
        <v>25</v>
      </c>
    </row>
    <row r="833" spans="1:12">
      <c r="A833" s="3">
        <v>9699</v>
      </c>
      <c r="B833" s="3" t="s">
        <v>2336</v>
      </c>
      <c r="C833" s="3" t="s">
        <v>1220</v>
      </c>
      <c r="D833" s="3" t="s">
        <v>19</v>
      </c>
      <c r="E833" s="3">
        <v>112257</v>
      </c>
      <c r="F833" s="3">
        <v>15984540257</v>
      </c>
      <c r="G833" s="3">
        <v>517699195</v>
      </c>
      <c r="H833" s="8" t="s">
        <v>2337</v>
      </c>
      <c r="I833" s="8" t="s">
        <v>2337</v>
      </c>
      <c r="J833" s="8"/>
      <c r="L833" s="37" t="s">
        <v>25</v>
      </c>
    </row>
    <row r="834" spans="1:12">
      <c r="A834" s="4">
        <v>9700</v>
      </c>
      <c r="B834" s="3" t="s">
        <v>2340</v>
      </c>
      <c r="C834" s="3" t="s">
        <v>1220</v>
      </c>
      <c r="D834" s="3" t="s">
        <v>19</v>
      </c>
      <c r="E834" s="3">
        <v>112315</v>
      </c>
      <c r="F834" s="3">
        <v>15986560443</v>
      </c>
      <c r="G834" s="3">
        <v>517699228</v>
      </c>
      <c r="H834" s="8" t="s">
        <v>2341</v>
      </c>
      <c r="I834" s="8" t="s">
        <v>2341</v>
      </c>
      <c r="J834" s="8"/>
      <c r="L834" s="37" t="s">
        <v>25</v>
      </c>
    </row>
    <row r="835" spans="1:12">
      <c r="A835" s="3">
        <v>9701</v>
      </c>
      <c r="C835" s="3" t="s">
        <v>1220</v>
      </c>
      <c r="H835" s="8"/>
      <c r="I835" s="8"/>
      <c r="J835" s="8"/>
    </row>
    <row r="836" spans="1:12">
      <c r="A836" s="3">
        <v>9702</v>
      </c>
      <c r="C836" s="3" t="s">
        <v>1220</v>
      </c>
      <c r="H836" s="8"/>
      <c r="I836" s="8"/>
      <c r="J836" s="8"/>
    </row>
    <row r="837" spans="1:12">
      <c r="A837" s="3">
        <v>9703</v>
      </c>
      <c r="B837" s="3" t="s">
        <v>2344</v>
      </c>
      <c r="C837" s="3" t="s">
        <v>1220</v>
      </c>
      <c r="D837" s="3" t="s">
        <v>19</v>
      </c>
      <c r="E837" s="3">
        <v>112255</v>
      </c>
      <c r="F837" s="3">
        <v>15984519400</v>
      </c>
      <c r="G837" s="3">
        <v>517699199</v>
      </c>
      <c r="H837" s="8" t="s">
        <v>2345</v>
      </c>
      <c r="I837" s="8" t="s">
        <v>2345</v>
      </c>
      <c r="J837" s="8"/>
      <c r="L837" s="37" t="s">
        <v>25</v>
      </c>
    </row>
    <row r="838" spans="1:12">
      <c r="A838" s="4">
        <v>9704</v>
      </c>
      <c r="B838" s="3" t="s">
        <v>2348</v>
      </c>
      <c r="C838" s="3" t="s">
        <v>1220</v>
      </c>
      <c r="D838" s="3" t="s">
        <v>19</v>
      </c>
      <c r="E838" s="3">
        <v>112316</v>
      </c>
      <c r="F838" s="3">
        <v>15986561355</v>
      </c>
      <c r="G838" s="3">
        <v>517699165</v>
      </c>
      <c r="H838" s="8" t="s">
        <v>2349</v>
      </c>
      <c r="I838" s="8" t="s">
        <v>2349</v>
      </c>
      <c r="J838" s="8"/>
      <c r="L838" s="37" t="s">
        <v>25</v>
      </c>
    </row>
    <row r="839" spans="1:12">
      <c r="A839" s="4">
        <v>9705</v>
      </c>
      <c r="B839" s="3" t="s">
        <v>2352</v>
      </c>
      <c r="C839" s="3" t="s">
        <v>1220</v>
      </c>
      <c r="D839" s="3" t="s">
        <v>19</v>
      </c>
      <c r="E839" s="3">
        <v>112245</v>
      </c>
      <c r="F839" s="3">
        <v>15984406755</v>
      </c>
      <c r="G839" s="3">
        <v>517699176</v>
      </c>
      <c r="H839" s="8" t="s">
        <v>2353</v>
      </c>
      <c r="I839" s="8" t="s">
        <v>2353</v>
      </c>
      <c r="J839" s="8"/>
      <c r="L839" s="37" t="s">
        <v>25</v>
      </c>
    </row>
    <row r="840" spans="1:12">
      <c r="A840" s="3">
        <v>9706</v>
      </c>
      <c r="B840" s="3" t="s">
        <v>2356</v>
      </c>
      <c r="C840" s="3" t="s">
        <v>1220</v>
      </c>
      <c r="D840" s="3" t="s">
        <v>19</v>
      </c>
      <c r="E840" s="3">
        <v>109673</v>
      </c>
      <c r="F840" s="3">
        <v>14507317764</v>
      </c>
      <c r="G840" s="3">
        <v>498373746</v>
      </c>
      <c r="H840" s="8" t="s">
        <v>2357</v>
      </c>
      <c r="I840" s="8" t="s">
        <v>2357</v>
      </c>
      <c r="J840" s="8"/>
      <c r="L840" s="37" t="s">
        <v>25</v>
      </c>
    </row>
    <row r="841" spans="1:12">
      <c r="A841" s="3">
        <v>9707</v>
      </c>
      <c r="C841" s="3" t="s">
        <v>1220</v>
      </c>
      <c r="H841" s="8"/>
      <c r="I841" s="8"/>
      <c r="J841" s="8"/>
    </row>
    <row r="842" spans="1:12">
      <c r="A842" s="3">
        <v>9708</v>
      </c>
      <c r="C842" s="3" t="s">
        <v>1220</v>
      </c>
      <c r="H842" s="8"/>
      <c r="I842" s="8"/>
      <c r="J842" s="8"/>
    </row>
    <row r="843" spans="1:12">
      <c r="A843" s="4">
        <v>9709</v>
      </c>
      <c r="B843" s="3" t="s">
        <v>2360</v>
      </c>
      <c r="C843" s="3" t="s">
        <v>1220</v>
      </c>
      <c r="D843" s="3" t="s">
        <v>19</v>
      </c>
      <c r="E843" s="3">
        <v>112436</v>
      </c>
      <c r="F843" s="3">
        <v>16008681920</v>
      </c>
      <c r="G843" s="3">
        <v>517999898</v>
      </c>
      <c r="H843" s="8" t="s">
        <v>2361</v>
      </c>
      <c r="I843" s="8" t="s">
        <v>2361</v>
      </c>
      <c r="J843" s="8"/>
      <c r="L843" s="37" t="s">
        <v>25</v>
      </c>
    </row>
    <row r="844" spans="1:12">
      <c r="A844" s="3">
        <v>9710</v>
      </c>
      <c r="B844" s="3" t="s">
        <v>2364</v>
      </c>
      <c r="C844" s="3" t="s">
        <v>1220</v>
      </c>
      <c r="D844" s="3" t="s">
        <v>19</v>
      </c>
      <c r="E844" s="3">
        <v>112455</v>
      </c>
      <c r="F844" s="3">
        <v>16008743006</v>
      </c>
      <c r="G844" s="3">
        <v>517999884</v>
      </c>
      <c r="H844" s="8" t="s">
        <v>2365</v>
      </c>
      <c r="I844" s="8" t="s">
        <v>2365</v>
      </c>
      <c r="J844" s="8"/>
      <c r="L844" s="37" t="s">
        <v>25</v>
      </c>
    </row>
    <row r="845" spans="1:12">
      <c r="A845" s="3">
        <v>9711</v>
      </c>
      <c r="B845" s="3" t="s">
        <v>2368</v>
      </c>
      <c r="C845" s="3" t="s">
        <v>1220</v>
      </c>
      <c r="D845" s="3" t="s">
        <v>19</v>
      </c>
      <c r="E845" s="3">
        <v>112158</v>
      </c>
      <c r="F845" s="3">
        <v>15974317650</v>
      </c>
      <c r="G845" s="3">
        <v>517571290</v>
      </c>
      <c r="H845" s="8" t="s">
        <v>2369</v>
      </c>
      <c r="I845" s="8" t="s">
        <v>2369</v>
      </c>
      <c r="J845" s="8"/>
      <c r="L845" s="37" t="s">
        <v>25</v>
      </c>
    </row>
    <row r="846" spans="1:12">
      <c r="A846" s="3">
        <v>9712</v>
      </c>
      <c r="B846" s="3" t="s">
        <v>2372</v>
      </c>
      <c r="C846" s="3" t="s">
        <v>1220</v>
      </c>
      <c r="D846" s="3" t="s">
        <v>19</v>
      </c>
      <c r="E846" s="3">
        <v>109556</v>
      </c>
      <c r="F846" s="3">
        <v>14295772091</v>
      </c>
      <c r="G846" s="3">
        <v>495621240</v>
      </c>
      <c r="H846" s="8" t="s">
        <v>2373</v>
      </c>
      <c r="I846" s="8" t="s">
        <v>2373</v>
      </c>
      <c r="J846" s="8"/>
      <c r="L846" s="37" t="s">
        <v>25</v>
      </c>
    </row>
    <row r="847" spans="1:12">
      <c r="A847" s="4">
        <v>9713</v>
      </c>
      <c r="B847" s="3" t="s">
        <v>2376</v>
      </c>
      <c r="C847" s="3" t="s">
        <v>1220</v>
      </c>
      <c r="D847" s="3" t="s">
        <v>19</v>
      </c>
      <c r="E847" s="3">
        <v>109446</v>
      </c>
      <c r="F847" s="3">
        <v>14295412063</v>
      </c>
      <c r="G847" s="3">
        <v>495621106</v>
      </c>
      <c r="H847" s="8" t="s">
        <v>2377</v>
      </c>
      <c r="I847" s="8" t="s">
        <v>2377</v>
      </c>
      <c r="J847" s="8"/>
      <c r="L847" s="37" t="s">
        <v>25</v>
      </c>
    </row>
    <row r="848" spans="1:12">
      <c r="A848" s="3">
        <v>9714</v>
      </c>
      <c r="B848" s="3" t="s">
        <v>2380</v>
      </c>
      <c r="C848" s="3" t="s">
        <v>1220</v>
      </c>
      <c r="D848" s="3" t="s">
        <v>19</v>
      </c>
      <c r="E848" s="3">
        <v>109589</v>
      </c>
      <c r="F848" s="3">
        <v>14299667368</v>
      </c>
      <c r="G848" s="3">
        <v>495621149</v>
      </c>
      <c r="H848" s="8" t="s">
        <v>2381</v>
      </c>
      <c r="I848" s="8" t="s">
        <v>2381</v>
      </c>
      <c r="J848" s="8"/>
      <c r="L848" s="37" t="s">
        <v>25</v>
      </c>
    </row>
    <row r="849" spans="1:12">
      <c r="A849" s="3">
        <v>9715</v>
      </c>
      <c r="B849" s="3" t="s">
        <v>2384</v>
      </c>
      <c r="C849" s="3" t="s">
        <v>1220</v>
      </c>
      <c r="D849" s="3" t="s">
        <v>19</v>
      </c>
      <c r="E849" s="3">
        <v>112281</v>
      </c>
      <c r="F849" s="3">
        <v>15984633299</v>
      </c>
      <c r="G849" s="3">
        <v>517699274</v>
      </c>
      <c r="H849" s="8" t="s">
        <v>2385</v>
      </c>
      <c r="I849" s="8" t="s">
        <v>2385</v>
      </c>
      <c r="J849" s="8"/>
      <c r="L849" s="37" t="s">
        <v>25</v>
      </c>
    </row>
    <row r="850" spans="1:12">
      <c r="A850" s="3">
        <v>9716</v>
      </c>
      <c r="C850" s="3" t="s">
        <v>1220</v>
      </c>
      <c r="H850" s="8"/>
      <c r="I850" s="8"/>
      <c r="J850" s="8"/>
    </row>
    <row r="851" spans="1:12">
      <c r="A851" s="4">
        <v>9717</v>
      </c>
      <c r="C851" s="3" t="s">
        <v>1220</v>
      </c>
      <c r="H851" s="8"/>
      <c r="I851" s="8"/>
      <c r="J851" s="8"/>
    </row>
    <row r="852" spans="1:12">
      <c r="A852" s="4">
        <v>9718</v>
      </c>
      <c r="B852" s="3" t="s">
        <v>2388</v>
      </c>
      <c r="C852" s="3" t="s">
        <v>1220</v>
      </c>
      <c r="D852" s="3" t="s">
        <v>19</v>
      </c>
      <c r="E852" s="3">
        <v>112450</v>
      </c>
      <c r="F852" s="3">
        <v>16008741846</v>
      </c>
      <c r="G852" s="3">
        <v>517999855</v>
      </c>
      <c r="H852" s="8" t="s">
        <v>2389</v>
      </c>
      <c r="I852" s="8" t="s">
        <v>2389</v>
      </c>
      <c r="J852" s="8"/>
      <c r="L852" s="37" t="s">
        <v>25</v>
      </c>
    </row>
    <row r="853" spans="1:12">
      <c r="A853" s="3">
        <v>9719</v>
      </c>
      <c r="B853" s="3" t="s">
        <v>2392</v>
      </c>
      <c r="C853" s="3" t="s">
        <v>1220</v>
      </c>
      <c r="D853" s="3" t="s">
        <v>19</v>
      </c>
      <c r="E853" s="3">
        <v>112260</v>
      </c>
      <c r="F853" s="3">
        <v>15984554526</v>
      </c>
      <c r="G853" s="3">
        <v>517699202</v>
      </c>
      <c r="H853" s="8" t="s">
        <v>2393</v>
      </c>
      <c r="I853" s="8" t="s">
        <v>2393</v>
      </c>
      <c r="J853" s="8"/>
      <c r="L853" s="37" t="s">
        <v>25</v>
      </c>
    </row>
    <row r="854" spans="1:12">
      <c r="A854" s="3">
        <v>9720</v>
      </c>
      <c r="B854" s="3" t="s">
        <v>2396</v>
      </c>
      <c r="C854" s="3" t="s">
        <v>1220</v>
      </c>
      <c r="D854" s="3" t="s">
        <v>19</v>
      </c>
      <c r="E854" s="3">
        <v>112437</v>
      </c>
      <c r="F854" s="3">
        <v>16008702096</v>
      </c>
      <c r="G854" s="3">
        <v>517999869</v>
      </c>
      <c r="H854" s="8" t="s">
        <v>2397</v>
      </c>
      <c r="I854" s="8" t="s">
        <v>2397</v>
      </c>
      <c r="J854" s="8"/>
      <c r="L854" s="37" t="s">
        <v>25</v>
      </c>
    </row>
    <row r="855" spans="1:12">
      <c r="A855" s="3">
        <v>9721</v>
      </c>
      <c r="B855" s="3" t="s">
        <v>2400</v>
      </c>
      <c r="C855" s="3" t="s">
        <v>1220</v>
      </c>
      <c r="D855" s="3" t="s">
        <v>19</v>
      </c>
      <c r="E855" s="3">
        <v>112434</v>
      </c>
      <c r="F855" s="3">
        <v>16008681918</v>
      </c>
      <c r="G855" s="3">
        <v>517999863</v>
      </c>
      <c r="H855" s="8" t="s">
        <v>2401</v>
      </c>
      <c r="I855" s="8" t="s">
        <v>2401</v>
      </c>
      <c r="J855" s="8"/>
      <c r="L855" s="37" t="s">
        <v>25</v>
      </c>
    </row>
    <row r="856" spans="1:12">
      <c r="A856" s="4">
        <v>9722</v>
      </c>
      <c r="B856" s="3" t="s">
        <v>2404</v>
      </c>
      <c r="C856" s="3" t="s">
        <v>1220</v>
      </c>
      <c r="D856" s="3" t="s">
        <v>19</v>
      </c>
      <c r="E856" s="3">
        <v>111208</v>
      </c>
      <c r="F856" s="3">
        <v>15759411986</v>
      </c>
      <c r="G856" s="3">
        <v>514601898</v>
      </c>
      <c r="H856" s="8" t="s">
        <v>2405</v>
      </c>
      <c r="I856" s="8" t="s">
        <v>2405</v>
      </c>
      <c r="J856" s="8"/>
      <c r="L856" s="37" t="s">
        <v>25</v>
      </c>
    </row>
    <row r="857" spans="1:12">
      <c r="A857" s="3">
        <v>9723</v>
      </c>
      <c r="B857" s="3" t="s">
        <v>2408</v>
      </c>
      <c r="C857" s="3" t="s">
        <v>1220</v>
      </c>
      <c r="D857" s="3" t="s">
        <v>19</v>
      </c>
      <c r="E857" s="3">
        <v>112160</v>
      </c>
      <c r="F857" s="3">
        <v>15974338927</v>
      </c>
      <c r="G857" s="3">
        <v>517571266</v>
      </c>
      <c r="H857" s="8" t="s">
        <v>2409</v>
      </c>
      <c r="I857" s="8" t="s">
        <v>2409</v>
      </c>
      <c r="J857" s="8"/>
      <c r="L857" s="37" t="s">
        <v>25</v>
      </c>
    </row>
    <row r="858" spans="1:12">
      <c r="A858" s="3">
        <v>9724</v>
      </c>
      <c r="B858" s="3" t="s">
        <v>2412</v>
      </c>
      <c r="C858" s="3" t="s">
        <v>1220</v>
      </c>
      <c r="D858" s="3" t="s">
        <v>19</v>
      </c>
      <c r="E858" s="3">
        <v>112319</v>
      </c>
      <c r="F858" s="3">
        <v>15986776558</v>
      </c>
      <c r="G858" s="3">
        <v>517699273</v>
      </c>
      <c r="H858" s="8" t="s">
        <v>2413</v>
      </c>
      <c r="I858" s="8" t="s">
        <v>2413</v>
      </c>
      <c r="J858" s="8"/>
      <c r="L858" s="37" t="s">
        <v>25</v>
      </c>
    </row>
    <row r="859" spans="1:12">
      <c r="A859" s="3">
        <v>9725</v>
      </c>
      <c r="B859" s="3" t="s">
        <v>2416</v>
      </c>
      <c r="C859" s="3" t="s">
        <v>1220</v>
      </c>
      <c r="D859" s="3" t="s">
        <v>19</v>
      </c>
      <c r="E859" s="3">
        <v>112325</v>
      </c>
      <c r="F859" s="3">
        <v>15986874787</v>
      </c>
      <c r="G859" s="3">
        <v>15986874787</v>
      </c>
      <c r="H859" s="8" t="s">
        <v>2417</v>
      </c>
      <c r="I859" s="8" t="s">
        <v>2417</v>
      </c>
      <c r="J859" s="8"/>
      <c r="L859" s="37" t="s">
        <v>25</v>
      </c>
    </row>
    <row r="860" spans="1:12">
      <c r="A860" s="4">
        <v>9726</v>
      </c>
      <c r="B860" s="3" t="s">
        <v>2420</v>
      </c>
      <c r="C860" s="3" t="s">
        <v>1220</v>
      </c>
      <c r="D860" s="3" t="s">
        <v>19</v>
      </c>
      <c r="E860" s="3">
        <v>112321</v>
      </c>
      <c r="F860" s="3">
        <v>15986777699</v>
      </c>
      <c r="G860" s="3">
        <v>517699220</v>
      </c>
      <c r="H860" s="8" t="s">
        <v>2421</v>
      </c>
      <c r="I860" s="8" t="s">
        <v>2421</v>
      </c>
      <c r="J860" s="8"/>
      <c r="L860" s="37" t="s">
        <v>25</v>
      </c>
    </row>
    <row r="861" spans="1:12">
      <c r="A861" s="3">
        <v>9727</v>
      </c>
      <c r="B861" s="3" t="s">
        <v>2424</v>
      </c>
      <c r="C861" s="3" t="s">
        <v>1220</v>
      </c>
      <c r="D861" s="3" t="s">
        <v>19</v>
      </c>
      <c r="E861" s="3">
        <v>112313</v>
      </c>
      <c r="F861" s="3">
        <v>15986559972</v>
      </c>
      <c r="G861" s="3">
        <v>517699235</v>
      </c>
      <c r="H861" s="8" t="s">
        <v>2425</v>
      </c>
      <c r="I861" s="8" t="s">
        <v>2425</v>
      </c>
      <c r="J861" s="8"/>
      <c r="L861" s="37" t="s">
        <v>25</v>
      </c>
    </row>
    <row r="862" spans="1:12">
      <c r="A862" s="3">
        <v>9728</v>
      </c>
      <c r="B862" s="3" t="s">
        <v>2428</v>
      </c>
      <c r="C862" s="3" t="s">
        <v>1220</v>
      </c>
      <c r="D862" s="3" t="s">
        <v>19</v>
      </c>
      <c r="E862" s="3">
        <v>112365</v>
      </c>
      <c r="F862" s="3">
        <v>15998702493</v>
      </c>
      <c r="G862" s="3">
        <v>517878562</v>
      </c>
      <c r="H862" s="8" t="s">
        <v>2429</v>
      </c>
      <c r="I862" s="8" t="s">
        <v>2429</v>
      </c>
      <c r="J862" s="8"/>
      <c r="L862" s="37" t="s">
        <v>25</v>
      </c>
    </row>
    <row r="863" spans="1:12">
      <c r="A863" s="3">
        <v>9729</v>
      </c>
      <c r="B863" s="3" t="s">
        <v>2432</v>
      </c>
      <c r="C863" s="3" t="s">
        <v>1220</v>
      </c>
      <c r="D863" s="3" t="s">
        <v>19</v>
      </c>
      <c r="E863" s="3">
        <v>112432</v>
      </c>
      <c r="F863" s="3">
        <v>16004333155</v>
      </c>
      <c r="G863" s="3">
        <v>517938471</v>
      </c>
      <c r="H863" s="8" t="s">
        <v>2433</v>
      </c>
      <c r="I863" s="8" t="s">
        <v>2433</v>
      </c>
      <c r="J863" s="8"/>
      <c r="L863" s="37" t="s">
        <v>25</v>
      </c>
    </row>
    <row r="864" spans="1:12">
      <c r="A864" s="4">
        <v>9730</v>
      </c>
      <c r="C864" s="3" t="s">
        <v>1220</v>
      </c>
      <c r="H864" s="8"/>
      <c r="I864" s="8"/>
      <c r="J864" s="8"/>
    </row>
    <row r="865" spans="1:12">
      <c r="A865" s="3">
        <v>9731</v>
      </c>
      <c r="C865" s="3" t="s">
        <v>1220</v>
      </c>
      <c r="H865" s="8"/>
      <c r="I865" s="8"/>
      <c r="J865" s="8"/>
    </row>
    <row r="866" spans="1:12">
      <c r="A866" s="3">
        <v>9732</v>
      </c>
      <c r="C866" s="3" t="s">
        <v>1220</v>
      </c>
      <c r="H866" s="8"/>
      <c r="I866" s="8"/>
      <c r="J866" s="8"/>
    </row>
    <row r="867" spans="1:12">
      <c r="A867" s="3">
        <v>9733</v>
      </c>
      <c r="C867" s="3" t="s">
        <v>1220</v>
      </c>
      <c r="H867" s="8"/>
      <c r="I867" s="8"/>
      <c r="J867" s="8"/>
    </row>
    <row r="868" spans="1:12">
      <c r="A868" s="4">
        <v>9734</v>
      </c>
      <c r="B868" s="3" t="s">
        <v>2436</v>
      </c>
      <c r="C868" s="3" t="s">
        <v>1220</v>
      </c>
      <c r="D868" s="3" t="s">
        <v>19</v>
      </c>
      <c r="E868" s="3">
        <v>112274</v>
      </c>
      <c r="F868" s="3">
        <v>15984615397</v>
      </c>
      <c r="G868" s="3">
        <v>517699263</v>
      </c>
      <c r="H868" s="8" t="s">
        <v>2437</v>
      </c>
      <c r="I868" s="8" t="s">
        <v>2437</v>
      </c>
      <c r="J868" s="8"/>
      <c r="L868" s="37" t="s">
        <v>25</v>
      </c>
    </row>
    <row r="869" spans="1:12">
      <c r="A869" s="3">
        <v>9735</v>
      </c>
      <c r="C869" s="3" t="s">
        <v>1220</v>
      </c>
      <c r="H869" s="8"/>
      <c r="I869" s="8"/>
      <c r="J869" s="8"/>
    </row>
    <row r="870" spans="1:12">
      <c r="A870" s="3">
        <v>9736</v>
      </c>
      <c r="C870" s="3" t="s">
        <v>1220</v>
      </c>
      <c r="H870" s="8"/>
      <c r="I870" s="8"/>
      <c r="J870" s="8"/>
    </row>
    <row r="871" spans="1:12">
      <c r="A871" s="3">
        <v>9737</v>
      </c>
      <c r="C871" s="3" t="s">
        <v>1220</v>
      </c>
      <c r="H871" s="8"/>
      <c r="I871" s="8"/>
      <c r="J871" s="8"/>
    </row>
    <row r="872" spans="1:12">
      <c r="A872" s="4">
        <v>9738</v>
      </c>
      <c r="C872" s="3" t="s">
        <v>1220</v>
      </c>
      <c r="H872" s="8"/>
      <c r="I872" s="8"/>
      <c r="J872" s="8"/>
    </row>
    <row r="873" spans="1:12">
      <c r="A873" s="3">
        <v>9739</v>
      </c>
      <c r="C873" s="3" t="s">
        <v>1220</v>
      </c>
      <c r="H873" s="8"/>
      <c r="I873" s="8"/>
      <c r="J873" s="8"/>
    </row>
    <row r="874" spans="1:12">
      <c r="A874" s="3">
        <v>9740</v>
      </c>
      <c r="B874" s="3" t="s">
        <v>2440</v>
      </c>
      <c r="C874" s="3" t="s">
        <v>1220</v>
      </c>
      <c r="D874" s="3" t="s">
        <v>19</v>
      </c>
      <c r="E874" s="3">
        <v>108210</v>
      </c>
      <c r="F874" s="3">
        <v>13409965357</v>
      </c>
      <c r="G874" s="3">
        <v>483305705</v>
      </c>
      <c r="H874" s="8" t="s">
        <v>2441</v>
      </c>
      <c r="I874" s="8" t="s">
        <v>2441</v>
      </c>
      <c r="J874" s="8"/>
      <c r="L874" s="37" t="s">
        <v>25</v>
      </c>
    </row>
    <row r="875" spans="1:12">
      <c r="A875" s="3">
        <v>9741</v>
      </c>
      <c r="B875" s="3" t="s">
        <v>2443</v>
      </c>
      <c r="C875" s="3" t="s">
        <v>1220</v>
      </c>
      <c r="D875" s="3" t="s">
        <v>19</v>
      </c>
      <c r="E875" s="3">
        <v>109461</v>
      </c>
      <c r="F875" s="3">
        <v>14295509124</v>
      </c>
      <c r="G875" s="3">
        <v>495621079</v>
      </c>
      <c r="H875" s="8" t="s">
        <v>2444</v>
      </c>
      <c r="I875" s="8" t="s">
        <v>2444</v>
      </c>
      <c r="J875" s="8"/>
      <c r="L875" s="37" t="s">
        <v>25</v>
      </c>
    </row>
    <row r="876" spans="1:12">
      <c r="A876" s="4">
        <v>9742</v>
      </c>
      <c r="B876" s="3" t="s">
        <v>2447</v>
      </c>
      <c r="C876" s="3" t="s">
        <v>1220</v>
      </c>
      <c r="D876" s="3" t="s">
        <v>19</v>
      </c>
      <c r="E876" s="3">
        <v>109434</v>
      </c>
      <c r="F876" s="3">
        <v>14294527003</v>
      </c>
      <c r="G876" s="3">
        <v>495621177</v>
      </c>
      <c r="H876" s="8" t="s">
        <v>2448</v>
      </c>
      <c r="I876" s="8" t="s">
        <v>2448</v>
      </c>
      <c r="J876" s="8"/>
      <c r="L876" s="37" t="s">
        <v>25</v>
      </c>
    </row>
    <row r="877" spans="1:12">
      <c r="A877" s="3">
        <v>9743</v>
      </c>
      <c r="B877" s="3" t="s">
        <v>2451</v>
      </c>
      <c r="C877" s="3" t="s">
        <v>1220</v>
      </c>
      <c r="D877" s="3" t="s">
        <v>19</v>
      </c>
      <c r="E877" s="3">
        <v>109535</v>
      </c>
      <c r="F877" s="3">
        <v>14295611407</v>
      </c>
      <c r="G877" s="3">
        <v>495621083</v>
      </c>
      <c r="H877" s="8" t="s">
        <v>2452</v>
      </c>
      <c r="I877" s="8" t="s">
        <v>2452</v>
      </c>
      <c r="J877" s="8"/>
      <c r="L877" s="37" t="s">
        <v>25</v>
      </c>
    </row>
    <row r="878" spans="1:12">
      <c r="A878" s="3">
        <v>9744</v>
      </c>
      <c r="C878" s="3" t="s">
        <v>1220</v>
      </c>
      <c r="H878" s="8"/>
      <c r="I878" s="8"/>
      <c r="J878" s="8"/>
    </row>
    <row r="879" spans="1:12">
      <c r="A879" s="3">
        <v>9745</v>
      </c>
      <c r="C879" s="3" t="s">
        <v>1220</v>
      </c>
      <c r="H879" s="8"/>
      <c r="I879" s="8"/>
      <c r="J879" s="8"/>
    </row>
    <row r="880" spans="1:12">
      <c r="A880" s="4">
        <v>9746</v>
      </c>
      <c r="C880" s="3" t="s">
        <v>1220</v>
      </c>
      <c r="H880" s="8"/>
      <c r="I880" s="8"/>
      <c r="J880" s="8"/>
    </row>
    <row r="881" spans="1:12">
      <c r="A881" s="3">
        <v>9747</v>
      </c>
      <c r="B881" s="3" t="s">
        <v>2455</v>
      </c>
      <c r="C881" s="3" t="s">
        <v>1220</v>
      </c>
      <c r="D881" s="3" t="s">
        <v>19</v>
      </c>
      <c r="E881" s="3">
        <v>109668</v>
      </c>
      <c r="F881" s="3">
        <v>14507309445</v>
      </c>
      <c r="G881" s="3">
        <v>498373758</v>
      </c>
      <c r="H881" s="8" t="s">
        <v>2456</v>
      </c>
      <c r="I881" s="8" t="s">
        <v>2456</v>
      </c>
      <c r="J881" s="8"/>
      <c r="L881" s="37" t="s">
        <v>25</v>
      </c>
    </row>
    <row r="882" spans="1:12">
      <c r="A882" s="3">
        <v>9748</v>
      </c>
      <c r="B882" s="3" t="s">
        <v>2459</v>
      </c>
      <c r="C882" s="3" t="s">
        <v>1220</v>
      </c>
      <c r="D882" s="3" t="s">
        <v>19</v>
      </c>
      <c r="E882" s="3">
        <v>109435</v>
      </c>
      <c r="F882" s="3">
        <v>14294598514</v>
      </c>
      <c r="G882" s="3">
        <v>495621248</v>
      </c>
      <c r="H882" s="8" t="s">
        <v>2460</v>
      </c>
      <c r="I882" s="8" t="s">
        <v>2460</v>
      </c>
      <c r="J882" s="8"/>
      <c r="L882" s="37" t="s">
        <v>25</v>
      </c>
    </row>
    <row r="883" spans="1:12">
      <c r="A883" s="3">
        <v>9749</v>
      </c>
      <c r="B883" s="3" t="s">
        <v>2463</v>
      </c>
      <c r="C883" s="3" t="s">
        <v>1220</v>
      </c>
      <c r="D883" s="3" t="s">
        <v>19</v>
      </c>
      <c r="E883" s="3">
        <v>109585</v>
      </c>
      <c r="F883" s="3">
        <v>14299667364</v>
      </c>
      <c r="G883" s="3">
        <v>495621094</v>
      </c>
      <c r="H883" s="8" t="s">
        <v>2464</v>
      </c>
      <c r="I883" s="8" t="s">
        <v>2464</v>
      </c>
      <c r="J883" s="8"/>
      <c r="L883" s="37" t="s">
        <v>25</v>
      </c>
    </row>
    <row r="884" spans="1:12">
      <c r="A884" s="4">
        <v>9750</v>
      </c>
      <c r="B884" s="3" t="s">
        <v>2467</v>
      </c>
      <c r="C884" s="3" t="s">
        <v>1220</v>
      </c>
      <c r="D884" s="3" t="s">
        <v>19</v>
      </c>
      <c r="E884" s="3">
        <v>109457</v>
      </c>
      <c r="F884" s="3">
        <v>14295463085</v>
      </c>
      <c r="G884" s="3">
        <v>495621111</v>
      </c>
      <c r="H884" s="8" t="s">
        <v>2468</v>
      </c>
      <c r="I884" s="8" t="s">
        <v>2468</v>
      </c>
      <c r="J884" s="8"/>
      <c r="L884" s="37" t="s">
        <v>25</v>
      </c>
    </row>
    <row r="885" spans="1:12">
      <c r="A885" s="3">
        <v>9751</v>
      </c>
      <c r="B885" s="3" t="s">
        <v>2471</v>
      </c>
      <c r="C885" s="3" t="s">
        <v>1220</v>
      </c>
      <c r="D885" s="3" t="s">
        <v>19</v>
      </c>
      <c r="E885" s="3">
        <v>109512</v>
      </c>
      <c r="F885" s="3">
        <v>14295564807</v>
      </c>
      <c r="G885" s="3">
        <v>495621128</v>
      </c>
      <c r="H885" s="8" t="s">
        <v>2472</v>
      </c>
      <c r="I885" s="8" t="s">
        <v>2472</v>
      </c>
      <c r="J885" s="8"/>
      <c r="L885" s="37" t="s">
        <v>25</v>
      </c>
    </row>
    <row r="886" spans="1:12">
      <c r="A886" s="3">
        <v>9752</v>
      </c>
      <c r="B886" s="3" t="s">
        <v>2475</v>
      </c>
      <c r="C886" s="3" t="s">
        <v>1220</v>
      </c>
      <c r="D886" s="3" t="s">
        <v>19</v>
      </c>
      <c r="E886" s="3">
        <v>109449</v>
      </c>
      <c r="F886" s="3">
        <v>14295434813</v>
      </c>
      <c r="G886" s="3">
        <v>495621172</v>
      </c>
      <c r="H886" s="8" t="s">
        <v>2476</v>
      </c>
      <c r="I886" s="8" t="s">
        <v>2476</v>
      </c>
      <c r="J886" s="8"/>
      <c r="L886" s="37" t="s">
        <v>25</v>
      </c>
    </row>
    <row r="887" spans="1:12">
      <c r="A887" s="3">
        <v>9753</v>
      </c>
      <c r="C887" s="3" t="s">
        <v>1220</v>
      </c>
      <c r="H887" s="8"/>
      <c r="I887" s="8"/>
      <c r="J887" s="8"/>
    </row>
    <row r="888" spans="1:12">
      <c r="A888" s="4">
        <v>9754</v>
      </c>
      <c r="C888" s="3" t="s">
        <v>1220</v>
      </c>
      <c r="H888" s="8"/>
      <c r="I888" s="8"/>
      <c r="J888" s="8"/>
    </row>
    <row r="889" spans="1:12">
      <c r="A889" s="3">
        <v>9755</v>
      </c>
      <c r="C889" s="3" t="s">
        <v>1220</v>
      </c>
      <c r="H889" s="8"/>
      <c r="I889" s="8"/>
      <c r="J889" s="8"/>
    </row>
    <row r="890" spans="1:12">
      <c r="A890" s="3">
        <v>9756</v>
      </c>
      <c r="C890" s="3" t="s">
        <v>1220</v>
      </c>
      <c r="H890" s="8"/>
      <c r="I890" s="8"/>
      <c r="J890" s="8"/>
    </row>
    <row r="891" spans="1:12">
      <c r="A891" s="3">
        <v>9757</v>
      </c>
      <c r="B891" s="3" t="s">
        <v>2479</v>
      </c>
      <c r="C891" s="3" t="s">
        <v>1220</v>
      </c>
      <c r="D891" s="3" t="s">
        <v>19</v>
      </c>
      <c r="E891" s="3">
        <v>109590</v>
      </c>
      <c r="F891" s="3">
        <v>14299667369</v>
      </c>
      <c r="G891" s="3">
        <v>495621060</v>
      </c>
      <c r="H891" s="8" t="s">
        <v>2480</v>
      </c>
      <c r="I891" s="8" t="s">
        <v>2480</v>
      </c>
      <c r="J891" s="8"/>
      <c r="L891" s="37" t="s">
        <v>25</v>
      </c>
    </row>
    <row r="892" spans="1:12">
      <c r="A892" s="4">
        <v>9758</v>
      </c>
      <c r="B892" s="3" t="s">
        <v>2483</v>
      </c>
      <c r="C892" s="3" t="s">
        <v>1220</v>
      </c>
      <c r="D892" s="3" t="s">
        <v>19</v>
      </c>
      <c r="E892" s="3">
        <v>109580</v>
      </c>
      <c r="F892" s="3">
        <v>14299420868</v>
      </c>
      <c r="G892" s="3">
        <v>495621173</v>
      </c>
      <c r="H892" s="8" t="s">
        <v>2484</v>
      </c>
      <c r="I892" s="8" t="s">
        <v>2484</v>
      </c>
      <c r="J892" s="8"/>
      <c r="L892" s="37" t="s">
        <v>25</v>
      </c>
    </row>
    <row r="893" spans="1:12">
      <c r="A893" s="3">
        <v>9759</v>
      </c>
      <c r="B893" s="3" t="s">
        <v>1058</v>
      </c>
      <c r="C893" s="3" t="s">
        <v>1220</v>
      </c>
      <c r="D893" s="3" t="s">
        <v>19</v>
      </c>
      <c r="E893" s="3">
        <v>109577</v>
      </c>
      <c r="F893" s="3">
        <v>14299386167</v>
      </c>
      <c r="G893" s="3">
        <v>495621234</v>
      </c>
      <c r="H893" s="8" t="s">
        <v>2487</v>
      </c>
      <c r="I893" s="8" t="s">
        <v>2487</v>
      </c>
      <c r="J893" s="8"/>
      <c r="L893" s="37" t="s">
        <v>25</v>
      </c>
    </row>
    <row r="894" spans="1:12">
      <c r="A894" s="3">
        <v>9760</v>
      </c>
      <c r="C894" s="3" t="s">
        <v>1220</v>
      </c>
      <c r="H894" s="8"/>
      <c r="I894" s="8"/>
      <c r="J894" s="8"/>
    </row>
    <row r="895" spans="1:12">
      <c r="A895" s="3">
        <v>9761</v>
      </c>
      <c r="C895" s="3" t="s">
        <v>1220</v>
      </c>
      <c r="H895" s="8"/>
      <c r="I895" s="8"/>
      <c r="J895" s="8"/>
    </row>
    <row r="896" spans="1:12">
      <c r="A896" s="4">
        <v>9762</v>
      </c>
      <c r="C896" s="3" t="s">
        <v>1220</v>
      </c>
      <c r="H896" s="8"/>
      <c r="I896" s="8"/>
      <c r="J896" s="8"/>
    </row>
    <row r="897" spans="1:12">
      <c r="A897" s="3">
        <v>9763</v>
      </c>
      <c r="B897" s="3" t="s">
        <v>2490</v>
      </c>
      <c r="C897" s="3" t="s">
        <v>1220</v>
      </c>
      <c r="D897" s="3" t="s">
        <v>19</v>
      </c>
      <c r="E897" s="3">
        <v>109608</v>
      </c>
      <c r="F897" s="3">
        <v>14351324489</v>
      </c>
      <c r="G897" s="3">
        <v>496287338</v>
      </c>
      <c r="H897" s="8" t="s">
        <v>2491</v>
      </c>
      <c r="I897" s="8" t="s">
        <v>2491</v>
      </c>
      <c r="J897" s="8"/>
      <c r="L897" s="37" t="s">
        <v>25</v>
      </c>
    </row>
    <row r="898" spans="1:12">
      <c r="A898" s="3">
        <v>9764</v>
      </c>
      <c r="B898" s="3" t="s">
        <v>2494</v>
      </c>
      <c r="C898" s="3" t="s">
        <v>1220</v>
      </c>
      <c r="D898" s="3" t="s">
        <v>19</v>
      </c>
      <c r="E898" s="3">
        <v>109478</v>
      </c>
      <c r="F898" s="3">
        <v>14295534349</v>
      </c>
      <c r="G898" s="3">
        <v>495621097</v>
      </c>
      <c r="H898" s="8" t="s">
        <v>2495</v>
      </c>
      <c r="I898" s="8" t="s">
        <v>2495</v>
      </c>
      <c r="J898" s="8"/>
      <c r="L898" s="37" t="s">
        <v>25</v>
      </c>
    </row>
    <row r="899" spans="1:12">
      <c r="A899" s="3">
        <v>9765</v>
      </c>
      <c r="B899" s="3" t="s">
        <v>2498</v>
      </c>
      <c r="C899" s="3" t="s">
        <v>1220</v>
      </c>
      <c r="D899" s="3" t="s">
        <v>19</v>
      </c>
      <c r="E899" s="3">
        <v>109471</v>
      </c>
      <c r="F899" s="3">
        <v>14295524489</v>
      </c>
      <c r="G899" s="3">
        <v>495621244</v>
      </c>
      <c r="H899" s="8" t="s">
        <v>2499</v>
      </c>
      <c r="I899" s="8" t="s">
        <v>2499</v>
      </c>
      <c r="J899" s="8"/>
      <c r="L899" s="37" t="s">
        <v>25</v>
      </c>
    </row>
    <row r="900" spans="1:12">
      <c r="A900" s="4">
        <v>9766</v>
      </c>
      <c r="C900" s="3" t="s">
        <v>1220</v>
      </c>
      <c r="H900" s="8"/>
      <c r="I900" s="8"/>
      <c r="J900" s="8"/>
    </row>
    <row r="901" spans="1:12">
      <c r="A901" s="3">
        <v>9767</v>
      </c>
      <c r="C901" s="3" t="s">
        <v>1220</v>
      </c>
      <c r="H901" s="8"/>
      <c r="I901" s="8"/>
      <c r="J901" s="8"/>
    </row>
    <row r="902" spans="1:12">
      <c r="A902" s="3">
        <v>9768</v>
      </c>
      <c r="C902" s="3" t="s">
        <v>1220</v>
      </c>
      <c r="H902" s="8"/>
      <c r="I902" s="8"/>
      <c r="J902" s="8"/>
    </row>
    <row r="903" spans="1:12">
      <c r="A903" s="3">
        <v>9769</v>
      </c>
      <c r="C903" s="3" t="s">
        <v>1220</v>
      </c>
      <c r="H903" s="8"/>
      <c r="I903" s="8"/>
      <c r="J903" s="8"/>
    </row>
    <row r="904" spans="1:12">
      <c r="A904" s="4">
        <v>9770</v>
      </c>
      <c r="B904" s="3" t="s">
        <v>2502</v>
      </c>
      <c r="C904" s="3" t="s">
        <v>1220</v>
      </c>
      <c r="D904" s="3" t="s">
        <v>19</v>
      </c>
      <c r="E904" s="3">
        <v>112162</v>
      </c>
      <c r="F904" s="3">
        <v>15974339902</v>
      </c>
      <c r="G904" s="3">
        <v>517571282</v>
      </c>
      <c r="H904" s="8" t="s">
        <v>2503</v>
      </c>
      <c r="I904" s="8" t="s">
        <v>2503</v>
      </c>
      <c r="J904" s="8"/>
      <c r="K904" s="59" t="s">
        <v>2506</v>
      </c>
      <c r="L904" s="37" t="s">
        <v>25</v>
      </c>
    </row>
    <row r="905" spans="1:12">
      <c r="A905" s="3">
        <v>9771</v>
      </c>
      <c r="B905" s="3" t="s">
        <v>2507</v>
      </c>
      <c r="C905" s="3" t="s">
        <v>1220</v>
      </c>
      <c r="D905" s="3" t="s">
        <v>19</v>
      </c>
      <c r="E905" s="3">
        <v>112161</v>
      </c>
      <c r="F905" s="3">
        <v>15974338928</v>
      </c>
      <c r="G905" s="3">
        <v>517571295</v>
      </c>
      <c r="H905" s="8" t="s">
        <v>2508</v>
      </c>
      <c r="I905" s="8" t="s">
        <v>2508</v>
      </c>
      <c r="J905" s="8"/>
      <c r="K905" s="59" t="s">
        <v>2506</v>
      </c>
      <c r="L905" s="37" t="s">
        <v>25</v>
      </c>
    </row>
    <row r="906" spans="1:12">
      <c r="A906" s="3">
        <v>9772</v>
      </c>
      <c r="C906" s="3" t="s">
        <v>1220</v>
      </c>
      <c r="H906" s="8"/>
      <c r="I906" s="8"/>
      <c r="J906" s="8"/>
    </row>
    <row r="907" spans="1:12">
      <c r="A907" s="3">
        <v>9773</v>
      </c>
      <c r="C907" s="3" t="s">
        <v>1220</v>
      </c>
      <c r="H907" s="8"/>
      <c r="I907" s="8"/>
      <c r="J907" s="8"/>
    </row>
    <row r="908" spans="1:12">
      <c r="A908" s="4">
        <v>9774</v>
      </c>
      <c r="C908" s="3" t="s">
        <v>1220</v>
      </c>
      <c r="H908" s="8"/>
      <c r="I908" s="8"/>
      <c r="J908" s="8"/>
    </row>
    <row r="909" spans="1:12">
      <c r="A909" s="3">
        <v>9775</v>
      </c>
      <c r="C909" s="3" t="s">
        <v>1220</v>
      </c>
      <c r="H909" s="8"/>
      <c r="I909" s="8"/>
      <c r="J909" s="8"/>
    </row>
    <row r="910" spans="1:12">
      <c r="A910" s="3">
        <v>9776</v>
      </c>
      <c r="B910" s="3" t="s">
        <v>2510</v>
      </c>
      <c r="C910" s="3" t="s">
        <v>1220</v>
      </c>
      <c r="D910" s="3" t="s">
        <v>4178</v>
      </c>
      <c r="E910" s="3">
        <v>112355</v>
      </c>
      <c r="F910" s="3">
        <v>15998585425</v>
      </c>
      <c r="G910" s="3">
        <v>517878603</v>
      </c>
      <c r="H910" s="8" t="s">
        <v>2511</v>
      </c>
      <c r="I910" s="8" t="s">
        <v>2511</v>
      </c>
      <c r="J910" s="8"/>
      <c r="K910" s="59" t="s">
        <v>2506</v>
      </c>
      <c r="L910" s="37" t="s">
        <v>25</v>
      </c>
    </row>
    <row r="911" spans="1:12">
      <c r="A911" s="3">
        <v>9777</v>
      </c>
      <c r="B911" s="3" t="s">
        <v>2514</v>
      </c>
      <c r="C911" s="3" t="s">
        <v>1220</v>
      </c>
      <c r="D911" s="3" t="s">
        <v>4178</v>
      </c>
      <c r="E911" s="3">
        <v>112359</v>
      </c>
      <c r="F911" s="3">
        <v>15998608545</v>
      </c>
      <c r="G911" s="3">
        <v>517878590</v>
      </c>
      <c r="H911" s="8" t="s">
        <v>2515</v>
      </c>
      <c r="I911" s="8" t="s">
        <v>2515</v>
      </c>
      <c r="J911" s="8"/>
      <c r="K911" s="59" t="s">
        <v>2506</v>
      </c>
      <c r="L911" s="37" t="s">
        <v>25</v>
      </c>
    </row>
    <row r="912" spans="1:12">
      <c r="A912" s="4">
        <v>9778</v>
      </c>
      <c r="B912" s="3" t="s">
        <v>2518</v>
      </c>
      <c r="C912" s="3" t="s">
        <v>1220</v>
      </c>
      <c r="D912" s="3" t="s">
        <v>4178</v>
      </c>
      <c r="E912" s="3">
        <v>112241</v>
      </c>
      <c r="F912" s="3">
        <v>15984389590</v>
      </c>
      <c r="G912" s="3">
        <v>517699234</v>
      </c>
      <c r="H912" s="8" t="s">
        <v>2519</v>
      </c>
      <c r="I912" s="8" t="s">
        <v>2519</v>
      </c>
      <c r="J912" s="8"/>
      <c r="K912" s="59" t="s">
        <v>2506</v>
      </c>
      <c r="L912" s="37" t="s">
        <v>25</v>
      </c>
    </row>
    <row r="913" spans="1:12">
      <c r="A913" s="3">
        <v>9779</v>
      </c>
      <c r="B913" s="3" t="s">
        <v>2522</v>
      </c>
      <c r="C913" s="3" t="s">
        <v>1220</v>
      </c>
      <c r="D913" s="3" t="s">
        <v>4178</v>
      </c>
      <c r="E913" s="3">
        <v>112289</v>
      </c>
      <c r="F913" s="3">
        <v>15984657480</v>
      </c>
      <c r="G913" s="3">
        <v>517699222</v>
      </c>
      <c r="H913" s="8" t="s">
        <v>2523</v>
      </c>
      <c r="I913" s="8" t="s">
        <v>2523</v>
      </c>
      <c r="J913" s="8"/>
      <c r="K913" s="59" t="s">
        <v>2506</v>
      </c>
      <c r="L913" s="37" t="s">
        <v>25</v>
      </c>
    </row>
    <row r="914" spans="1:12">
      <c r="A914" s="3">
        <v>9780</v>
      </c>
      <c r="B914" s="3" t="s">
        <v>2526</v>
      </c>
      <c r="C914" s="3" t="s">
        <v>1220</v>
      </c>
      <c r="D914" s="3" t="s">
        <v>4178</v>
      </c>
      <c r="E914" s="3">
        <v>112240</v>
      </c>
      <c r="F914" s="3">
        <v>15984362095</v>
      </c>
      <c r="G914" s="3">
        <v>517699252</v>
      </c>
      <c r="H914" s="8" t="s">
        <v>2527</v>
      </c>
      <c r="I914" s="8" t="s">
        <v>2527</v>
      </c>
      <c r="J914" s="8"/>
      <c r="K914" s="59" t="s">
        <v>2506</v>
      </c>
      <c r="L914" s="37" t="s">
        <v>25</v>
      </c>
    </row>
    <row r="915" spans="1:12">
      <c r="A915" s="3">
        <v>9781</v>
      </c>
      <c r="B915" s="3" t="s">
        <v>2530</v>
      </c>
      <c r="C915" s="3" t="s">
        <v>1220</v>
      </c>
      <c r="D915" s="3" t="s">
        <v>4178</v>
      </c>
      <c r="E915" s="3">
        <v>112242</v>
      </c>
      <c r="F915" s="3">
        <v>15984393541</v>
      </c>
      <c r="G915" s="3">
        <v>517699257</v>
      </c>
      <c r="H915" s="8" t="s">
        <v>2531</v>
      </c>
      <c r="I915" s="8" t="s">
        <v>2531</v>
      </c>
      <c r="J915" s="8"/>
      <c r="K915" s="59" t="s">
        <v>2506</v>
      </c>
      <c r="L915" s="37" t="s">
        <v>25</v>
      </c>
    </row>
    <row r="916" spans="1:12">
      <c r="A916" s="4">
        <v>9782</v>
      </c>
      <c r="B916" s="3" t="s">
        <v>2534</v>
      </c>
      <c r="C916" s="3" t="s">
        <v>1220</v>
      </c>
      <c r="D916" s="3" t="s">
        <v>4178</v>
      </c>
      <c r="E916" s="3">
        <v>112273</v>
      </c>
      <c r="F916" s="3">
        <v>15984615396</v>
      </c>
      <c r="G916" s="3">
        <v>517699250</v>
      </c>
      <c r="H916" s="8" t="s">
        <v>2535</v>
      </c>
      <c r="I916" s="8" t="s">
        <v>2535</v>
      </c>
      <c r="J916" s="8"/>
      <c r="K916" s="59" t="s">
        <v>2506</v>
      </c>
      <c r="L916" s="37" t="s">
        <v>25</v>
      </c>
    </row>
    <row r="917" spans="1:12">
      <c r="A917" s="3">
        <v>9783</v>
      </c>
      <c r="B917" s="3" t="s">
        <v>2538</v>
      </c>
      <c r="C917" s="3" t="s">
        <v>1220</v>
      </c>
      <c r="D917" s="3" t="s">
        <v>4178</v>
      </c>
      <c r="E917" s="3">
        <v>112352</v>
      </c>
      <c r="F917" s="3">
        <v>15998581807</v>
      </c>
      <c r="G917" s="3">
        <v>517878568</v>
      </c>
      <c r="H917" s="8" t="s">
        <v>2539</v>
      </c>
      <c r="I917" s="8" t="s">
        <v>2539</v>
      </c>
      <c r="J917" s="8"/>
      <c r="K917" s="59" t="s">
        <v>2506</v>
      </c>
      <c r="L917" s="37" t="s">
        <v>25</v>
      </c>
    </row>
    <row r="918" spans="1:12">
      <c r="A918" s="3">
        <v>9784</v>
      </c>
      <c r="B918" s="3" t="s">
        <v>2542</v>
      </c>
      <c r="C918" s="3" t="s">
        <v>1220</v>
      </c>
      <c r="D918" s="3" t="s">
        <v>4178</v>
      </c>
      <c r="E918" s="3">
        <v>112272</v>
      </c>
      <c r="F918" s="3">
        <v>15984615395</v>
      </c>
      <c r="G918" s="3">
        <v>517699161</v>
      </c>
      <c r="H918" s="8" t="s">
        <v>2543</v>
      </c>
      <c r="I918" s="8" t="s">
        <v>2543</v>
      </c>
      <c r="J918" s="8"/>
      <c r="K918" s="59" t="s">
        <v>2506</v>
      </c>
      <c r="L918" s="37" t="s">
        <v>25</v>
      </c>
    </row>
    <row r="919" spans="1:12">
      <c r="A919" s="3">
        <v>9785</v>
      </c>
      <c r="B919" s="3" t="s">
        <v>2546</v>
      </c>
      <c r="C919" s="3" t="s">
        <v>1220</v>
      </c>
      <c r="D919" s="3" t="s">
        <v>4178</v>
      </c>
      <c r="E919" s="3">
        <v>112271</v>
      </c>
      <c r="F919" s="3">
        <v>15984611995</v>
      </c>
      <c r="G919" s="3">
        <v>517699172</v>
      </c>
      <c r="H919" s="8" t="s">
        <v>2547</v>
      </c>
      <c r="I919" s="8" t="s">
        <v>2547</v>
      </c>
      <c r="J919" s="8"/>
      <c r="K919" s="59" t="s">
        <v>2506</v>
      </c>
      <c r="L919" s="37" t="s">
        <v>25</v>
      </c>
    </row>
    <row r="920" spans="1:12">
      <c r="A920" s="4">
        <v>9786</v>
      </c>
      <c r="B920" s="3" t="s">
        <v>2550</v>
      </c>
      <c r="C920" s="3" t="s">
        <v>1220</v>
      </c>
      <c r="D920" s="3" t="s">
        <v>4178</v>
      </c>
      <c r="E920" s="3">
        <v>112292</v>
      </c>
      <c r="F920" s="3">
        <v>15984660613</v>
      </c>
      <c r="G920" s="3">
        <v>517699212</v>
      </c>
      <c r="H920" s="8" t="s">
        <v>2551</v>
      </c>
      <c r="I920" s="8" t="s">
        <v>2551</v>
      </c>
      <c r="J920" s="8"/>
      <c r="K920" s="59" t="s">
        <v>2506</v>
      </c>
      <c r="L920" s="37" t="s">
        <v>25</v>
      </c>
    </row>
    <row r="921" spans="1:12">
      <c r="A921" s="3">
        <v>9787</v>
      </c>
      <c r="B921" s="3" t="s">
        <v>2554</v>
      </c>
      <c r="C921" s="3" t="s">
        <v>1220</v>
      </c>
      <c r="D921" s="3" t="s">
        <v>4178</v>
      </c>
      <c r="E921" s="3">
        <v>112270</v>
      </c>
      <c r="F921" s="3">
        <v>15984610053</v>
      </c>
      <c r="G921" s="3">
        <v>517699197</v>
      </c>
      <c r="H921" s="8" t="s">
        <v>2555</v>
      </c>
      <c r="I921" s="8" t="s">
        <v>2555</v>
      </c>
      <c r="J921" s="8"/>
      <c r="K921" s="59" t="s">
        <v>2506</v>
      </c>
      <c r="L921" s="37" t="s">
        <v>25</v>
      </c>
    </row>
    <row r="922" spans="1:12">
      <c r="A922" s="3">
        <v>9788</v>
      </c>
      <c r="B922" s="3" t="s">
        <v>2558</v>
      </c>
      <c r="C922" s="3" t="s">
        <v>1220</v>
      </c>
      <c r="D922" s="3" t="s">
        <v>4178</v>
      </c>
      <c r="E922" s="3">
        <v>112244</v>
      </c>
      <c r="F922" s="3">
        <v>15984406754</v>
      </c>
      <c r="G922" s="3">
        <v>517699196</v>
      </c>
      <c r="H922" s="8" t="s">
        <v>2559</v>
      </c>
      <c r="I922" s="8" t="s">
        <v>2559</v>
      </c>
      <c r="J922" s="8"/>
      <c r="K922" s="59" t="s">
        <v>2506</v>
      </c>
      <c r="L922" s="37" t="s">
        <v>25</v>
      </c>
    </row>
    <row r="923" spans="1:12">
      <c r="A923" s="3">
        <v>9789</v>
      </c>
      <c r="B923" s="3" t="s">
        <v>2562</v>
      </c>
      <c r="C923" s="3" t="s">
        <v>1220</v>
      </c>
      <c r="D923" s="3" t="s">
        <v>4178</v>
      </c>
      <c r="E923" s="3">
        <v>112269</v>
      </c>
      <c r="F923" s="3">
        <v>15984607055</v>
      </c>
      <c r="G923" s="3">
        <v>517699204</v>
      </c>
      <c r="H923" s="8" t="s">
        <v>2563</v>
      </c>
      <c r="I923" s="8" t="s">
        <v>2563</v>
      </c>
      <c r="J923" s="8"/>
      <c r="K923" s="59" t="s">
        <v>2506</v>
      </c>
      <c r="L923" s="37" t="s">
        <v>25</v>
      </c>
    </row>
    <row r="924" spans="1:12">
      <c r="A924" s="4">
        <v>9790</v>
      </c>
      <c r="B924" s="3" t="s">
        <v>2566</v>
      </c>
      <c r="C924" s="3" t="s">
        <v>1220</v>
      </c>
      <c r="D924" s="3" t="s">
        <v>4178</v>
      </c>
      <c r="E924" s="3">
        <v>112267</v>
      </c>
      <c r="F924" s="3">
        <v>15984605480</v>
      </c>
      <c r="G924" s="3">
        <v>517699180</v>
      </c>
      <c r="H924" s="8" t="s">
        <v>2567</v>
      </c>
      <c r="I924" s="8" t="s">
        <v>2567</v>
      </c>
      <c r="J924" s="8"/>
      <c r="K924" s="59" t="s">
        <v>2506</v>
      </c>
      <c r="L924" s="37" t="s">
        <v>25</v>
      </c>
    </row>
    <row r="925" spans="1:12">
      <c r="A925" s="3">
        <v>9791</v>
      </c>
      <c r="B925" s="3" t="s">
        <v>2570</v>
      </c>
      <c r="C925" s="3" t="s">
        <v>1220</v>
      </c>
      <c r="D925" s="3" t="s">
        <v>4178</v>
      </c>
      <c r="E925" s="3">
        <v>112266</v>
      </c>
      <c r="F925" s="3">
        <v>15984600196</v>
      </c>
      <c r="G925" s="3">
        <v>517699229</v>
      </c>
      <c r="H925" s="8" t="s">
        <v>2571</v>
      </c>
      <c r="I925" s="8" t="s">
        <v>2571</v>
      </c>
      <c r="J925" s="8"/>
      <c r="K925" s="59" t="s">
        <v>2506</v>
      </c>
      <c r="L925" s="37" t="s">
        <v>25</v>
      </c>
    </row>
    <row r="926" spans="1:12">
      <c r="A926" s="3">
        <v>9792</v>
      </c>
      <c r="B926" s="3" t="s">
        <v>2574</v>
      </c>
      <c r="C926" s="3" t="s">
        <v>1220</v>
      </c>
      <c r="D926" s="3" t="s">
        <v>4178</v>
      </c>
      <c r="E926" s="3">
        <v>112294</v>
      </c>
      <c r="F926" s="3">
        <v>15984661497</v>
      </c>
      <c r="G926" s="3">
        <v>517699261</v>
      </c>
      <c r="H926" s="8" t="s">
        <v>2575</v>
      </c>
      <c r="I926" s="8" t="s">
        <v>2575</v>
      </c>
      <c r="J926" s="8"/>
      <c r="K926" s="59" t="s">
        <v>2506</v>
      </c>
      <c r="L926" s="37" t="s">
        <v>25</v>
      </c>
    </row>
    <row r="927" spans="1:12">
      <c r="A927" s="3">
        <v>9793</v>
      </c>
      <c r="B927" s="3" t="s">
        <v>2578</v>
      </c>
      <c r="C927" s="3" t="s">
        <v>1220</v>
      </c>
      <c r="D927" s="3" t="s">
        <v>4178</v>
      </c>
      <c r="E927" s="3">
        <v>112265</v>
      </c>
      <c r="F927" s="3">
        <v>15984597478</v>
      </c>
      <c r="G927" s="3">
        <v>517699164</v>
      </c>
      <c r="H927" s="8" t="s">
        <v>2579</v>
      </c>
      <c r="I927" s="8" t="s">
        <v>2579</v>
      </c>
      <c r="J927" s="8"/>
      <c r="K927" s="59" t="s">
        <v>2506</v>
      </c>
      <c r="L927" s="37" t="s">
        <v>25</v>
      </c>
    </row>
    <row r="928" spans="1:12">
      <c r="A928" s="4">
        <v>9794</v>
      </c>
      <c r="B928" s="3" t="s">
        <v>2582</v>
      </c>
      <c r="C928" s="3" t="s">
        <v>1220</v>
      </c>
      <c r="D928" s="3" t="s">
        <v>4178</v>
      </c>
      <c r="E928" s="3">
        <v>112290</v>
      </c>
      <c r="F928" s="3">
        <v>15984658295</v>
      </c>
      <c r="G928" s="3">
        <v>517699213</v>
      </c>
      <c r="H928" s="8" t="s">
        <v>2583</v>
      </c>
      <c r="I928" s="8" t="s">
        <v>2583</v>
      </c>
      <c r="J928" s="8"/>
      <c r="K928" s="59" t="s">
        <v>2506</v>
      </c>
      <c r="L928" s="37" t="s">
        <v>25</v>
      </c>
    </row>
    <row r="929" spans="1:12">
      <c r="A929" s="3">
        <v>9795</v>
      </c>
      <c r="B929" s="3" t="s">
        <v>2586</v>
      </c>
      <c r="C929" s="3" t="s">
        <v>1220</v>
      </c>
      <c r="D929" s="3" t="s">
        <v>4178</v>
      </c>
      <c r="E929" s="3">
        <v>112243</v>
      </c>
      <c r="F929" s="3">
        <v>15984399740</v>
      </c>
      <c r="G929" s="3">
        <v>517699225</v>
      </c>
      <c r="H929" s="8" t="s">
        <v>2587</v>
      </c>
      <c r="I929" s="8" t="s">
        <v>2587</v>
      </c>
      <c r="J929" s="8"/>
      <c r="K929" s="59" t="s">
        <v>2506</v>
      </c>
      <c r="L929" s="37" t="s">
        <v>25</v>
      </c>
    </row>
    <row r="930" spans="1:12">
      <c r="A930" s="3">
        <v>9796</v>
      </c>
      <c r="B930" s="3" t="s">
        <v>2590</v>
      </c>
      <c r="C930" s="3" t="s">
        <v>1220</v>
      </c>
      <c r="D930" s="3" t="s">
        <v>4178</v>
      </c>
      <c r="E930" s="3">
        <v>112264</v>
      </c>
      <c r="F930" s="3">
        <v>15984597477</v>
      </c>
      <c r="G930" s="3">
        <v>517699236</v>
      </c>
      <c r="H930" s="8" t="s">
        <v>2591</v>
      </c>
      <c r="I930" s="8" t="s">
        <v>2591</v>
      </c>
      <c r="J930" s="8"/>
      <c r="K930" s="59" t="s">
        <v>2506</v>
      </c>
      <c r="L930" s="37" t="s">
        <v>25</v>
      </c>
    </row>
    <row r="931" spans="1:12">
      <c r="A931" s="3">
        <v>9797</v>
      </c>
      <c r="B931" s="3" t="s">
        <v>2594</v>
      </c>
      <c r="C931" s="3" t="s">
        <v>1220</v>
      </c>
      <c r="D931" s="3" t="s">
        <v>4178</v>
      </c>
      <c r="E931" s="3">
        <v>112283</v>
      </c>
      <c r="F931" s="3">
        <v>15984635231</v>
      </c>
      <c r="G931" s="3">
        <v>517699186</v>
      </c>
      <c r="H931" s="8" t="s">
        <v>2595</v>
      </c>
      <c r="I931" s="8" t="s">
        <v>2595</v>
      </c>
      <c r="J931" s="8"/>
      <c r="K931" s="59" t="s">
        <v>2506</v>
      </c>
      <c r="L931" s="37" t="s">
        <v>25</v>
      </c>
    </row>
    <row r="932" spans="1:12">
      <c r="A932" s="4">
        <v>9798</v>
      </c>
      <c r="B932" s="3" t="s">
        <v>2598</v>
      </c>
      <c r="C932" s="3" t="s">
        <v>1220</v>
      </c>
      <c r="D932" s="3" t="s">
        <v>4178</v>
      </c>
      <c r="E932" s="3">
        <v>112284</v>
      </c>
      <c r="F932" s="3">
        <v>15984643077</v>
      </c>
      <c r="G932" s="3">
        <v>517699160</v>
      </c>
      <c r="H932" s="8" t="s">
        <v>2599</v>
      </c>
      <c r="I932" s="8" t="s">
        <v>2599</v>
      </c>
      <c r="J932" s="8"/>
      <c r="K932" s="59" t="s">
        <v>2506</v>
      </c>
      <c r="L932" s="37" t="s">
        <v>25</v>
      </c>
    </row>
    <row r="933" spans="1:12">
      <c r="A933" s="3">
        <v>9799</v>
      </c>
      <c r="B933" s="3" t="s">
        <v>2602</v>
      </c>
      <c r="C933" s="3" t="s">
        <v>1220</v>
      </c>
      <c r="D933" s="3" t="s">
        <v>4178</v>
      </c>
      <c r="E933" s="3">
        <v>112285</v>
      </c>
      <c r="F933" s="3">
        <v>15984643078</v>
      </c>
      <c r="G933" s="3">
        <v>517699233</v>
      </c>
      <c r="H933" s="8" t="s">
        <v>2603</v>
      </c>
      <c r="I933" s="8" t="s">
        <v>2603</v>
      </c>
      <c r="J933" s="8"/>
      <c r="K933" s="59" t="s">
        <v>2506</v>
      </c>
      <c r="L933" s="37" t="s">
        <v>25</v>
      </c>
    </row>
    <row r="934" spans="1:12">
      <c r="A934" s="3">
        <v>9800</v>
      </c>
      <c r="B934" s="3" t="s">
        <v>2606</v>
      </c>
      <c r="C934" s="3" t="s">
        <v>1220</v>
      </c>
      <c r="D934" s="3" t="s">
        <v>4178</v>
      </c>
      <c r="E934" s="3">
        <v>112229</v>
      </c>
      <c r="F934" s="3">
        <v>15980372952</v>
      </c>
      <c r="G934" s="3">
        <v>517637354</v>
      </c>
      <c r="H934" s="8" t="s">
        <v>2607</v>
      </c>
      <c r="I934" s="8" t="s">
        <v>2607</v>
      </c>
      <c r="J934" s="8"/>
      <c r="K934" s="59" t="s">
        <v>2506</v>
      </c>
      <c r="L934" s="37" t="s">
        <v>25</v>
      </c>
    </row>
    <row r="935" spans="1:12">
      <c r="A935" s="3">
        <v>9801</v>
      </c>
      <c r="B935" s="3" t="s">
        <v>2610</v>
      </c>
      <c r="C935" s="3" t="s">
        <v>1220</v>
      </c>
      <c r="D935" s="3" t="s">
        <v>4178</v>
      </c>
      <c r="E935" s="3">
        <v>112238</v>
      </c>
      <c r="F935" s="3">
        <v>15984353088</v>
      </c>
      <c r="G935" s="3">
        <v>517699218</v>
      </c>
      <c r="H935" s="8" t="s">
        <v>2611</v>
      </c>
      <c r="I935" s="8" t="s">
        <v>2611</v>
      </c>
      <c r="J935" s="8"/>
      <c r="K935" s="59" t="s">
        <v>2506</v>
      </c>
      <c r="L935" s="37" t="s">
        <v>25</v>
      </c>
    </row>
    <row r="936" spans="1:12">
      <c r="A936" s="4">
        <v>9802</v>
      </c>
      <c r="B936" s="3" t="s">
        <v>2614</v>
      </c>
      <c r="C936" s="3" t="s">
        <v>1220</v>
      </c>
      <c r="D936" s="3" t="s">
        <v>4178</v>
      </c>
      <c r="E936" s="3">
        <v>112233</v>
      </c>
      <c r="F936" s="3">
        <v>15984261603</v>
      </c>
      <c r="G936" s="3">
        <v>517699171</v>
      </c>
      <c r="H936" s="8" t="s">
        <v>2615</v>
      </c>
      <c r="I936" s="8" t="s">
        <v>2615</v>
      </c>
      <c r="J936" s="8"/>
      <c r="K936" s="59" t="s">
        <v>2506</v>
      </c>
      <c r="L936" s="37" t="s">
        <v>25</v>
      </c>
    </row>
    <row r="937" spans="1:12">
      <c r="A937" s="3">
        <v>9803</v>
      </c>
      <c r="B937" s="3" t="s">
        <v>2618</v>
      </c>
      <c r="C937" s="3" t="s">
        <v>1220</v>
      </c>
      <c r="D937" s="3" t="s">
        <v>4178</v>
      </c>
      <c r="E937" s="3">
        <v>112234</v>
      </c>
      <c r="F937" s="3">
        <v>15984261604</v>
      </c>
      <c r="G937" s="3">
        <v>517699251</v>
      </c>
      <c r="H937" s="8" t="s">
        <v>2619</v>
      </c>
      <c r="I937" s="8" t="s">
        <v>2619</v>
      </c>
      <c r="J937" s="8"/>
      <c r="K937" s="59" t="s">
        <v>2506</v>
      </c>
      <c r="L937" s="37" t="s">
        <v>25</v>
      </c>
    </row>
    <row r="938" spans="1:12">
      <c r="A938" s="3">
        <v>9804</v>
      </c>
      <c r="B938" s="3" t="s">
        <v>2622</v>
      </c>
      <c r="C938" s="3" t="s">
        <v>1220</v>
      </c>
      <c r="D938" s="3" t="s">
        <v>4178</v>
      </c>
      <c r="E938" s="3">
        <v>112235</v>
      </c>
      <c r="F938" s="3">
        <v>15984264568</v>
      </c>
      <c r="G938" s="3">
        <v>517699241</v>
      </c>
      <c r="H938" s="8" t="s">
        <v>2623</v>
      </c>
      <c r="I938" s="8" t="s">
        <v>2623</v>
      </c>
      <c r="J938" s="8"/>
      <c r="K938" s="59" t="s">
        <v>2506</v>
      </c>
      <c r="L938" s="37" t="s">
        <v>25</v>
      </c>
    </row>
    <row r="939" spans="1:12">
      <c r="A939" s="3">
        <v>9805</v>
      </c>
      <c r="B939" s="3" t="s">
        <v>2626</v>
      </c>
      <c r="C939" s="3" t="s">
        <v>1220</v>
      </c>
      <c r="D939" s="3" t="s">
        <v>4178</v>
      </c>
      <c r="E939" s="3">
        <v>112239</v>
      </c>
      <c r="F939" s="3">
        <v>15984362094</v>
      </c>
      <c r="G939" s="3">
        <v>517699269</v>
      </c>
      <c r="H939" s="8" t="s">
        <v>2627</v>
      </c>
      <c r="I939" s="8" t="s">
        <v>2627</v>
      </c>
      <c r="J939" s="8"/>
      <c r="K939" s="59" t="s">
        <v>2506</v>
      </c>
      <c r="L939" s="37" t="s">
        <v>25</v>
      </c>
    </row>
    <row r="940" spans="1:12">
      <c r="A940" s="4">
        <v>9806</v>
      </c>
      <c r="B940" s="3" t="s">
        <v>2630</v>
      </c>
      <c r="C940" s="3" t="s">
        <v>1220</v>
      </c>
      <c r="D940" s="3" t="s">
        <v>4178</v>
      </c>
      <c r="E940" s="3">
        <v>112237</v>
      </c>
      <c r="F940" s="3">
        <v>15984316982</v>
      </c>
      <c r="G940" s="3">
        <v>517699230</v>
      </c>
      <c r="H940" s="8" t="s">
        <v>2631</v>
      </c>
      <c r="I940" s="8" t="s">
        <v>2631</v>
      </c>
      <c r="J940" s="8"/>
      <c r="K940" s="59" t="s">
        <v>2506</v>
      </c>
      <c r="L940" s="37" t="s">
        <v>25</v>
      </c>
    </row>
    <row r="941" spans="1:12">
      <c r="A941" s="3">
        <v>9807</v>
      </c>
      <c r="B941" s="3" t="s">
        <v>2634</v>
      </c>
      <c r="C941" s="3" t="s">
        <v>1220</v>
      </c>
      <c r="D941" s="3" t="s">
        <v>4178</v>
      </c>
      <c r="E941" s="3">
        <v>112230</v>
      </c>
      <c r="F941" s="3">
        <v>15980372953</v>
      </c>
      <c r="G941" s="3">
        <v>517637351</v>
      </c>
      <c r="H941" s="8" t="s">
        <v>2635</v>
      </c>
      <c r="I941" s="8" t="s">
        <v>2635</v>
      </c>
      <c r="J941" s="8"/>
      <c r="K941" s="59" t="s">
        <v>2506</v>
      </c>
      <c r="L941" s="37" t="s">
        <v>25</v>
      </c>
    </row>
    <row r="942" spans="1:12">
      <c r="A942" s="3">
        <v>9808</v>
      </c>
      <c r="B942" s="3" t="s">
        <v>2638</v>
      </c>
      <c r="C942" s="3" t="s">
        <v>1220</v>
      </c>
      <c r="D942" s="3" t="s">
        <v>4178</v>
      </c>
      <c r="E942" s="3">
        <v>112231</v>
      </c>
      <c r="F942" s="3">
        <v>15980417081</v>
      </c>
      <c r="G942" s="3">
        <v>517638238</v>
      </c>
      <c r="H942" s="8" t="s">
        <v>2639</v>
      </c>
      <c r="I942" s="8" t="s">
        <v>2639</v>
      </c>
      <c r="J942" s="8"/>
      <c r="K942" s="59" t="s">
        <v>2506</v>
      </c>
      <c r="L942" s="37" t="s">
        <v>25</v>
      </c>
    </row>
    <row r="943" spans="1:12">
      <c r="A943" s="3">
        <v>9809</v>
      </c>
      <c r="B943" s="3" t="s">
        <v>2642</v>
      </c>
      <c r="C943" s="3" t="s">
        <v>1220</v>
      </c>
      <c r="D943" s="3" t="s">
        <v>4178</v>
      </c>
      <c r="E943" s="3">
        <v>112236</v>
      </c>
      <c r="F943" s="3">
        <v>15984277896</v>
      </c>
      <c r="G943" s="3">
        <v>517699158</v>
      </c>
      <c r="H943" s="8" t="s">
        <v>2643</v>
      </c>
      <c r="I943" s="8" t="s">
        <v>2643</v>
      </c>
      <c r="J943" s="8"/>
      <c r="K943" s="59" t="s">
        <v>2506</v>
      </c>
      <c r="L943" s="37" t="s">
        <v>25</v>
      </c>
    </row>
    <row r="944" spans="1:12">
      <c r="A944" s="4">
        <v>9810</v>
      </c>
      <c r="B944" s="3" t="s">
        <v>2646</v>
      </c>
      <c r="C944" s="3" t="s">
        <v>1220</v>
      </c>
      <c r="D944" s="3" t="s">
        <v>4178</v>
      </c>
      <c r="E944" s="3">
        <v>112390</v>
      </c>
      <c r="F944" s="3">
        <v>15999232563</v>
      </c>
      <c r="G944" s="3">
        <v>517878558</v>
      </c>
      <c r="H944" s="8" t="s">
        <v>2647</v>
      </c>
      <c r="I944" s="8" t="s">
        <v>2647</v>
      </c>
      <c r="J944" s="8"/>
      <c r="K944" s="59" t="s">
        <v>2506</v>
      </c>
      <c r="L944" s="37" t="s">
        <v>25</v>
      </c>
    </row>
    <row r="945" spans="1:12">
      <c r="A945" s="3">
        <v>9811</v>
      </c>
      <c r="B945" s="3" t="s">
        <v>2650</v>
      </c>
      <c r="C945" s="3" t="s">
        <v>1220</v>
      </c>
      <c r="D945" s="3" t="s">
        <v>4178</v>
      </c>
      <c r="E945" s="3">
        <v>112391</v>
      </c>
      <c r="F945" s="3">
        <v>15999272007</v>
      </c>
      <c r="G945" s="3">
        <v>517878582</v>
      </c>
      <c r="H945" s="8" t="s">
        <v>2651</v>
      </c>
      <c r="I945" s="8" t="s">
        <v>2651</v>
      </c>
      <c r="J945" s="8"/>
      <c r="K945" s="59" t="s">
        <v>2506</v>
      </c>
      <c r="L945" s="37" t="s">
        <v>25</v>
      </c>
    </row>
    <row r="946" spans="1:12">
      <c r="A946" s="3">
        <v>9812</v>
      </c>
      <c r="B946" s="3" t="s">
        <v>2654</v>
      </c>
      <c r="C946" s="3" t="s">
        <v>1220</v>
      </c>
      <c r="D946" s="3" t="s">
        <v>4178</v>
      </c>
      <c r="E946" s="3">
        <v>112382</v>
      </c>
      <c r="F946" s="3">
        <v>15999140874</v>
      </c>
      <c r="G946" s="3">
        <v>517878592</v>
      </c>
      <c r="H946" s="8" t="s">
        <v>2655</v>
      </c>
      <c r="I946" s="8" t="s">
        <v>2655</v>
      </c>
      <c r="J946" s="8"/>
      <c r="K946" s="59" t="s">
        <v>2506</v>
      </c>
      <c r="L946" s="37" t="s">
        <v>25</v>
      </c>
    </row>
    <row r="947" spans="1:12">
      <c r="A947" s="3">
        <v>9813</v>
      </c>
      <c r="B947" s="3" t="s">
        <v>2658</v>
      </c>
      <c r="C947" s="3" t="s">
        <v>1220</v>
      </c>
      <c r="D947" s="3" t="s">
        <v>4178</v>
      </c>
      <c r="E947" s="3">
        <v>112383</v>
      </c>
      <c r="F947" s="3">
        <v>15999140875</v>
      </c>
      <c r="G947" s="3">
        <v>517878611</v>
      </c>
      <c r="H947" s="8" t="s">
        <v>2659</v>
      </c>
      <c r="I947" s="8" t="s">
        <v>2659</v>
      </c>
      <c r="J947" s="8"/>
      <c r="K947" s="59" t="s">
        <v>2506</v>
      </c>
      <c r="L947" s="37" t="s">
        <v>25</v>
      </c>
    </row>
    <row r="948" spans="1:12">
      <c r="A948" s="4">
        <v>9814</v>
      </c>
      <c r="B948" s="3" t="s">
        <v>2662</v>
      </c>
      <c r="C948" s="3" t="s">
        <v>1220</v>
      </c>
      <c r="D948" s="3" t="s">
        <v>4178</v>
      </c>
      <c r="E948" s="3">
        <v>112426</v>
      </c>
      <c r="F948" s="3">
        <v>16004181989</v>
      </c>
      <c r="G948" s="3">
        <v>517938459</v>
      </c>
      <c r="H948" s="8" t="s">
        <v>2663</v>
      </c>
      <c r="I948" s="8" t="s">
        <v>2663</v>
      </c>
      <c r="J948" s="8"/>
      <c r="K948" s="59" t="s">
        <v>2506</v>
      </c>
      <c r="L948" s="37" t="s">
        <v>25</v>
      </c>
    </row>
    <row r="949" spans="1:12">
      <c r="A949" s="3">
        <v>9815</v>
      </c>
      <c r="B949" s="3" t="s">
        <v>2666</v>
      </c>
      <c r="C949" s="3" t="s">
        <v>1220</v>
      </c>
      <c r="D949" s="3" t="s">
        <v>4178</v>
      </c>
      <c r="E949" s="3">
        <v>112371</v>
      </c>
      <c r="F949" s="3">
        <v>15998963976</v>
      </c>
      <c r="G949" s="3">
        <v>517878581</v>
      </c>
      <c r="H949" s="8" t="s">
        <v>2667</v>
      </c>
      <c r="I949" s="8" t="s">
        <v>2667</v>
      </c>
      <c r="J949" s="8"/>
      <c r="K949" s="59" t="s">
        <v>2506</v>
      </c>
      <c r="L949" s="37" t="s">
        <v>25</v>
      </c>
    </row>
    <row r="950" spans="1:12">
      <c r="A950" s="3">
        <v>9816</v>
      </c>
      <c r="B950" s="3" t="s">
        <v>2670</v>
      </c>
      <c r="C950" s="3" t="s">
        <v>1220</v>
      </c>
      <c r="D950" s="3" t="s">
        <v>4178</v>
      </c>
      <c r="E950" s="3">
        <v>112381</v>
      </c>
      <c r="F950" s="3">
        <v>15999112552</v>
      </c>
      <c r="G950" s="3">
        <v>517878591</v>
      </c>
      <c r="H950" s="8" t="s">
        <v>2671</v>
      </c>
      <c r="I950" s="8" t="s">
        <v>2671</v>
      </c>
      <c r="J950" s="8"/>
      <c r="K950" s="59" t="s">
        <v>2506</v>
      </c>
      <c r="L950" s="37" t="s">
        <v>25</v>
      </c>
    </row>
    <row r="951" spans="1:12">
      <c r="A951" s="3">
        <v>9817</v>
      </c>
      <c r="B951" s="3" t="s">
        <v>2674</v>
      </c>
      <c r="C951" s="3" t="s">
        <v>1220</v>
      </c>
      <c r="D951" s="3" t="s">
        <v>4178</v>
      </c>
      <c r="E951" s="3">
        <v>112425</v>
      </c>
      <c r="F951" s="3">
        <v>16004180969</v>
      </c>
      <c r="G951" s="3">
        <v>517938473</v>
      </c>
      <c r="H951" s="8" t="s">
        <v>2675</v>
      </c>
      <c r="I951" s="8" t="s">
        <v>2675</v>
      </c>
      <c r="J951" s="8"/>
      <c r="K951" s="59" t="s">
        <v>2506</v>
      </c>
      <c r="L951" s="37" t="s">
        <v>25</v>
      </c>
    </row>
    <row r="952" spans="1:12">
      <c r="A952" s="4">
        <v>9818</v>
      </c>
      <c r="B952" s="3" t="s">
        <v>2678</v>
      </c>
      <c r="C952" s="3" t="s">
        <v>1220</v>
      </c>
      <c r="D952" s="3" t="s">
        <v>4178</v>
      </c>
      <c r="E952" s="3">
        <v>112387</v>
      </c>
      <c r="F952" s="3">
        <v>15999166136</v>
      </c>
      <c r="G952" s="3">
        <v>517878575</v>
      </c>
      <c r="H952" s="8" t="s">
        <v>2679</v>
      </c>
      <c r="I952" s="8" t="s">
        <v>2679</v>
      </c>
      <c r="J952" s="8"/>
      <c r="K952" s="59" t="s">
        <v>2506</v>
      </c>
      <c r="L952" s="37" t="s">
        <v>25</v>
      </c>
    </row>
    <row r="953" spans="1:12">
      <c r="A953" s="4">
        <v>9819</v>
      </c>
      <c r="B953" s="3" t="s">
        <v>2682</v>
      </c>
      <c r="C953" s="3" t="s">
        <v>1220</v>
      </c>
      <c r="D953" s="3" t="s">
        <v>4178</v>
      </c>
      <c r="E953" s="3">
        <v>112374</v>
      </c>
      <c r="F953" s="3">
        <v>15999057695</v>
      </c>
      <c r="G953" s="3">
        <v>517878560</v>
      </c>
      <c r="H953" s="8" t="s">
        <v>2683</v>
      </c>
      <c r="I953" s="8" t="s">
        <v>2683</v>
      </c>
      <c r="J953" s="8"/>
      <c r="K953" s="59" t="s">
        <v>2506</v>
      </c>
      <c r="L953" s="37" t="s">
        <v>25</v>
      </c>
    </row>
    <row r="954" spans="1:12">
      <c r="A954" s="3">
        <v>9820</v>
      </c>
      <c r="B954" s="3" t="s">
        <v>2686</v>
      </c>
      <c r="C954" s="3" t="s">
        <v>1220</v>
      </c>
      <c r="D954" s="3" t="s">
        <v>4178</v>
      </c>
      <c r="E954" s="3">
        <v>112373</v>
      </c>
      <c r="F954" s="3">
        <v>15999057694</v>
      </c>
      <c r="G954" s="3">
        <v>517878559</v>
      </c>
      <c r="H954" s="8" t="s">
        <v>2687</v>
      </c>
      <c r="I954" s="8" t="s">
        <v>2687</v>
      </c>
      <c r="J954" s="8"/>
      <c r="K954" s="59" t="s">
        <v>2506</v>
      </c>
      <c r="L954" s="37" t="s">
        <v>25</v>
      </c>
    </row>
    <row r="955" spans="1:12">
      <c r="A955" s="3">
        <v>9821</v>
      </c>
      <c r="B955" s="3" t="s">
        <v>2690</v>
      </c>
      <c r="C955" s="3" t="s">
        <v>1220</v>
      </c>
      <c r="D955" s="3" t="s">
        <v>4178</v>
      </c>
      <c r="E955" s="3">
        <v>112378</v>
      </c>
      <c r="F955" s="3">
        <v>15999100538</v>
      </c>
      <c r="G955" s="3">
        <v>517878587</v>
      </c>
      <c r="H955" s="8" t="s">
        <v>2691</v>
      </c>
      <c r="I955" s="8" t="s">
        <v>2691</v>
      </c>
      <c r="J955" s="8"/>
      <c r="K955" s="59" t="s">
        <v>2506</v>
      </c>
      <c r="L955" s="37" t="s">
        <v>25</v>
      </c>
    </row>
    <row r="956" spans="1:12">
      <c r="A956" s="3">
        <v>9822</v>
      </c>
      <c r="B956" s="3" t="s">
        <v>2694</v>
      </c>
      <c r="C956" s="3" t="s">
        <v>1220</v>
      </c>
      <c r="D956" s="3" t="s">
        <v>4178</v>
      </c>
      <c r="E956" s="3">
        <v>112419</v>
      </c>
      <c r="F956" s="3">
        <v>16004147304</v>
      </c>
      <c r="G956" s="3">
        <v>517938470</v>
      </c>
      <c r="H956" s="8" t="s">
        <v>2695</v>
      </c>
      <c r="I956" s="8" t="s">
        <v>2695</v>
      </c>
      <c r="J956" s="8"/>
      <c r="K956" s="59" t="s">
        <v>2506</v>
      </c>
      <c r="L956" s="37" t="s">
        <v>25</v>
      </c>
    </row>
    <row r="957" spans="1:12">
      <c r="A957" s="4">
        <v>9823</v>
      </c>
      <c r="B957" s="3" t="s">
        <v>2698</v>
      </c>
      <c r="C957" s="3" t="s">
        <v>1220</v>
      </c>
      <c r="D957" s="3" t="s">
        <v>4178</v>
      </c>
      <c r="E957" s="3">
        <v>112372</v>
      </c>
      <c r="F957" s="3">
        <v>15998963977</v>
      </c>
      <c r="G957" s="3">
        <v>517878570</v>
      </c>
      <c r="H957" s="8" t="s">
        <v>2699</v>
      </c>
      <c r="I957" s="8" t="s">
        <v>2699</v>
      </c>
      <c r="J957" s="8"/>
      <c r="K957" s="59" t="s">
        <v>2506</v>
      </c>
      <c r="L957" s="37" t="s">
        <v>25</v>
      </c>
    </row>
    <row r="958" spans="1:12">
      <c r="A958" s="3">
        <v>9824</v>
      </c>
      <c r="B958" s="3" t="s">
        <v>2702</v>
      </c>
      <c r="C958" s="3" t="s">
        <v>1220</v>
      </c>
      <c r="D958" s="3" t="s">
        <v>4178</v>
      </c>
      <c r="E958" s="3">
        <v>112423</v>
      </c>
      <c r="F958" s="3">
        <v>16004178659</v>
      </c>
      <c r="G958" s="3">
        <v>517939031</v>
      </c>
      <c r="H958" s="8" t="s">
        <v>2703</v>
      </c>
      <c r="I958" s="8" t="s">
        <v>2703</v>
      </c>
      <c r="J958" s="8"/>
      <c r="K958" s="59" t="s">
        <v>2506</v>
      </c>
      <c r="L958" s="37" t="s">
        <v>25</v>
      </c>
    </row>
    <row r="959" spans="1:12">
      <c r="A959" s="3">
        <v>9825</v>
      </c>
      <c r="B959" s="3" t="s">
        <v>2706</v>
      </c>
      <c r="C959" s="3" t="s">
        <v>1220</v>
      </c>
      <c r="D959" s="3" t="s">
        <v>4178</v>
      </c>
      <c r="E959" s="3">
        <v>112364</v>
      </c>
      <c r="F959" s="3">
        <v>15998699790</v>
      </c>
      <c r="G959" s="3">
        <v>517878569</v>
      </c>
      <c r="H959" s="8" t="s">
        <v>2707</v>
      </c>
      <c r="I959" s="8" t="s">
        <v>2707</v>
      </c>
      <c r="J959" s="8"/>
      <c r="K959" s="59" t="s">
        <v>2506</v>
      </c>
      <c r="L959" s="37" t="s">
        <v>25</v>
      </c>
    </row>
    <row r="960" spans="1:12">
      <c r="A960" s="3">
        <v>9826</v>
      </c>
      <c r="B960" s="3" t="s">
        <v>2710</v>
      </c>
      <c r="C960" s="3" t="s">
        <v>1220</v>
      </c>
      <c r="D960" s="3" t="s">
        <v>4178</v>
      </c>
      <c r="E960" s="3">
        <v>112388</v>
      </c>
      <c r="F960" s="3">
        <v>15999178325</v>
      </c>
      <c r="G960" s="3">
        <v>517878565</v>
      </c>
      <c r="H960" s="8" t="s">
        <v>2711</v>
      </c>
      <c r="I960" s="8" t="s">
        <v>2711</v>
      </c>
      <c r="J960" s="8"/>
      <c r="K960" s="59" t="s">
        <v>2506</v>
      </c>
      <c r="L960" s="37" t="s">
        <v>25</v>
      </c>
    </row>
    <row r="961" spans="1:12">
      <c r="A961" s="4">
        <v>9827</v>
      </c>
      <c r="B961" s="3" t="s">
        <v>2714</v>
      </c>
      <c r="C961" s="3" t="s">
        <v>1220</v>
      </c>
      <c r="D961" s="3" t="s">
        <v>4178</v>
      </c>
      <c r="E961" s="3">
        <v>112424</v>
      </c>
      <c r="F961" s="3">
        <v>16004180524</v>
      </c>
      <c r="G961" s="3">
        <v>517938454</v>
      </c>
      <c r="H961" s="8" t="s">
        <v>2715</v>
      </c>
      <c r="I961" s="8" t="s">
        <v>2715</v>
      </c>
      <c r="J961" s="8"/>
      <c r="K961" s="59" t="s">
        <v>2506</v>
      </c>
      <c r="L961" s="37" t="s">
        <v>25</v>
      </c>
    </row>
    <row r="962" spans="1:12">
      <c r="A962" s="3">
        <v>9828</v>
      </c>
      <c r="B962" s="3" t="s">
        <v>2718</v>
      </c>
      <c r="C962" s="3" t="s">
        <v>1220</v>
      </c>
      <c r="D962" s="3" t="s">
        <v>4178</v>
      </c>
      <c r="E962" s="3">
        <v>112384</v>
      </c>
      <c r="F962" s="3">
        <v>15999150571</v>
      </c>
      <c r="G962" s="3">
        <v>517878567</v>
      </c>
      <c r="H962" s="8" t="s">
        <v>2719</v>
      </c>
      <c r="I962" s="8" t="s">
        <v>2719</v>
      </c>
      <c r="J962" s="8"/>
      <c r="K962" s="59" t="s">
        <v>2506</v>
      </c>
      <c r="L962" s="37" t="s">
        <v>25</v>
      </c>
    </row>
    <row r="963" spans="1:12">
      <c r="A963" s="3">
        <v>9829</v>
      </c>
      <c r="B963" s="3" t="s">
        <v>2722</v>
      </c>
      <c r="C963" s="3" t="s">
        <v>1220</v>
      </c>
      <c r="D963" s="3" t="s">
        <v>4178</v>
      </c>
      <c r="E963" s="3">
        <v>112379</v>
      </c>
      <c r="F963" s="3">
        <v>15999106784</v>
      </c>
      <c r="G963" s="3">
        <v>517878580</v>
      </c>
      <c r="H963" s="8" t="s">
        <v>2723</v>
      </c>
      <c r="I963" s="8" t="s">
        <v>2723</v>
      </c>
      <c r="J963" s="8"/>
      <c r="K963" s="59" t="s">
        <v>2506</v>
      </c>
      <c r="L963" s="37" t="s">
        <v>25</v>
      </c>
    </row>
    <row r="964" spans="1:12">
      <c r="A964" s="3">
        <v>9830</v>
      </c>
      <c r="B964" s="3" t="s">
        <v>2726</v>
      </c>
      <c r="C964" s="3" t="s">
        <v>1220</v>
      </c>
      <c r="D964" s="3" t="s">
        <v>4178</v>
      </c>
      <c r="E964" s="3">
        <v>112377</v>
      </c>
      <c r="F964" s="3">
        <v>15999096616</v>
      </c>
      <c r="G964" s="3">
        <v>517878566</v>
      </c>
      <c r="H964" s="8" t="s">
        <v>2727</v>
      </c>
      <c r="I964" s="8" t="s">
        <v>2727</v>
      </c>
      <c r="J964" s="8"/>
      <c r="K964" s="59" t="s">
        <v>2506</v>
      </c>
      <c r="L964" s="37" t="s">
        <v>25</v>
      </c>
    </row>
    <row r="965" spans="1:12">
      <c r="A965" s="4">
        <v>9831</v>
      </c>
      <c r="B965" s="3" t="s">
        <v>2730</v>
      </c>
      <c r="C965" s="3" t="s">
        <v>1220</v>
      </c>
      <c r="D965" s="3" t="s">
        <v>4178</v>
      </c>
      <c r="E965" s="3">
        <v>112385</v>
      </c>
      <c r="F965" s="3">
        <v>15999150572</v>
      </c>
      <c r="G965" s="3">
        <v>517878573</v>
      </c>
      <c r="H965" s="8" t="s">
        <v>2731</v>
      </c>
      <c r="I965" s="8" t="s">
        <v>2731</v>
      </c>
      <c r="J965" s="8"/>
      <c r="K965" s="59" t="s">
        <v>2506</v>
      </c>
      <c r="L965" s="37" t="s">
        <v>25</v>
      </c>
    </row>
    <row r="966" spans="1:12">
      <c r="A966" s="3">
        <v>9832</v>
      </c>
      <c r="B966" s="3" t="s">
        <v>2734</v>
      </c>
      <c r="C966" s="3" t="s">
        <v>1220</v>
      </c>
      <c r="D966" s="3" t="s">
        <v>4178</v>
      </c>
      <c r="E966" s="3">
        <v>112417</v>
      </c>
      <c r="F966" s="3">
        <v>16004141639</v>
      </c>
      <c r="G966" s="3">
        <v>517939032</v>
      </c>
      <c r="H966" s="8" t="s">
        <v>2735</v>
      </c>
      <c r="I966" s="8" t="s">
        <v>2735</v>
      </c>
      <c r="J966" s="8"/>
      <c r="K966" s="59" t="s">
        <v>2506</v>
      </c>
      <c r="L966" s="37" t="s">
        <v>25</v>
      </c>
    </row>
    <row r="967" spans="1:12">
      <c r="A967" s="3">
        <v>9833</v>
      </c>
      <c r="B967" s="3" t="s">
        <v>2738</v>
      </c>
      <c r="C967" s="3" t="s">
        <v>1220</v>
      </c>
      <c r="D967" s="3" t="s">
        <v>4178</v>
      </c>
      <c r="E967" s="3">
        <v>112389</v>
      </c>
      <c r="F967" s="3">
        <v>15999178326</v>
      </c>
      <c r="G967" s="3">
        <v>517878596</v>
      </c>
      <c r="H967" s="8" t="s">
        <v>2739</v>
      </c>
      <c r="I967" s="8" t="s">
        <v>2739</v>
      </c>
      <c r="J967" s="8"/>
      <c r="K967" s="59" t="s">
        <v>2506</v>
      </c>
      <c r="L967" s="37" t="s">
        <v>25</v>
      </c>
    </row>
    <row r="968" spans="1:12">
      <c r="A968" s="3">
        <v>9834</v>
      </c>
      <c r="B968" s="3" t="s">
        <v>2742</v>
      </c>
      <c r="C968" s="3" t="s">
        <v>1220</v>
      </c>
      <c r="D968" s="3" t="s">
        <v>4178</v>
      </c>
      <c r="E968" s="3">
        <v>112375</v>
      </c>
      <c r="F968" s="3">
        <v>15999066675</v>
      </c>
      <c r="G968" s="3">
        <v>517878600</v>
      </c>
      <c r="H968" s="8" t="s">
        <v>2743</v>
      </c>
      <c r="I968" s="8" t="s">
        <v>2743</v>
      </c>
      <c r="J968" s="8"/>
      <c r="K968" s="59" t="s">
        <v>2506</v>
      </c>
      <c r="L968" s="37" t="s">
        <v>25</v>
      </c>
    </row>
    <row r="969" spans="1:12">
      <c r="A969" s="4">
        <v>9835</v>
      </c>
      <c r="B969" s="3" t="s">
        <v>2746</v>
      </c>
      <c r="C969" s="3" t="s">
        <v>1220</v>
      </c>
      <c r="D969" s="3" t="s">
        <v>4178</v>
      </c>
      <c r="E969" s="3">
        <v>112420</v>
      </c>
      <c r="F969" s="3">
        <v>16004175777</v>
      </c>
      <c r="G969" s="3">
        <v>517938460</v>
      </c>
      <c r="H969" s="8" t="s">
        <v>2747</v>
      </c>
      <c r="I969" s="8" t="s">
        <v>2747</v>
      </c>
      <c r="J969" s="8"/>
      <c r="K969" s="59" t="s">
        <v>2506</v>
      </c>
      <c r="L969" s="37" t="s">
        <v>25</v>
      </c>
    </row>
    <row r="970" spans="1:12">
      <c r="A970" s="3">
        <v>9836</v>
      </c>
      <c r="B970" s="3" t="s">
        <v>2750</v>
      </c>
      <c r="C970" s="3" t="s">
        <v>1220</v>
      </c>
      <c r="D970" s="3" t="s">
        <v>4178</v>
      </c>
      <c r="E970" s="3">
        <v>112421</v>
      </c>
      <c r="F970" s="3">
        <v>16004177572</v>
      </c>
      <c r="G970" s="3">
        <v>517938463</v>
      </c>
      <c r="H970" s="8" t="s">
        <v>2751</v>
      </c>
      <c r="I970" s="8" t="s">
        <v>2751</v>
      </c>
      <c r="J970" s="8"/>
      <c r="K970" s="59" t="s">
        <v>2506</v>
      </c>
      <c r="L970" s="37" t="s">
        <v>25</v>
      </c>
    </row>
    <row r="971" spans="1:12">
      <c r="A971" s="3">
        <v>9837</v>
      </c>
      <c r="B971" s="3" t="s">
        <v>2754</v>
      </c>
      <c r="C971" s="3" t="s">
        <v>1220</v>
      </c>
      <c r="D971" s="3" t="s">
        <v>4178</v>
      </c>
      <c r="E971" s="3">
        <v>112363</v>
      </c>
      <c r="F971" s="3">
        <v>15998698212</v>
      </c>
      <c r="G971" s="3">
        <v>517878608</v>
      </c>
      <c r="H971" s="8" t="s">
        <v>2755</v>
      </c>
      <c r="I971" s="8" t="s">
        <v>2755</v>
      </c>
      <c r="J971" s="8"/>
      <c r="K971" s="59" t="s">
        <v>2506</v>
      </c>
      <c r="L971" s="37" t="s">
        <v>25</v>
      </c>
    </row>
    <row r="972" spans="1:12">
      <c r="A972" s="3">
        <v>9838</v>
      </c>
      <c r="B972" s="3" t="s">
        <v>2758</v>
      </c>
      <c r="C972" s="3" t="s">
        <v>1220</v>
      </c>
      <c r="D972" s="3" t="s">
        <v>4178</v>
      </c>
      <c r="E972" s="3">
        <v>112286</v>
      </c>
      <c r="F972" s="3">
        <v>15984650735</v>
      </c>
      <c r="G972" s="3">
        <v>517699206</v>
      </c>
      <c r="H972" s="8" t="s">
        <v>2759</v>
      </c>
      <c r="I972" s="8" t="s">
        <v>2759</v>
      </c>
      <c r="J972" s="8"/>
      <c r="K972" s="59" t="s">
        <v>2506</v>
      </c>
      <c r="L972" s="37" t="s">
        <v>25</v>
      </c>
    </row>
    <row r="973" spans="1:12">
      <c r="A973" s="4">
        <v>9839</v>
      </c>
      <c r="B973" s="3" t="s">
        <v>2762</v>
      </c>
      <c r="C973" s="3" t="s">
        <v>1220</v>
      </c>
      <c r="D973" s="3" t="s">
        <v>4178</v>
      </c>
      <c r="E973" s="3">
        <v>112262</v>
      </c>
      <c r="F973" s="3">
        <v>15984585826</v>
      </c>
      <c r="G973" s="3">
        <v>517699210</v>
      </c>
      <c r="H973" s="8" t="s">
        <v>2763</v>
      </c>
      <c r="I973" s="8" t="s">
        <v>2763</v>
      </c>
      <c r="J973" s="8"/>
      <c r="K973" s="59" t="s">
        <v>2506</v>
      </c>
      <c r="L973" s="37" t="s">
        <v>25</v>
      </c>
    </row>
    <row r="974" spans="1:12">
      <c r="A974" s="3">
        <v>9840</v>
      </c>
      <c r="B974" s="3" t="s">
        <v>2766</v>
      </c>
      <c r="C974" s="3" t="s">
        <v>1220</v>
      </c>
      <c r="D974" s="3" t="s">
        <v>4178</v>
      </c>
      <c r="E974" s="3">
        <v>112268</v>
      </c>
      <c r="F974" s="3">
        <v>15984607054</v>
      </c>
      <c r="G974" s="3">
        <v>517699200</v>
      </c>
      <c r="H974" s="8" t="s">
        <v>2767</v>
      </c>
      <c r="I974" s="8" t="s">
        <v>2767</v>
      </c>
      <c r="J974" s="8"/>
      <c r="K974" s="59" t="s">
        <v>2506</v>
      </c>
      <c r="L974" s="37" t="s">
        <v>25</v>
      </c>
    </row>
    <row r="975" spans="1:12">
      <c r="A975" s="3">
        <v>9841</v>
      </c>
      <c r="B975" s="3" t="s">
        <v>2770</v>
      </c>
      <c r="C975" s="3" t="s">
        <v>1220</v>
      </c>
      <c r="D975" s="3" t="s">
        <v>4178</v>
      </c>
      <c r="E975" s="3">
        <v>112357</v>
      </c>
      <c r="F975" s="3">
        <v>15998598322</v>
      </c>
      <c r="G975" s="3">
        <v>517878589</v>
      </c>
      <c r="H975" s="8" t="s">
        <v>2771</v>
      </c>
      <c r="I975" s="8" t="s">
        <v>2771</v>
      </c>
      <c r="J975" s="8"/>
      <c r="K975" s="59" t="s">
        <v>2506</v>
      </c>
      <c r="L975" s="37" t="s">
        <v>25</v>
      </c>
    </row>
    <row r="976" spans="1:12">
      <c r="A976" s="3">
        <v>9842</v>
      </c>
      <c r="B976" s="3" t="s">
        <v>2774</v>
      </c>
      <c r="C976" s="3" t="s">
        <v>1220</v>
      </c>
      <c r="D976" s="3" t="s">
        <v>4178</v>
      </c>
      <c r="E976" s="3">
        <v>112299</v>
      </c>
      <c r="F976" s="3">
        <v>15984667372</v>
      </c>
      <c r="G976" s="3">
        <v>517699248</v>
      </c>
      <c r="H976" s="8" t="s">
        <v>2775</v>
      </c>
      <c r="I976" s="8" t="s">
        <v>2775</v>
      </c>
      <c r="J976" s="8"/>
      <c r="K976" s="59" t="s">
        <v>2506</v>
      </c>
      <c r="L976" s="37" t="s">
        <v>25</v>
      </c>
    </row>
    <row r="977" spans="1:12">
      <c r="A977" s="4">
        <v>9843</v>
      </c>
      <c r="B977" s="3" t="s">
        <v>2778</v>
      </c>
      <c r="C977" s="3" t="s">
        <v>1220</v>
      </c>
      <c r="D977" s="3" t="s">
        <v>4178</v>
      </c>
      <c r="E977" s="3">
        <v>112288</v>
      </c>
      <c r="F977" s="3">
        <v>15984652110</v>
      </c>
      <c r="G977" s="3">
        <v>517699201</v>
      </c>
      <c r="H977" s="8" t="s">
        <v>2779</v>
      </c>
      <c r="I977" s="8" t="s">
        <v>2779</v>
      </c>
      <c r="J977" s="8"/>
      <c r="K977" s="59" t="s">
        <v>2506</v>
      </c>
      <c r="L977" s="37" t="s">
        <v>25</v>
      </c>
    </row>
    <row r="978" spans="1:12">
      <c r="A978" s="3">
        <v>9844</v>
      </c>
      <c r="B978" s="3" t="s">
        <v>2782</v>
      </c>
      <c r="C978" s="3" t="s">
        <v>1220</v>
      </c>
      <c r="D978" s="3" t="s">
        <v>4178</v>
      </c>
      <c r="E978" s="3">
        <v>112358</v>
      </c>
      <c r="F978" s="3">
        <v>15998598323</v>
      </c>
      <c r="G978" s="3">
        <v>517878564</v>
      </c>
      <c r="H978" s="8" t="s">
        <v>2783</v>
      </c>
      <c r="I978" s="8" t="s">
        <v>2783</v>
      </c>
      <c r="J978" s="8"/>
      <c r="K978" s="59" t="s">
        <v>2506</v>
      </c>
      <c r="L978" s="37" t="s">
        <v>25</v>
      </c>
    </row>
    <row r="979" spans="1:12">
      <c r="A979" s="3">
        <v>9845</v>
      </c>
      <c r="B979" s="3" t="s">
        <v>2786</v>
      </c>
      <c r="C979" s="3" t="s">
        <v>1220</v>
      </c>
      <c r="D979" s="3" t="s">
        <v>4178</v>
      </c>
      <c r="E979" s="3">
        <v>112275</v>
      </c>
      <c r="F979" s="3">
        <v>15984619443</v>
      </c>
      <c r="G979" s="3">
        <v>517699219</v>
      </c>
      <c r="H979" s="8" t="s">
        <v>2787</v>
      </c>
      <c r="I979" s="8" t="s">
        <v>2787</v>
      </c>
      <c r="J979" s="8"/>
      <c r="K979" s="59" t="s">
        <v>2506</v>
      </c>
      <c r="L979" s="37" t="s">
        <v>25</v>
      </c>
    </row>
    <row r="980" spans="1:12">
      <c r="A980" s="3">
        <v>9846</v>
      </c>
      <c r="B980" s="3" t="s">
        <v>2790</v>
      </c>
      <c r="C980" s="3" t="s">
        <v>1220</v>
      </c>
      <c r="D980" s="3" t="s">
        <v>4178</v>
      </c>
      <c r="E980" s="3">
        <v>112276</v>
      </c>
      <c r="F980" s="3">
        <v>15984621436</v>
      </c>
      <c r="G980" s="3">
        <v>517699227</v>
      </c>
      <c r="H980" s="8" t="s">
        <v>2791</v>
      </c>
      <c r="I980" s="8" t="s">
        <v>2791</v>
      </c>
      <c r="J980" s="8"/>
      <c r="K980" s="59" t="s">
        <v>2506</v>
      </c>
      <c r="L980" s="37" t="s">
        <v>25</v>
      </c>
    </row>
    <row r="981" spans="1:12">
      <c r="A981" s="4">
        <v>9847</v>
      </c>
      <c r="B981" s="3" t="s">
        <v>2794</v>
      </c>
      <c r="C981" s="3" t="s">
        <v>1220</v>
      </c>
      <c r="D981" s="3" t="s">
        <v>4178</v>
      </c>
      <c r="E981" s="3">
        <v>112277</v>
      </c>
      <c r="F981" s="3">
        <v>15984623931</v>
      </c>
      <c r="G981" s="3">
        <v>517699271</v>
      </c>
      <c r="H981" s="8" t="s">
        <v>2795</v>
      </c>
      <c r="I981" s="8" t="s">
        <v>2795</v>
      </c>
      <c r="J981" s="8"/>
      <c r="K981" s="59" t="s">
        <v>2506</v>
      </c>
      <c r="L981" s="37" t="s">
        <v>25</v>
      </c>
    </row>
    <row r="982" spans="1:12">
      <c r="A982" s="3">
        <v>9848</v>
      </c>
      <c r="B982" s="3" t="s">
        <v>2798</v>
      </c>
      <c r="C982" s="3" t="s">
        <v>1220</v>
      </c>
      <c r="D982" s="3" t="s">
        <v>4178</v>
      </c>
      <c r="E982" s="3">
        <v>112254</v>
      </c>
      <c r="F982" s="3">
        <v>15984515003</v>
      </c>
      <c r="G982" s="3">
        <v>517699245</v>
      </c>
      <c r="H982" s="8" t="s">
        <v>2799</v>
      </c>
      <c r="I982" s="8" t="s">
        <v>2799</v>
      </c>
      <c r="J982" s="8"/>
      <c r="K982" s="59" t="s">
        <v>2506</v>
      </c>
      <c r="L982" s="37" t="s">
        <v>25</v>
      </c>
    </row>
    <row r="983" spans="1:12">
      <c r="A983" s="3">
        <v>9849</v>
      </c>
      <c r="B983" s="3" t="s">
        <v>2802</v>
      </c>
      <c r="C983" s="3" t="s">
        <v>1220</v>
      </c>
      <c r="D983" s="3" t="s">
        <v>4178</v>
      </c>
      <c r="E983" s="3">
        <v>112354</v>
      </c>
      <c r="F983" s="3">
        <v>15998584816</v>
      </c>
      <c r="G983" s="3">
        <v>517878577</v>
      </c>
      <c r="H983" s="8" t="s">
        <v>2803</v>
      </c>
      <c r="I983" s="8" t="s">
        <v>2803</v>
      </c>
      <c r="J983" s="8"/>
      <c r="K983" s="59" t="s">
        <v>2506</v>
      </c>
      <c r="L983" s="37" t="s">
        <v>25</v>
      </c>
    </row>
    <row r="984" spans="1:12">
      <c r="A984" s="3">
        <v>9850</v>
      </c>
      <c r="B984" s="3" t="s">
        <v>2806</v>
      </c>
      <c r="C984" s="3" t="s">
        <v>1220</v>
      </c>
      <c r="D984" s="3" t="s">
        <v>4178</v>
      </c>
      <c r="E984" s="3">
        <v>112278</v>
      </c>
      <c r="F984" s="3">
        <v>15984627278</v>
      </c>
      <c r="G984" s="3">
        <v>517699170</v>
      </c>
      <c r="H984" s="8" t="s">
        <v>2807</v>
      </c>
      <c r="I984" s="8" t="s">
        <v>2807</v>
      </c>
      <c r="J984" s="8"/>
      <c r="K984" s="59" t="s">
        <v>2506</v>
      </c>
      <c r="L984" s="37" t="s">
        <v>25</v>
      </c>
    </row>
    <row r="985" spans="1:12">
      <c r="A985" s="4">
        <v>9851</v>
      </c>
      <c r="B985" s="3" t="s">
        <v>2810</v>
      </c>
      <c r="C985" s="3" t="s">
        <v>1220</v>
      </c>
      <c r="D985" s="3" t="s">
        <v>4178</v>
      </c>
      <c r="E985" s="3">
        <v>112360</v>
      </c>
      <c r="F985" s="3">
        <v>15998644050</v>
      </c>
      <c r="G985" s="3">
        <v>517878578</v>
      </c>
      <c r="H985" s="8" t="s">
        <v>2811</v>
      </c>
      <c r="I985" s="8" t="s">
        <v>2811</v>
      </c>
      <c r="J985" s="8"/>
      <c r="K985" s="59" t="s">
        <v>2506</v>
      </c>
      <c r="L985" s="37" t="s">
        <v>25</v>
      </c>
    </row>
    <row r="986" spans="1:12">
      <c r="A986" s="3">
        <v>9852</v>
      </c>
      <c r="B986" s="3" t="s">
        <v>2814</v>
      </c>
      <c r="C986" s="3" t="s">
        <v>1220</v>
      </c>
      <c r="D986" s="3" t="s">
        <v>4178</v>
      </c>
      <c r="E986" s="3">
        <v>112356</v>
      </c>
      <c r="F986" s="3">
        <v>15998585426</v>
      </c>
      <c r="G986" s="3">
        <v>517878599</v>
      </c>
      <c r="H986" s="8" t="s">
        <v>2815</v>
      </c>
      <c r="I986" s="8" t="s">
        <v>2815</v>
      </c>
      <c r="J986" s="8"/>
      <c r="K986" s="59" t="s">
        <v>2506</v>
      </c>
      <c r="L986" s="37" t="s">
        <v>25</v>
      </c>
    </row>
    <row r="987" spans="1:12">
      <c r="A987" s="3">
        <v>9853</v>
      </c>
      <c r="B987" s="3" t="s">
        <v>2818</v>
      </c>
      <c r="C987" s="3" t="s">
        <v>1220</v>
      </c>
      <c r="D987" s="3" t="s">
        <v>4178</v>
      </c>
      <c r="E987" s="3">
        <v>112291</v>
      </c>
      <c r="F987" s="3">
        <v>15984660612</v>
      </c>
      <c r="G987" s="3">
        <v>517699217</v>
      </c>
      <c r="H987" s="8" t="s">
        <v>2819</v>
      </c>
      <c r="I987" s="8" t="s">
        <v>2819</v>
      </c>
      <c r="J987" s="8"/>
      <c r="K987" s="59" t="s">
        <v>2506</v>
      </c>
      <c r="L987" s="37" t="s">
        <v>25</v>
      </c>
    </row>
    <row r="988" spans="1:12">
      <c r="A988" s="3">
        <v>9854</v>
      </c>
      <c r="B988" s="3" t="s">
        <v>2822</v>
      </c>
      <c r="C988" s="3" t="s">
        <v>1220</v>
      </c>
      <c r="D988" s="3" t="s">
        <v>4178</v>
      </c>
      <c r="E988" s="3">
        <v>112279</v>
      </c>
      <c r="F988" s="3">
        <v>15984633297</v>
      </c>
      <c r="G988" s="3">
        <v>517699193</v>
      </c>
      <c r="H988" s="8" t="s">
        <v>2823</v>
      </c>
      <c r="I988" s="8" t="s">
        <v>2823</v>
      </c>
      <c r="J988" s="8"/>
      <c r="K988" s="59" t="s">
        <v>2506</v>
      </c>
      <c r="L988" s="37" t="s">
        <v>25</v>
      </c>
    </row>
    <row r="989" spans="1:12">
      <c r="A989" s="4">
        <v>9855</v>
      </c>
      <c r="B989" s="3" t="s">
        <v>2826</v>
      </c>
      <c r="C989" s="3" t="s">
        <v>1220</v>
      </c>
      <c r="D989" s="3" t="s">
        <v>4178</v>
      </c>
      <c r="E989" s="3">
        <v>112298</v>
      </c>
      <c r="F989" s="3">
        <v>15984666513</v>
      </c>
      <c r="G989" s="3">
        <v>517699177</v>
      </c>
      <c r="H989" s="8" t="s">
        <v>2827</v>
      </c>
      <c r="I989" s="8" t="s">
        <v>2827</v>
      </c>
      <c r="J989" s="8"/>
      <c r="K989" s="59" t="s">
        <v>2506</v>
      </c>
      <c r="L989" s="37" t="s">
        <v>25</v>
      </c>
    </row>
    <row r="990" spans="1:12">
      <c r="A990" s="3">
        <v>9856</v>
      </c>
      <c r="B990" s="3" t="s">
        <v>2830</v>
      </c>
      <c r="C990" s="3" t="s">
        <v>1220</v>
      </c>
      <c r="D990" s="3" t="s">
        <v>4178</v>
      </c>
      <c r="E990" s="3">
        <v>112280</v>
      </c>
      <c r="F990" s="3">
        <v>15984633298</v>
      </c>
      <c r="G990" s="3">
        <v>517699264</v>
      </c>
      <c r="H990" s="8" t="s">
        <v>2831</v>
      </c>
      <c r="I990" s="8" t="s">
        <v>2831</v>
      </c>
      <c r="J990" s="8"/>
      <c r="K990" s="59" t="s">
        <v>2506</v>
      </c>
      <c r="L990" s="37" t="s">
        <v>25</v>
      </c>
    </row>
    <row r="991" spans="1:12">
      <c r="A991" s="3">
        <v>9857</v>
      </c>
      <c r="B991" s="3" t="s">
        <v>2834</v>
      </c>
      <c r="C991" s="3" t="s">
        <v>1220</v>
      </c>
      <c r="D991" s="3" t="s">
        <v>4178</v>
      </c>
      <c r="E991" s="3">
        <v>112297</v>
      </c>
      <c r="F991" s="3">
        <v>15984666512</v>
      </c>
      <c r="G991" s="3">
        <v>517699276</v>
      </c>
      <c r="H991" s="8" t="s">
        <v>2835</v>
      </c>
      <c r="I991" s="8" t="s">
        <v>2835</v>
      </c>
      <c r="J991" s="8"/>
      <c r="K991" s="59" t="s">
        <v>2506</v>
      </c>
      <c r="L991" s="37" t="s">
        <v>25</v>
      </c>
    </row>
    <row r="992" spans="1:12">
      <c r="A992" s="3">
        <v>9858</v>
      </c>
      <c r="B992" s="3" t="s">
        <v>2838</v>
      </c>
      <c r="C992" s="3" t="s">
        <v>1220</v>
      </c>
      <c r="D992" s="3" t="s">
        <v>4178</v>
      </c>
      <c r="E992" s="3">
        <v>112296</v>
      </c>
      <c r="F992" s="3">
        <v>15984665167</v>
      </c>
      <c r="G992" s="3">
        <v>517699185</v>
      </c>
      <c r="H992" s="8" t="s">
        <v>2839</v>
      </c>
      <c r="I992" s="8" t="s">
        <v>2839</v>
      </c>
      <c r="J992" s="8"/>
      <c r="K992" s="59" t="s">
        <v>2506</v>
      </c>
      <c r="L992" s="37" t="s">
        <v>25</v>
      </c>
    </row>
    <row r="993" spans="1:12">
      <c r="A993" s="4">
        <v>9859</v>
      </c>
      <c r="B993" s="3" t="s">
        <v>2842</v>
      </c>
      <c r="C993" s="3" t="s">
        <v>1220</v>
      </c>
      <c r="D993" s="3" t="s">
        <v>4178</v>
      </c>
      <c r="E993" s="3">
        <v>112295</v>
      </c>
      <c r="F993" s="3">
        <v>15984662427</v>
      </c>
      <c r="G993" s="3">
        <v>517699259</v>
      </c>
      <c r="H993" s="8" t="s">
        <v>2843</v>
      </c>
      <c r="I993" s="8" t="s">
        <v>2843</v>
      </c>
      <c r="J993" s="8"/>
      <c r="K993" s="59" t="s">
        <v>2506</v>
      </c>
      <c r="L993" s="37" t="s">
        <v>25</v>
      </c>
    </row>
    <row r="994" spans="1:12" s="6" customFormat="1" ht="15.75" thickBot="1">
      <c r="A994" s="6">
        <v>9860</v>
      </c>
      <c r="B994" s="6" t="s">
        <v>2846</v>
      </c>
      <c r="C994" s="6" t="s">
        <v>1220</v>
      </c>
      <c r="D994" s="6" t="s">
        <v>4178</v>
      </c>
      <c r="E994" s="6">
        <v>112263</v>
      </c>
      <c r="F994" s="6">
        <v>15984597476</v>
      </c>
      <c r="G994" s="6">
        <v>517699270</v>
      </c>
      <c r="H994" s="9" t="s">
        <v>2847</v>
      </c>
      <c r="I994" s="9" t="s">
        <v>2847</v>
      </c>
      <c r="J994" s="9"/>
      <c r="K994" s="60" t="s">
        <v>2506</v>
      </c>
      <c r="L994" s="43" t="s">
        <v>25</v>
      </c>
    </row>
    <row r="995" spans="1:12">
      <c r="A995" s="4"/>
      <c r="G995" s="32"/>
      <c r="K995" s="4"/>
      <c r="L995" s="4"/>
    </row>
    <row r="996" spans="1:12">
      <c r="G996" s="32"/>
    </row>
    <row r="997" spans="1:12">
      <c r="G997" s="32"/>
    </row>
    <row r="998" spans="1:12">
      <c r="G998" s="32"/>
    </row>
    <row r="999" spans="1:12">
      <c r="G999" s="32"/>
    </row>
    <row r="1000" spans="1:12">
      <c r="G1000" s="32"/>
    </row>
    <row r="1001" spans="1:12">
      <c r="G1001" s="32"/>
    </row>
    <row r="1002" spans="1:12">
      <c r="G1002" s="32"/>
    </row>
    <row r="1003" spans="1:12">
      <c r="G1003" s="32"/>
    </row>
    <row r="1004" spans="1:12">
      <c r="G1004" s="32"/>
    </row>
    <row r="1005" spans="1:12">
      <c r="G1005" s="32"/>
    </row>
    <row r="1006" spans="1:12">
      <c r="G1006" s="32"/>
    </row>
    <row r="1007" spans="1:12">
      <c r="G1007" s="32"/>
    </row>
    <row r="1008" spans="1:12">
      <c r="G1008" s="32"/>
    </row>
    <row r="1009" spans="7:7">
      <c r="G1009" s="32"/>
    </row>
    <row r="1010" spans="7:7">
      <c r="G1010" s="32"/>
    </row>
    <row r="1011" spans="7:7">
      <c r="G1011" s="32"/>
    </row>
    <row r="1012" spans="7:7">
      <c r="G1012" s="32"/>
    </row>
    <row r="1013" spans="7:7">
      <c r="G1013" s="32"/>
    </row>
    <row r="1014" spans="7:7">
      <c r="G1014" s="32"/>
    </row>
    <row r="1015" spans="7:7">
      <c r="G1015" s="32"/>
    </row>
    <row r="1016" spans="7:7">
      <c r="G1016" s="32"/>
    </row>
    <row r="1017" spans="7:7">
      <c r="G1017" s="32"/>
    </row>
    <row r="1018" spans="7:7">
      <c r="G1018" s="32"/>
    </row>
    <row r="1019" spans="7:7">
      <c r="G1019" s="32"/>
    </row>
    <row r="1020" spans="7:7">
      <c r="G1020" s="32"/>
    </row>
    <row r="1021" spans="7:7">
      <c r="G1021" s="32"/>
    </row>
    <row r="1022" spans="7:7">
      <c r="G1022" s="32"/>
    </row>
    <row r="1023" spans="7:7">
      <c r="G1023" s="32"/>
    </row>
    <row r="1024" spans="7:7">
      <c r="G1024" s="32"/>
    </row>
    <row r="1025" spans="7:7">
      <c r="G1025" s="32"/>
    </row>
    <row r="1026" spans="7:7">
      <c r="G1026" s="32"/>
    </row>
    <row r="1027" spans="7:7">
      <c r="G1027" s="32"/>
    </row>
    <row r="1028" spans="7:7">
      <c r="G1028" s="32"/>
    </row>
    <row r="1029" spans="7:7">
      <c r="G1029" s="32"/>
    </row>
    <row r="1030" spans="7:7">
      <c r="G1030" s="32"/>
    </row>
    <row r="1031" spans="7:7">
      <c r="G1031" s="32"/>
    </row>
    <row r="1032" spans="7:7">
      <c r="G1032" s="32"/>
    </row>
    <row r="1033" spans="7:7">
      <c r="G1033" s="32"/>
    </row>
    <row r="1034" spans="7:7">
      <c r="G1034" s="32"/>
    </row>
    <row r="1035" spans="7:7">
      <c r="G1035" s="32"/>
    </row>
  </sheetData>
  <autoFilter ref="A1:M1021" xr:uid="{AC1BA311-829F-43C7-AA8D-1733539D531D}"/>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A405-6AB4-4A2E-B6D9-79056CCE6E30}">
  <dimension ref="A1:M728"/>
  <sheetViews>
    <sheetView zoomScaleNormal="100" workbookViewId="0">
      <pane ySplit="1" topLeftCell="A2" activePane="bottomLeft" state="frozen"/>
      <selection pane="bottomLeft" activeCell="B2" sqref="B2"/>
    </sheetView>
  </sheetViews>
  <sheetFormatPr defaultColWidth="8.5703125" defaultRowHeight="15"/>
  <cols>
    <col min="1" max="1" width="15.5703125" style="3" bestFit="1" customWidth="1"/>
    <col min="2" max="2" width="32.42578125" style="3" customWidth="1"/>
    <col min="3" max="3" width="13.140625" style="3" bestFit="1" customWidth="1"/>
    <col min="4" max="4" width="19.42578125" style="3" customWidth="1"/>
    <col min="5" max="5" width="21.42578125" style="3" bestFit="1" customWidth="1"/>
    <col min="6" max="7" width="21.42578125" style="3" customWidth="1"/>
    <col min="8" max="8" width="25.140625" style="32" bestFit="1" customWidth="1"/>
    <col min="9" max="9" width="26.140625" style="32" bestFit="1" customWidth="1"/>
    <col min="10" max="10" width="29.5703125" style="32" customWidth="1"/>
    <col min="11" max="11" width="16.5703125" style="3" bestFit="1" customWidth="1"/>
    <col min="12" max="12" width="30.42578125" style="3" bestFit="1" customWidth="1"/>
    <col min="13" max="13" width="34.140625" style="3" bestFit="1" customWidth="1"/>
    <col min="14" max="16384" width="8.5703125" style="3"/>
  </cols>
  <sheetData>
    <row r="1" spans="1:13" s="2" customFormat="1">
      <c r="A1" s="2" t="s">
        <v>0</v>
      </c>
      <c r="B1" s="2" t="s">
        <v>1</v>
      </c>
      <c r="C1" s="2" t="s">
        <v>2</v>
      </c>
      <c r="D1" s="1" t="s">
        <v>3</v>
      </c>
      <c r="E1" s="2" t="s">
        <v>4</v>
      </c>
      <c r="F1" s="2" t="s">
        <v>5</v>
      </c>
      <c r="G1" s="2" t="s">
        <v>6</v>
      </c>
      <c r="H1" s="1" t="s">
        <v>7</v>
      </c>
      <c r="I1" s="1" t="s">
        <v>8</v>
      </c>
      <c r="J1" s="1" t="s">
        <v>4135</v>
      </c>
      <c r="K1" s="2" t="s">
        <v>14</v>
      </c>
      <c r="L1" s="2" t="s">
        <v>4136</v>
      </c>
      <c r="M1" s="2" t="s">
        <v>4137</v>
      </c>
    </row>
    <row r="2" spans="1:13" s="4" customFormat="1">
      <c r="A2" s="4">
        <v>9001</v>
      </c>
      <c r="B2" s="4" t="s">
        <v>696</v>
      </c>
      <c r="C2" s="4" t="s">
        <v>691</v>
      </c>
      <c r="D2" s="4" t="s">
        <v>19</v>
      </c>
      <c r="E2" s="4">
        <v>113171</v>
      </c>
      <c r="F2" s="4">
        <v>16354099306</v>
      </c>
      <c r="G2" s="4">
        <v>521876205</v>
      </c>
      <c r="H2" s="33"/>
      <c r="I2" s="33"/>
      <c r="J2" s="10" t="s">
        <v>699</v>
      </c>
      <c r="L2" s="37" t="s">
        <v>25</v>
      </c>
    </row>
    <row r="3" spans="1:13">
      <c r="A3" s="3">
        <v>9002</v>
      </c>
      <c r="B3" s="3" t="s">
        <v>726</v>
      </c>
      <c r="C3" s="3" t="s">
        <v>691</v>
      </c>
      <c r="D3" s="3" t="s">
        <v>19</v>
      </c>
      <c r="E3" s="3">
        <v>113170</v>
      </c>
      <c r="F3" s="3">
        <v>16354087548</v>
      </c>
      <c r="G3" s="3">
        <v>521876204</v>
      </c>
      <c r="J3" s="8" t="s">
        <v>729</v>
      </c>
      <c r="L3" s="37" t="s">
        <v>25</v>
      </c>
    </row>
    <row r="4" spans="1:13">
      <c r="A4" s="3">
        <v>9003</v>
      </c>
      <c r="C4" s="3" t="s">
        <v>689</v>
      </c>
      <c r="J4" s="8"/>
    </row>
    <row r="5" spans="1:13">
      <c r="A5" s="4">
        <v>9004</v>
      </c>
      <c r="C5" s="3" t="s">
        <v>689</v>
      </c>
      <c r="J5" s="8"/>
    </row>
    <row r="6" spans="1:13">
      <c r="A6" s="3">
        <v>9005</v>
      </c>
      <c r="C6" s="3" t="s">
        <v>689</v>
      </c>
      <c r="J6" s="8"/>
    </row>
    <row r="7" spans="1:13">
      <c r="A7" s="3">
        <v>9006</v>
      </c>
      <c r="B7" s="3" t="s">
        <v>2852</v>
      </c>
      <c r="C7" s="3" t="s">
        <v>689</v>
      </c>
      <c r="D7" s="3" t="s">
        <v>19</v>
      </c>
      <c r="E7" s="3">
        <v>111974</v>
      </c>
      <c r="F7" s="3">
        <v>15836602686</v>
      </c>
      <c r="G7" s="3">
        <v>515581920</v>
      </c>
      <c r="J7" s="8" t="s">
        <v>2855</v>
      </c>
      <c r="L7" s="37" t="s">
        <v>25</v>
      </c>
    </row>
    <row r="8" spans="1:13">
      <c r="A8" s="4">
        <v>9007</v>
      </c>
      <c r="C8" s="3" t="s">
        <v>689</v>
      </c>
      <c r="J8" s="8"/>
    </row>
    <row r="9" spans="1:13">
      <c r="A9" s="3">
        <v>9008</v>
      </c>
      <c r="C9" s="3" t="s">
        <v>689</v>
      </c>
      <c r="J9" s="8"/>
    </row>
    <row r="10" spans="1:13">
      <c r="A10" s="3">
        <v>9009</v>
      </c>
      <c r="C10" s="3" t="s">
        <v>689</v>
      </c>
      <c r="J10" s="8"/>
    </row>
    <row r="11" spans="1:13">
      <c r="A11" s="4">
        <v>9010</v>
      </c>
      <c r="C11" s="3" t="s">
        <v>689</v>
      </c>
      <c r="J11" s="8"/>
    </row>
    <row r="12" spans="1:13">
      <c r="A12" s="3">
        <v>9011</v>
      </c>
      <c r="B12" s="3" t="s">
        <v>820</v>
      </c>
      <c r="C12" s="3" t="s">
        <v>689</v>
      </c>
      <c r="D12" s="3" t="s">
        <v>19</v>
      </c>
      <c r="E12" s="3">
        <v>111975</v>
      </c>
      <c r="F12" s="3">
        <v>15836608730</v>
      </c>
      <c r="G12" s="3">
        <v>515581901</v>
      </c>
      <c r="J12" s="8" t="s">
        <v>2857</v>
      </c>
      <c r="L12" s="37" t="s">
        <v>25</v>
      </c>
    </row>
    <row r="13" spans="1:13">
      <c r="A13" s="3">
        <v>9012</v>
      </c>
      <c r="C13" s="3" t="s">
        <v>689</v>
      </c>
      <c r="J13" s="8"/>
    </row>
    <row r="14" spans="1:13">
      <c r="A14" s="4">
        <v>9013</v>
      </c>
      <c r="C14" s="3" t="s">
        <v>689</v>
      </c>
      <c r="J14" s="8"/>
    </row>
    <row r="15" spans="1:13">
      <c r="A15" s="3">
        <v>9014</v>
      </c>
      <c r="C15" s="3" t="s">
        <v>689</v>
      </c>
      <c r="J15" s="8"/>
    </row>
    <row r="16" spans="1:13">
      <c r="A16" s="3">
        <v>9015</v>
      </c>
      <c r="C16" s="3" t="s">
        <v>689</v>
      </c>
      <c r="J16" s="8"/>
    </row>
    <row r="17" spans="1:12">
      <c r="A17" s="4">
        <v>9016</v>
      </c>
      <c r="C17" s="3" t="s">
        <v>689</v>
      </c>
      <c r="J17" s="8"/>
    </row>
    <row r="18" spans="1:12">
      <c r="A18" s="3">
        <v>9017</v>
      </c>
      <c r="B18" s="3" t="s">
        <v>838</v>
      </c>
      <c r="C18" s="3" t="s">
        <v>689</v>
      </c>
      <c r="D18" s="3" t="s">
        <v>19</v>
      </c>
      <c r="E18" s="3">
        <v>112551</v>
      </c>
      <c r="F18" s="3">
        <v>16106044260</v>
      </c>
      <c r="G18" s="3">
        <v>519562724</v>
      </c>
      <c r="J18" s="8" t="s">
        <v>2860</v>
      </c>
      <c r="L18" s="37" t="s">
        <v>25</v>
      </c>
    </row>
    <row r="19" spans="1:12">
      <c r="A19" s="3">
        <v>9018</v>
      </c>
      <c r="B19" s="3" t="s">
        <v>860</v>
      </c>
      <c r="C19" s="3" t="s">
        <v>689</v>
      </c>
      <c r="D19" s="3" t="s">
        <v>19</v>
      </c>
      <c r="E19" s="3">
        <v>112549</v>
      </c>
      <c r="F19" s="3">
        <v>16106021655</v>
      </c>
      <c r="G19" s="3">
        <v>519562723</v>
      </c>
      <c r="J19" s="8" t="s">
        <v>2862</v>
      </c>
      <c r="L19" s="37" t="s">
        <v>25</v>
      </c>
    </row>
    <row r="20" spans="1:12">
      <c r="A20" s="4">
        <v>9019</v>
      </c>
      <c r="C20" s="3" t="s">
        <v>689</v>
      </c>
      <c r="J20" s="8"/>
    </row>
    <row r="21" spans="1:12">
      <c r="A21" s="3">
        <v>9020</v>
      </c>
      <c r="C21" s="3" t="s">
        <v>689</v>
      </c>
      <c r="J21" s="8"/>
    </row>
    <row r="22" spans="1:12">
      <c r="A22" s="3">
        <v>9021</v>
      </c>
      <c r="C22" s="3" t="s">
        <v>689</v>
      </c>
      <c r="J22" s="8"/>
    </row>
    <row r="23" spans="1:12">
      <c r="A23" s="4">
        <v>9022</v>
      </c>
      <c r="C23" s="3" t="s">
        <v>689</v>
      </c>
      <c r="J23" s="8"/>
    </row>
    <row r="24" spans="1:12">
      <c r="A24" s="3">
        <v>9023</v>
      </c>
      <c r="C24" s="3" t="s">
        <v>689</v>
      </c>
      <c r="J24" s="8"/>
    </row>
    <row r="25" spans="1:12">
      <c r="A25" s="3">
        <v>9024</v>
      </c>
      <c r="B25" s="3" t="s">
        <v>772</v>
      </c>
      <c r="C25" s="3" t="s">
        <v>689</v>
      </c>
      <c r="D25" s="3" t="s">
        <v>19</v>
      </c>
      <c r="E25" s="3">
        <v>109841</v>
      </c>
      <c r="F25" s="3">
        <v>14663826120</v>
      </c>
      <c r="G25" s="3">
        <v>500453464</v>
      </c>
      <c r="J25" s="8" t="s">
        <v>2865</v>
      </c>
      <c r="L25" s="37" t="s">
        <v>25</v>
      </c>
    </row>
    <row r="26" spans="1:12">
      <c r="A26" s="4">
        <v>9025</v>
      </c>
      <c r="B26" s="3" t="s">
        <v>2867</v>
      </c>
      <c r="C26" s="3" t="s">
        <v>689</v>
      </c>
      <c r="D26" s="3" t="s">
        <v>19</v>
      </c>
      <c r="E26" s="3">
        <v>111978</v>
      </c>
      <c r="F26" s="3">
        <v>15836622952</v>
      </c>
      <c r="G26" s="3">
        <v>515581914</v>
      </c>
      <c r="J26" s="8" t="s">
        <v>2869</v>
      </c>
      <c r="L26" s="37" t="s">
        <v>25</v>
      </c>
    </row>
    <row r="27" spans="1:12">
      <c r="A27" s="3">
        <v>9026</v>
      </c>
      <c r="C27" s="3" t="s">
        <v>689</v>
      </c>
      <c r="J27" s="8"/>
    </row>
    <row r="28" spans="1:12">
      <c r="A28" s="3">
        <v>9027</v>
      </c>
      <c r="C28" s="3" t="s">
        <v>689</v>
      </c>
      <c r="J28" s="8"/>
    </row>
    <row r="29" spans="1:12">
      <c r="A29" s="4">
        <v>9028</v>
      </c>
      <c r="C29" s="3" t="s">
        <v>689</v>
      </c>
      <c r="J29" s="8"/>
    </row>
    <row r="30" spans="1:12">
      <c r="A30" s="3">
        <v>9029</v>
      </c>
      <c r="C30" s="3" t="s">
        <v>689</v>
      </c>
      <c r="J30" s="8"/>
    </row>
    <row r="31" spans="1:12">
      <c r="A31" s="3">
        <v>9030</v>
      </c>
      <c r="B31" s="3" t="s">
        <v>132</v>
      </c>
      <c r="C31" s="3" t="s">
        <v>689</v>
      </c>
      <c r="D31" s="3" t="s">
        <v>19</v>
      </c>
      <c r="E31" s="3">
        <v>111976</v>
      </c>
      <c r="F31" s="3">
        <v>15836609091</v>
      </c>
      <c r="G31" s="3">
        <v>515581902</v>
      </c>
      <c r="J31" s="8" t="s">
        <v>2873</v>
      </c>
      <c r="L31" s="37" t="s">
        <v>25</v>
      </c>
    </row>
    <row r="32" spans="1:12">
      <c r="A32" s="4">
        <v>9031</v>
      </c>
      <c r="B32" s="3" t="s">
        <v>754</v>
      </c>
      <c r="C32" s="3" t="s">
        <v>689</v>
      </c>
      <c r="D32" s="3" t="s">
        <v>19</v>
      </c>
      <c r="E32" s="3">
        <v>99303</v>
      </c>
      <c r="F32" s="3">
        <v>8319038138</v>
      </c>
      <c r="G32" s="3">
        <v>420272283</v>
      </c>
      <c r="J32" s="8" t="s">
        <v>4179</v>
      </c>
      <c r="L32" s="37" t="s">
        <v>25</v>
      </c>
    </row>
    <row r="33" spans="1:12">
      <c r="A33" s="3">
        <v>9032</v>
      </c>
      <c r="C33" s="3" t="s">
        <v>689</v>
      </c>
      <c r="J33" s="8"/>
    </row>
    <row r="34" spans="1:12">
      <c r="A34" s="3">
        <v>9033</v>
      </c>
      <c r="C34" s="3" t="s">
        <v>689</v>
      </c>
      <c r="J34" s="8"/>
    </row>
    <row r="35" spans="1:12">
      <c r="A35" s="4">
        <v>9034</v>
      </c>
      <c r="C35" s="3" t="s">
        <v>689</v>
      </c>
      <c r="J35" s="8"/>
    </row>
    <row r="36" spans="1:12">
      <c r="A36" s="3">
        <v>9035</v>
      </c>
      <c r="C36" s="3" t="s">
        <v>689</v>
      </c>
      <c r="J36" s="8"/>
    </row>
    <row r="37" spans="1:12">
      <c r="A37" s="3">
        <v>9036</v>
      </c>
      <c r="C37" s="3" t="s">
        <v>689</v>
      </c>
      <c r="J37" s="8"/>
    </row>
    <row r="38" spans="1:12">
      <c r="A38" s="4">
        <v>9037</v>
      </c>
      <c r="B38" s="3" t="s">
        <v>871</v>
      </c>
      <c r="C38" s="3" t="s">
        <v>689</v>
      </c>
      <c r="D38" s="3" t="s">
        <v>19</v>
      </c>
      <c r="E38" s="3">
        <v>111987</v>
      </c>
      <c r="F38" s="3">
        <v>15836631635</v>
      </c>
      <c r="G38" s="3">
        <v>515581916</v>
      </c>
      <c r="J38" s="8" t="s">
        <v>2877</v>
      </c>
      <c r="L38" s="37" t="s">
        <v>25</v>
      </c>
    </row>
    <row r="39" spans="1:12">
      <c r="A39" s="3">
        <v>9038</v>
      </c>
      <c r="B39" s="3" t="s">
        <v>2879</v>
      </c>
      <c r="C39" s="3" t="s">
        <v>689</v>
      </c>
      <c r="D39" s="3" t="s">
        <v>19</v>
      </c>
      <c r="E39" s="3">
        <v>111973</v>
      </c>
      <c r="F39" s="3">
        <v>15836593580</v>
      </c>
      <c r="G39" s="3">
        <v>515581899</v>
      </c>
      <c r="J39" s="8" t="s">
        <v>2882</v>
      </c>
      <c r="L39" s="37" t="s">
        <v>25</v>
      </c>
    </row>
    <row r="40" spans="1:12">
      <c r="A40" s="3">
        <v>9039</v>
      </c>
      <c r="C40" s="3" t="s">
        <v>689</v>
      </c>
      <c r="J40" s="8"/>
    </row>
    <row r="41" spans="1:12">
      <c r="A41" s="4">
        <v>9040</v>
      </c>
      <c r="C41" s="3" t="s">
        <v>689</v>
      </c>
      <c r="J41" s="8"/>
    </row>
    <row r="42" spans="1:12">
      <c r="A42" s="3">
        <v>9041</v>
      </c>
      <c r="C42" s="3" t="s">
        <v>689</v>
      </c>
      <c r="J42" s="8"/>
    </row>
    <row r="43" spans="1:12">
      <c r="A43" s="3">
        <v>9042</v>
      </c>
      <c r="B43" s="3" t="s">
        <v>877</v>
      </c>
      <c r="C43" s="3" t="s">
        <v>689</v>
      </c>
      <c r="D43" s="3" t="s">
        <v>19</v>
      </c>
      <c r="E43" s="3">
        <v>111971</v>
      </c>
      <c r="F43" s="3">
        <v>15836548374</v>
      </c>
      <c r="G43" s="3">
        <v>515581911</v>
      </c>
      <c r="J43" s="8" t="s">
        <v>2884</v>
      </c>
      <c r="L43" s="37" t="s">
        <v>25</v>
      </c>
    </row>
    <row r="44" spans="1:12">
      <c r="A44" s="4">
        <v>9043</v>
      </c>
      <c r="C44" s="3" t="s">
        <v>689</v>
      </c>
      <c r="J44" s="8"/>
    </row>
    <row r="45" spans="1:12">
      <c r="A45" s="3">
        <v>9044</v>
      </c>
      <c r="C45" s="3" t="s">
        <v>689</v>
      </c>
      <c r="J45" s="8"/>
    </row>
    <row r="46" spans="1:12">
      <c r="A46" s="3">
        <v>9045</v>
      </c>
      <c r="C46" s="3" t="s">
        <v>689</v>
      </c>
      <c r="J46" s="8"/>
    </row>
    <row r="47" spans="1:12">
      <c r="A47" s="4">
        <v>9046</v>
      </c>
      <c r="C47" s="3" t="s">
        <v>689</v>
      </c>
      <c r="J47" s="8"/>
    </row>
    <row r="48" spans="1:12">
      <c r="A48" s="3">
        <v>9047</v>
      </c>
      <c r="B48" s="3" t="s">
        <v>907</v>
      </c>
      <c r="C48" s="3" t="s">
        <v>689</v>
      </c>
      <c r="D48" s="3" t="s">
        <v>19</v>
      </c>
      <c r="E48" s="3">
        <v>111985</v>
      </c>
      <c r="F48" s="3">
        <v>15836630978</v>
      </c>
      <c r="G48" s="3">
        <v>515581908</v>
      </c>
      <c r="J48" s="8" t="s">
        <v>911</v>
      </c>
      <c r="L48" s="37" t="s">
        <v>25</v>
      </c>
    </row>
    <row r="49" spans="1:12">
      <c r="A49" s="3">
        <v>9048</v>
      </c>
      <c r="C49" s="3" t="s">
        <v>689</v>
      </c>
      <c r="J49" s="8"/>
    </row>
    <row r="50" spans="1:12">
      <c r="A50" s="4">
        <v>9049</v>
      </c>
      <c r="C50" s="3" t="s">
        <v>689</v>
      </c>
      <c r="J50" s="8"/>
    </row>
    <row r="51" spans="1:12">
      <c r="A51" s="3">
        <v>9050</v>
      </c>
      <c r="C51" s="3" t="s">
        <v>689</v>
      </c>
      <c r="J51" s="8"/>
    </row>
    <row r="52" spans="1:12">
      <c r="A52" s="3">
        <v>9051</v>
      </c>
      <c r="B52" s="3" t="s">
        <v>951</v>
      </c>
      <c r="C52" s="3" t="s">
        <v>689</v>
      </c>
      <c r="D52" s="3" t="s">
        <v>19</v>
      </c>
      <c r="E52" s="3">
        <v>111968</v>
      </c>
      <c r="F52" s="3">
        <v>15836287183</v>
      </c>
      <c r="G52" s="3">
        <v>515581903</v>
      </c>
      <c r="J52" s="8" t="s">
        <v>2887</v>
      </c>
      <c r="L52" s="37" t="s">
        <v>25</v>
      </c>
    </row>
    <row r="53" spans="1:12">
      <c r="A53" s="4">
        <v>9052</v>
      </c>
      <c r="B53" s="3" t="s">
        <v>957</v>
      </c>
      <c r="C53" s="3" t="s">
        <v>689</v>
      </c>
      <c r="D53" s="3" t="s">
        <v>19</v>
      </c>
      <c r="E53" s="3">
        <v>111967</v>
      </c>
      <c r="F53" s="3">
        <v>15836284916</v>
      </c>
      <c r="G53" s="3">
        <v>515581904</v>
      </c>
      <c r="J53" s="8" t="s">
        <v>2889</v>
      </c>
      <c r="L53" s="37" t="s">
        <v>25</v>
      </c>
    </row>
    <row r="54" spans="1:12">
      <c r="A54" s="3">
        <v>9053</v>
      </c>
      <c r="C54" s="3" t="s">
        <v>689</v>
      </c>
      <c r="J54" s="8"/>
    </row>
    <row r="55" spans="1:12">
      <c r="A55" s="3">
        <v>9054</v>
      </c>
      <c r="C55" s="3" t="s">
        <v>689</v>
      </c>
      <c r="J55" s="8"/>
    </row>
    <row r="56" spans="1:12">
      <c r="A56" s="4">
        <v>9055</v>
      </c>
      <c r="C56" s="3" t="s">
        <v>689</v>
      </c>
      <c r="J56" s="8"/>
    </row>
    <row r="57" spans="1:12">
      <c r="A57" s="3">
        <v>9056</v>
      </c>
      <c r="C57" s="3" t="s">
        <v>689</v>
      </c>
      <c r="J57" s="8"/>
    </row>
    <row r="58" spans="1:12">
      <c r="A58" s="3">
        <v>9057</v>
      </c>
      <c r="B58" s="3" t="s">
        <v>2891</v>
      </c>
      <c r="C58" s="3" t="s">
        <v>689</v>
      </c>
      <c r="D58" s="3" t="s">
        <v>19</v>
      </c>
      <c r="E58" s="3">
        <v>111969</v>
      </c>
      <c r="F58" s="3">
        <v>15836548372</v>
      </c>
      <c r="G58" s="3">
        <v>515581907</v>
      </c>
      <c r="J58" s="8" t="s">
        <v>2893</v>
      </c>
      <c r="L58" s="37" t="s">
        <v>25</v>
      </c>
    </row>
    <row r="59" spans="1:12">
      <c r="A59" s="4">
        <v>9058</v>
      </c>
      <c r="C59" s="3" t="s">
        <v>689</v>
      </c>
      <c r="J59" s="8"/>
    </row>
    <row r="60" spans="1:12">
      <c r="A60" s="3">
        <v>9059</v>
      </c>
      <c r="C60" s="3" t="s">
        <v>689</v>
      </c>
      <c r="J60" s="8"/>
    </row>
    <row r="61" spans="1:12">
      <c r="A61" s="3">
        <v>9060</v>
      </c>
      <c r="B61" s="3" t="s">
        <v>1022</v>
      </c>
      <c r="C61" s="3" t="s">
        <v>689</v>
      </c>
      <c r="D61" s="3" t="s">
        <v>19</v>
      </c>
      <c r="E61" s="3">
        <v>111966</v>
      </c>
      <c r="F61" s="3">
        <v>15836283923</v>
      </c>
      <c r="G61" s="3">
        <v>515581906</v>
      </c>
      <c r="J61" s="8" t="s">
        <v>2895</v>
      </c>
      <c r="L61" s="37" t="s">
        <v>25</v>
      </c>
    </row>
    <row r="62" spans="1:12">
      <c r="A62" s="4">
        <v>9061</v>
      </c>
      <c r="C62" s="3" t="s">
        <v>689</v>
      </c>
      <c r="J62" s="8"/>
    </row>
    <row r="63" spans="1:12">
      <c r="A63" s="3">
        <v>9062</v>
      </c>
      <c r="C63" s="3" t="s">
        <v>689</v>
      </c>
      <c r="J63" s="8"/>
    </row>
    <row r="64" spans="1:12">
      <c r="A64" s="3">
        <v>9063</v>
      </c>
      <c r="C64" s="3" t="s">
        <v>689</v>
      </c>
      <c r="J64" s="8"/>
    </row>
    <row r="65" spans="1:12">
      <c r="A65" s="4">
        <v>9064</v>
      </c>
      <c r="B65" s="3" t="s">
        <v>999</v>
      </c>
      <c r="C65" s="3" t="s">
        <v>689</v>
      </c>
      <c r="D65" s="3" t="s">
        <v>19</v>
      </c>
      <c r="E65" s="3">
        <v>111984</v>
      </c>
      <c r="F65" s="3">
        <v>15836630433</v>
      </c>
      <c r="G65" s="3">
        <v>515581909</v>
      </c>
      <c r="J65" s="8" t="s">
        <v>2897</v>
      </c>
      <c r="L65" s="37" t="s">
        <v>25</v>
      </c>
    </row>
    <row r="66" spans="1:12">
      <c r="A66" s="3">
        <v>9065</v>
      </c>
      <c r="C66" s="3" t="s">
        <v>689</v>
      </c>
      <c r="J66" s="8"/>
    </row>
    <row r="67" spans="1:12">
      <c r="A67" s="3">
        <v>9066</v>
      </c>
      <c r="C67" s="3" t="s">
        <v>689</v>
      </c>
      <c r="J67" s="8"/>
    </row>
    <row r="68" spans="1:12">
      <c r="A68" s="4">
        <v>9067</v>
      </c>
      <c r="C68" s="3" t="s">
        <v>689</v>
      </c>
      <c r="J68" s="8"/>
    </row>
    <row r="69" spans="1:12">
      <c r="A69" s="3">
        <v>9068</v>
      </c>
      <c r="B69" s="3" t="s">
        <v>1040</v>
      </c>
      <c r="C69" s="3" t="s">
        <v>689</v>
      </c>
      <c r="D69" s="3" t="s">
        <v>19</v>
      </c>
      <c r="E69" s="3">
        <v>111970</v>
      </c>
      <c r="F69" s="3">
        <v>15836548373</v>
      </c>
      <c r="G69" s="3">
        <v>515581912</v>
      </c>
      <c r="J69" s="8" t="s">
        <v>2899</v>
      </c>
      <c r="L69" s="37" t="s">
        <v>25</v>
      </c>
    </row>
    <row r="70" spans="1:12">
      <c r="A70" s="3">
        <v>9069</v>
      </c>
      <c r="C70" s="3" t="s">
        <v>689</v>
      </c>
      <c r="J70" s="8"/>
    </row>
    <row r="71" spans="1:12">
      <c r="A71" s="4">
        <v>9070</v>
      </c>
      <c r="C71" s="3" t="s">
        <v>689</v>
      </c>
      <c r="J71" s="8"/>
    </row>
    <row r="72" spans="1:12">
      <c r="A72" s="3">
        <v>9071</v>
      </c>
      <c r="C72" s="3" t="s">
        <v>689</v>
      </c>
      <c r="J72" s="8"/>
    </row>
    <row r="73" spans="1:12">
      <c r="A73" s="3">
        <v>9072</v>
      </c>
      <c r="C73" s="3" t="s">
        <v>689</v>
      </c>
      <c r="J73" s="8"/>
    </row>
    <row r="74" spans="1:12">
      <c r="A74" s="4">
        <v>9073</v>
      </c>
      <c r="C74" s="3" t="s">
        <v>689</v>
      </c>
      <c r="J74" s="8"/>
    </row>
    <row r="75" spans="1:12">
      <c r="A75" s="3">
        <v>9074</v>
      </c>
      <c r="C75" s="3" t="s">
        <v>689</v>
      </c>
      <c r="J75" s="8"/>
    </row>
    <row r="76" spans="1:12">
      <c r="A76" s="3">
        <v>9075</v>
      </c>
      <c r="C76" s="3" t="s">
        <v>689</v>
      </c>
      <c r="J76" s="8"/>
    </row>
    <row r="77" spans="1:12">
      <c r="A77" s="4">
        <v>9076</v>
      </c>
      <c r="C77" s="3" t="s">
        <v>689</v>
      </c>
      <c r="J77" s="8"/>
    </row>
    <row r="78" spans="1:12">
      <c r="A78" s="3">
        <v>9077</v>
      </c>
      <c r="C78" s="3" t="s">
        <v>689</v>
      </c>
      <c r="J78" s="8"/>
    </row>
    <row r="79" spans="1:12">
      <c r="A79" s="3">
        <v>9078</v>
      </c>
      <c r="C79" s="3" t="s">
        <v>689</v>
      </c>
      <c r="J79" s="8"/>
    </row>
    <row r="80" spans="1:12">
      <c r="A80" s="4">
        <v>9079</v>
      </c>
      <c r="C80" s="3" t="s">
        <v>689</v>
      </c>
      <c r="J80" s="8"/>
    </row>
    <row r="81" spans="1:12">
      <c r="A81" s="3">
        <v>9080</v>
      </c>
      <c r="C81" s="3" t="s">
        <v>689</v>
      </c>
      <c r="J81" s="8"/>
    </row>
    <row r="82" spans="1:12">
      <c r="A82" s="3">
        <v>9081</v>
      </c>
      <c r="C82" s="3" t="s">
        <v>689</v>
      </c>
      <c r="J82" s="8"/>
    </row>
    <row r="83" spans="1:12">
      <c r="A83" s="4">
        <v>9082</v>
      </c>
      <c r="C83" s="3" t="s">
        <v>689</v>
      </c>
      <c r="J83" s="8"/>
    </row>
    <row r="84" spans="1:12">
      <c r="A84" s="3">
        <v>9083</v>
      </c>
      <c r="B84" s="3" t="s">
        <v>1148</v>
      </c>
      <c r="C84" s="3" t="s">
        <v>689</v>
      </c>
      <c r="D84" s="3" t="s">
        <v>19</v>
      </c>
      <c r="E84" s="3">
        <v>109826</v>
      </c>
      <c r="F84" s="3">
        <v>14663760666</v>
      </c>
      <c r="G84" s="3">
        <v>500453478</v>
      </c>
      <c r="J84" s="8" t="s">
        <v>1152</v>
      </c>
      <c r="L84" s="37" t="s">
        <v>25</v>
      </c>
    </row>
    <row r="85" spans="1:12">
      <c r="A85" s="3">
        <v>9084</v>
      </c>
      <c r="C85" s="3" t="s">
        <v>689</v>
      </c>
      <c r="J85" s="8"/>
    </row>
    <row r="86" spans="1:12">
      <c r="A86" s="4">
        <v>9085</v>
      </c>
      <c r="C86" s="3" t="s">
        <v>689</v>
      </c>
      <c r="J86" s="8"/>
    </row>
    <row r="87" spans="1:12">
      <c r="A87" s="3">
        <v>9086</v>
      </c>
      <c r="C87" s="3" t="s">
        <v>689</v>
      </c>
      <c r="J87" s="8"/>
    </row>
    <row r="88" spans="1:12">
      <c r="A88" s="3">
        <v>9087</v>
      </c>
      <c r="B88" s="3" t="s">
        <v>1154</v>
      </c>
      <c r="C88" s="3" t="s">
        <v>689</v>
      </c>
      <c r="D88" s="3" t="s">
        <v>19</v>
      </c>
      <c r="E88" s="3">
        <v>109827</v>
      </c>
      <c r="F88" s="3">
        <v>14663760667</v>
      </c>
      <c r="G88" s="3">
        <v>500453483</v>
      </c>
      <c r="J88" s="8" t="s">
        <v>1158</v>
      </c>
      <c r="L88" s="37" t="s">
        <v>25</v>
      </c>
    </row>
    <row r="89" spans="1:12">
      <c r="A89" s="4">
        <v>9088</v>
      </c>
      <c r="C89" s="3" t="s">
        <v>689</v>
      </c>
      <c r="J89" s="8"/>
    </row>
    <row r="90" spans="1:12">
      <c r="A90" s="3">
        <v>9089</v>
      </c>
      <c r="C90" s="3" t="s">
        <v>689</v>
      </c>
      <c r="J90" s="8"/>
    </row>
    <row r="91" spans="1:12">
      <c r="A91" s="3">
        <v>9090</v>
      </c>
      <c r="C91" s="3" t="s">
        <v>689</v>
      </c>
      <c r="J91" s="8"/>
    </row>
    <row r="92" spans="1:12">
      <c r="A92" s="4">
        <v>9091</v>
      </c>
      <c r="B92" s="3" t="s">
        <v>1184</v>
      </c>
      <c r="C92" s="3" t="s">
        <v>689</v>
      </c>
      <c r="D92" s="3" t="s">
        <v>19</v>
      </c>
      <c r="E92" s="3">
        <v>109829</v>
      </c>
      <c r="F92" s="3">
        <v>14663760669</v>
      </c>
      <c r="G92" s="3">
        <v>500453479</v>
      </c>
      <c r="J92" s="8" t="s">
        <v>1188</v>
      </c>
      <c r="L92" s="37" t="s">
        <v>25</v>
      </c>
    </row>
    <row r="93" spans="1:12">
      <c r="A93" s="3">
        <v>9092</v>
      </c>
      <c r="C93" s="3" t="s">
        <v>689</v>
      </c>
      <c r="J93" s="8"/>
    </row>
    <row r="94" spans="1:12">
      <c r="A94" s="3">
        <v>9093</v>
      </c>
      <c r="C94" s="3" t="s">
        <v>689</v>
      </c>
      <c r="J94" s="8"/>
    </row>
    <row r="95" spans="1:12">
      <c r="A95" s="4">
        <v>9094</v>
      </c>
      <c r="B95" s="3" t="s">
        <v>1190</v>
      </c>
      <c r="C95" s="3" t="s">
        <v>689</v>
      </c>
      <c r="D95" s="3" t="s">
        <v>19</v>
      </c>
      <c r="E95" s="3">
        <v>109834</v>
      </c>
      <c r="F95" s="3">
        <v>14663802428</v>
      </c>
      <c r="G95" s="3">
        <v>500453488</v>
      </c>
      <c r="J95" s="8" t="s">
        <v>1194</v>
      </c>
      <c r="L95" s="37" t="s">
        <v>25</v>
      </c>
    </row>
    <row r="96" spans="1:12">
      <c r="A96" s="3">
        <v>9095</v>
      </c>
      <c r="B96" s="3" t="s">
        <v>1130</v>
      </c>
      <c r="C96" s="3" t="s">
        <v>689</v>
      </c>
      <c r="D96" s="3" t="s">
        <v>19</v>
      </c>
      <c r="E96" s="3">
        <v>109833</v>
      </c>
      <c r="F96" s="3">
        <v>14663800817</v>
      </c>
      <c r="G96" s="3">
        <v>500453473</v>
      </c>
      <c r="J96" s="8" t="s">
        <v>1134</v>
      </c>
      <c r="L96" s="37" t="s">
        <v>25</v>
      </c>
    </row>
    <row r="97" spans="1:12">
      <c r="A97" s="3">
        <v>9096</v>
      </c>
      <c r="C97" s="3" t="s">
        <v>689</v>
      </c>
      <c r="J97" s="8"/>
    </row>
    <row r="98" spans="1:12">
      <c r="A98" s="4">
        <v>9097</v>
      </c>
      <c r="C98" s="3" t="s">
        <v>689</v>
      </c>
      <c r="J98" s="8"/>
    </row>
    <row r="99" spans="1:12">
      <c r="A99" s="3">
        <v>9098</v>
      </c>
      <c r="C99" s="3" t="s">
        <v>689</v>
      </c>
      <c r="J99" s="8"/>
    </row>
    <row r="100" spans="1:12">
      <c r="A100" s="3">
        <v>9099</v>
      </c>
      <c r="C100" s="3" t="s">
        <v>689</v>
      </c>
      <c r="J100" s="8"/>
    </row>
    <row r="101" spans="1:12" s="6" customFormat="1" ht="15.75" thickBot="1">
      <c r="A101" s="6">
        <v>9100</v>
      </c>
      <c r="C101" s="6" t="s">
        <v>689</v>
      </c>
      <c r="H101" s="34"/>
      <c r="I101" s="34"/>
      <c r="J101" s="9"/>
    </row>
    <row r="102" spans="1:12" s="4" customFormat="1">
      <c r="A102" s="4">
        <v>9301</v>
      </c>
      <c r="C102" s="4" t="s">
        <v>1220</v>
      </c>
      <c r="H102" s="10"/>
      <c r="I102" s="10"/>
      <c r="J102" s="10"/>
    </row>
    <row r="103" spans="1:12">
      <c r="A103" s="3">
        <v>9302</v>
      </c>
      <c r="C103" s="3" t="s">
        <v>1220</v>
      </c>
      <c r="H103" s="8"/>
      <c r="I103" s="8"/>
      <c r="J103" s="8"/>
    </row>
    <row r="104" spans="1:12">
      <c r="A104" s="3">
        <v>9303</v>
      </c>
      <c r="C104" s="3" t="s">
        <v>1220</v>
      </c>
      <c r="H104" s="8"/>
      <c r="I104" s="8"/>
      <c r="J104" s="8"/>
    </row>
    <row r="105" spans="1:12">
      <c r="A105" s="3">
        <v>9304</v>
      </c>
      <c r="B105" s="3" t="s">
        <v>2911</v>
      </c>
      <c r="C105" s="3" t="s">
        <v>1220</v>
      </c>
      <c r="D105" s="3" t="s">
        <v>19</v>
      </c>
      <c r="E105" s="3">
        <v>111729</v>
      </c>
      <c r="F105" s="3">
        <v>15770499555</v>
      </c>
      <c r="G105" s="3">
        <v>514739739</v>
      </c>
      <c r="H105" s="8" t="s">
        <v>2912</v>
      </c>
      <c r="I105" s="8" t="s">
        <v>2912</v>
      </c>
      <c r="J105" s="8"/>
      <c r="L105" s="37" t="s">
        <v>25</v>
      </c>
    </row>
    <row r="106" spans="1:12">
      <c r="A106" s="3">
        <v>9305</v>
      </c>
      <c r="B106" s="3" t="s">
        <v>2916</v>
      </c>
      <c r="C106" s="3" t="s">
        <v>1220</v>
      </c>
      <c r="D106" s="3" t="s">
        <v>19</v>
      </c>
      <c r="E106" s="3">
        <v>110077</v>
      </c>
      <c r="F106" s="3">
        <v>14742877455</v>
      </c>
      <c r="G106" s="3">
        <v>501459312</v>
      </c>
      <c r="H106" s="8" t="s">
        <v>2917</v>
      </c>
      <c r="I106" s="8" t="s">
        <v>2917</v>
      </c>
      <c r="J106" s="8"/>
      <c r="L106" s="37" t="s">
        <v>25</v>
      </c>
    </row>
    <row r="107" spans="1:12">
      <c r="A107" s="4">
        <v>9306</v>
      </c>
      <c r="C107" s="3" t="s">
        <v>1220</v>
      </c>
      <c r="H107" s="8"/>
      <c r="I107" s="8"/>
      <c r="J107" s="8"/>
    </row>
    <row r="108" spans="1:12">
      <c r="A108" s="3">
        <v>9307</v>
      </c>
      <c r="C108" s="3" t="s">
        <v>1220</v>
      </c>
      <c r="H108" s="8"/>
      <c r="I108" s="8"/>
      <c r="J108" s="8"/>
    </row>
    <row r="109" spans="1:12">
      <c r="A109" s="3">
        <v>9308</v>
      </c>
      <c r="B109" s="3" t="s">
        <v>2921</v>
      </c>
      <c r="C109" s="3" t="s">
        <v>1220</v>
      </c>
      <c r="D109" s="3" t="s">
        <v>19</v>
      </c>
      <c r="E109" s="3">
        <v>111816</v>
      </c>
      <c r="F109" s="3">
        <v>15775241685</v>
      </c>
      <c r="G109" s="3">
        <v>514739857</v>
      </c>
      <c r="H109" s="8" t="s">
        <v>2922</v>
      </c>
      <c r="I109" s="8" t="s">
        <v>2922</v>
      </c>
      <c r="J109" s="8"/>
      <c r="L109" s="37" t="s">
        <v>25</v>
      </c>
    </row>
    <row r="110" spans="1:12">
      <c r="A110" s="3">
        <v>9309</v>
      </c>
      <c r="C110" s="3" t="s">
        <v>1220</v>
      </c>
      <c r="H110" s="8"/>
      <c r="I110" s="8"/>
      <c r="J110" s="8"/>
    </row>
    <row r="111" spans="1:12">
      <c r="A111" s="3">
        <v>9310</v>
      </c>
      <c r="C111" s="3" t="s">
        <v>1220</v>
      </c>
      <c r="H111" s="8"/>
      <c r="I111" s="8"/>
      <c r="J111" s="8"/>
    </row>
    <row r="112" spans="1:12">
      <c r="A112" s="4">
        <v>9311</v>
      </c>
      <c r="B112" s="3" t="s">
        <v>1241</v>
      </c>
      <c r="C112" s="3" t="s">
        <v>1220</v>
      </c>
      <c r="D112" s="3" t="s">
        <v>19</v>
      </c>
      <c r="E112" s="3">
        <v>109554</v>
      </c>
      <c r="F112" s="3">
        <v>14295769713</v>
      </c>
      <c r="G112" s="3">
        <v>495621087</v>
      </c>
      <c r="H112" s="8" t="s">
        <v>1242</v>
      </c>
      <c r="I112" s="8" t="s">
        <v>1242</v>
      </c>
      <c r="J112" s="8"/>
      <c r="L112" s="37" t="s">
        <v>25</v>
      </c>
    </row>
    <row r="113" spans="1:12">
      <c r="A113" s="3">
        <v>9312</v>
      </c>
      <c r="B113" s="3" t="s">
        <v>2928</v>
      </c>
      <c r="C113" s="3" t="s">
        <v>1220</v>
      </c>
      <c r="D113" s="3" t="s">
        <v>19</v>
      </c>
      <c r="E113" s="3">
        <v>109669</v>
      </c>
      <c r="F113" s="3">
        <v>14507309941</v>
      </c>
      <c r="G113" s="3">
        <v>491131479</v>
      </c>
      <c r="H113" s="8" t="s">
        <v>2929</v>
      </c>
      <c r="I113" s="8" t="s">
        <v>2929</v>
      </c>
      <c r="J113" s="8"/>
      <c r="L113" s="37" t="s">
        <v>25</v>
      </c>
    </row>
    <row r="114" spans="1:12">
      <c r="A114" s="3">
        <v>9313</v>
      </c>
      <c r="C114" s="3" t="s">
        <v>1220</v>
      </c>
      <c r="H114" s="8"/>
      <c r="I114" s="8"/>
      <c r="J114" s="8"/>
    </row>
    <row r="115" spans="1:12">
      <c r="A115" s="3">
        <v>9314</v>
      </c>
      <c r="C115" s="3" t="s">
        <v>1220</v>
      </c>
      <c r="H115" s="8"/>
      <c r="I115" s="8"/>
      <c r="J115" s="8"/>
    </row>
    <row r="116" spans="1:12">
      <c r="A116" s="3">
        <v>9315</v>
      </c>
      <c r="B116" s="3" t="s">
        <v>2933</v>
      </c>
      <c r="C116" s="3" t="s">
        <v>1220</v>
      </c>
      <c r="D116" s="3" t="s">
        <v>19</v>
      </c>
      <c r="E116" s="3">
        <v>111890</v>
      </c>
      <c r="F116" s="3">
        <v>15775598833</v>
      </c>
      <c r="G116" s="3">
        <v>514739859</v>
      </c>
      <c r="H116" s="8" t="s">
        <v>2934</v>
      </c>
      <c r="I116" s="8" t="s">
        <v>2934</v>
      </c>
      <c r="J116" s="8"/>
      <c r="L116" s="37" t="s">
        <v>25</v>
      </c>
    </row>
    <row r="117" spans="1:12">
      <c r="A117" s="4">
        <v>9316</v>
      </c>
      <c r="B117" s="3" t="s">
        <v>2938</v>
      </c>
      <c r="C117" s="3" t="s">
        <v>1220</v>
      </c>
      <c r="D117" s="3" t="s">
        <v>19</v>
      </c>
      <c r="E117" s="3">
        <v>111713</v>
      </c>
      <c r="F117" s="3">
        <v>15770487609</v>
      </c>
      <c r="G117" s="3">
        <v>514739744</v>
      </c>
      <c r="H117" s="8" t="s">
        <v>2939</v>
      </c>
      <c r="I117" s="8" t="s">
        <v>2939</v>
      </c>
      <c r="J117" s="8"/>
      <c r="L117" s="37" t="s">
        <v>25</v>
      </c>
    </row>
    <row r="118" spans="1:12">
      <c r="A118" s="3">
        <v>9317</v>
      </c>
      <c r="B118" s="3" t="s">
        <v>2943</v>
      </c>
      <c r="C118" s="3" t="s">
        <v>1220</v>
      </c>
      <c r="D118" s="3" t="s">
        <v>19</v>
      </c>
      <c r="E118" s="3">
        <v>99083</v>
      </c>
      <c r="F118" s="3">
        <v>8237847058</v>
      </c>
      <c r="G118" s="3">
        <v>419346821</v>
      </c>
      <c r="H118" s="8" t="s">
        <v>2944</v>
      </c>
      <c r="I118" s="8" t="s">
        <v>2944</v>
      </c>
      <c r="J118" s="8"/>
      <c r="L118" s="37" t="s">
        <v>25</v>
      </c>
    </row>
    <row r="119" spans="1:12">
      <c r="A119" s="3">
        <v>9318</v>
      </c>
      <c r="C119" s="3" t="s">
        <v>1220</v>
      </c>
      <c r="H119" s="8"/>
      <c r="I119" s="8"/>
      <c r="J119" s="8"/>
    </row>
    <row r="120" spans="1:12">
      <c r="A120" s="3">
        <v>9319</v>
      </c>
      <c r="C120" s="3" t="s">
        <v>1220</v>
      </c>
      <c r="H120" s="8"/>
      <c r="I120" s="8"/>
      <c r="J120" s="8"/>
    </row>
    <row r="121" spans="1:12">
      <c r="A121" s="3">
        <v>9320</v>
      </c>
      <c r="C121" s="3" t="s">
        <v>1220</v>
      </c>
      <c r="H121" s="8"/>
      <c r="I121" s="8"/>
      <c r="J121" s="8"/>
    </row>
    <row r="122" spans="1:12">
      <c r="A122" s="4">
        <v>9321</v>
      </c>
      <c r="C122" s="3" t="s">
        <v>1220</v>
      </c>
      <c r="H122" s="8"/>
      <c r="I122" s="8"/>
      <c r="J122" s="8"/>
    </row>
    <row r="123" spans="1:12">
      <c r="A123" s="3">
        <v>9322</v>
      </c>
      <c r="B123" s="3" t="s">
        <v>2948</v>
      </c>
      <c r="C123" s="3" t="s">
        <v>1220</v>
      </c>
      <c r="D123" s="3" t="s">
        <v>19</v>
      </c>
      <c r="E123" s="3">
        <v>111905</v>
      </c>
      <c r="F123" s="3">
        <v>15777441738</v>
      </c>
      <c r="G123" s="3">
        <v>514739866</v>
      </c>
      <c r="H123" s="8" t="s">
        <v>2949</v>
      </c>
      <c r="I123" s="8" t="s">
        <v>2949</v>
      </c>
      <c r="J123" s="8"/>
      <c r="L123" s="37" t="s">
        <v>25</v>
      </c>
    </row>
    <row r="124" spans="1:12">
      <c r="A124" s="3">
        <v>9323</v>
      </c>
      <c r="B124" s="3" t="s">
        <v>2953</v>
      </c>
      <c r="C124" s="3" t="s">
        <v>1220</v>
      </c>
      <c r="D124" s="3" t="s">
        <v>19</v>
      </c>
      <c r="E124" s="3">
        <v>110080</v>
      </c>
      <c r="F124" s="3">
        <v>14742922093</v>
      </c>
      <c r="G124" s="3">
        <v>501459328</v>
      </c>
      <c r="H124" s="8" t="s">
        <v>2954</v>
      </c>
      <c r="I124" s="8" t="s">
        <v>2954</v>
      </c>
      <c r="J124" s="8"/>
      <c r="L124" s="37" t="s">
        <v>25</v>
      </c>
    </row>
    <row r="125" spans="1:12">
      <c r="A125" s="3">
        <v>9324</v>
      </c>
      <c r="C125" s="3" t="s">
        <v>1220</v>
      </c>
      <c r="H125" s="8"/>
      <c r="I125" s="8"/>
      <c r="J125" s="8"/>
    </row>
    <row r="126" spans="1:12">
      <c r="A126" s="3">
        <v>9325</v>
      </c>
      <c r="C126" s="3" t="s">
        <v>1220</v>
      </c>
      <c r="H126" s="8"/>
      <c r="I126" s="8"/>
      <c r="J126" s="8"/>
    </row>
    <row r="127" spans="1:12">
      <c r="A127" s="4">
        <v>9326</v>
      </c>
      <c r="B127" s="3" t="s">
        <v>2958</v>
      </c>
      <c r="C127" s="3" t="s">
        <v>1220</v>
      </c>
      <c r="D127" s="3" t="s">
        <v>19</v>
      </c>
      <c r="E127" s="3">
        <v>111775</v>
      </c>
      <c r="F127" s="3">
        <v>15770544848</v>
      </c>
      <c r="G127" s="3">
        <v>514739830</v>
      </c>
      <c r="H127" s="8" t="s">
        <v>2959</v>
      </c>
      <c r="I127" s="8" t="s">
        <v>2959</v>
      </c>
      <c r="J127" s="8"/>
      <c r="L127" s="37" t="s">
        <v>25</v>
      </c>
    </row>
    <row r="128" spans="1:12">
      <c r="A128" s="3">
        <v>9327</v>
      </c>
      <c r="C128" s="3" t="s">
        <v>1220</v>
      </c>
      <c r="H128" s="8"/>
      <c r="I128" s="8"/>
      <c r="J128" s="8"/>
    </row>
    <row r="129" spans="1:12">
      <c r="A129" s="3">
        <v>9328</v>
      </c>
      <c r="C129" s="3" t="s">
        <v>1220</v>
      </c>
      <c r="H129" s="8"/>
      <c r="I129" s="8"/>
      <c r="J129" s="8"/>
    </row>
    <row r="130" spans="1:12">
      <c r="A130" s="3">
        <v>9329</v>
      </c>
      <c r="B130" s="3" t="s">
        <v>2963</v>
      </c>
      <c r="C130" s="3" t="s">
        <v>1220</v>
      </c>
      <c r="D130" s="3" t="s">
        <v>19</v>
      </c>
      <c r="E130" s="3">
        <v>110081</v>
      </c>
      <c r="F130" s="3">
        <v>14742924741</v>
      </c>
      <c r="G130" s="3">
        <v>501459297</v>
      </c>
      <c r="H130" s="8" t="s">
        <v>2964</v>
      </c>
      <c r="I130" s="8" t="s">
        <v>2964</v>
      </c>
      <c r="J130" s="8"/>
      <c r="L130" s="37" t="s">
        <v>25</v>
      </c>
    </row>
    <row r="131" spans="1:12">
      <c r="A131" s="3">
        <v>9330</v>
      </c>
      <c r="B131" s="3" t="s">
        <v>1309</v>
      </c>
      <c r="C131" s="3" t="s">
        <v>1220</v>
      </c>
      <c r="D131" s="3" t="s">
        <v>19</v>
      </c>
      <c r="E131" s="3">
        <v>108215</v>
      </c>
      <c r="F131" s="3">
        <v>13409975363</v>
      </c>
      <c r="G131" s="3">
        <v>483305710</v>
      </c>
      <c r="H131" s="8" t="s">
        <v>1310</v>
      </c>
      <c r="I131" s="8" t="s">
        <v>1310</v>
      </c>
      <c r="J131" s="8"/>
      <c r="L131" s="37" t="s">
        <v>25</v>
      </c>
    </row>
    <row r="132" spans="1:12">
      <c r="A132" s="4">
        <v>9331</v>
      </c>
      <c r="C132" s="3" t="s">
        <v>1220</v>
      </c>
      <c r="H132" s="8"/>
      <c r="I132" s="8"/>
      <c r="J132" s="8"/>
    </row>
    <row r="133" spans="1:12">
      <c r="A133" s="3">
        <v>9332</v>
      </c>
      <c r="B133" s="3" t="s">
        <v>1297</v>
      </c>
      <c r="C133" s="3" t="s">
        <v>1220</v>
      </c>
      <c r="D133" s="3" t="s">
        <v>19</v>
      </c>
      <c r="E133" s="3">
        <v>110078</v>
      </c>
      <c r="F133" s="3">
        <v>14742877527</v>
      </c>
      <c r="G133" s="3">
        <v>501459307</v>
      </c>
      <c r="H133" s="8" t="s">
        <v>2970</v>
      </c>
      <c r="I133" s="8" t="s">
        <v>2970</v>
      </c>
      <c r="J133" s="8"/>
      <c r="L133" s="37" t="s">
        <v>25</v>
      </c>
    </row>
    <row r="134" spans="1:12">
      <c r="A134" s="3">
        <v>9333</v>
      </c>
      <c r="C134" s="3" t="s">
        <v>1220</v>
      </c>
      <c r="H134" s="8"/>
      <c r="I134" s="8"/>
      <c r="J134" s="8"/>
    </row>
    <row r="135" spans="1:12">
      <c r="A135" s="3">
        <v>9334</v>
      </c>
      <c r="C135" s="3" t="s">
        <v>1220</v>
      </c>
      <c r="H135" s="8"/>
      <c r="I135" s="8"/>
      <c r="J135" s="8"/>
    </row>
    <row r="136" spans="1:12">
      <c r="A136" s="3">
        <v>9335</v>
      </c>
      <c r="B136" s="3" t="s">
        <v>2974</v>
      </c>
      <c r="C136" s="3" t="s">
        <v>1220</v>
      </c>
      <c r="D136" s="3" t="s">
        <v>19</v>
      </c>
      <c r="E136" s="3">
        <v>111698</v>
      </c>
      <c r="F136" s="3">
        <v>15770479225</v>
      </c>
      <c r="G136" s="3">
        <v>514739837</v>
      </c>
      <c r="H136" s="8" t="s">
        <v>2975</v>
      </c>
      <c r="I136" s="8" t="s">
        <v>2975</v>
      </c>
      <c r="J136" s="8"/>
      <c r="L136" s="37" t="s">
        <v>25</v>
      </c>
    </row>
    <row r="137" spans="1:12">
      <c r="A137" s="4">
        <v>9336</v>
      </c>
      <c r="C137" s="3" t="s">
        <v>1220</v>
      </c>
      <c r="H137" s="8"/>
      <c r="I137" s="8"/>
      <c r="J137" s="8"/>
    </row>
    <row r="138" spans="1:12">
      <c r="A138" s="3">
        <v>9337</v>
      </c>
      <c r="C138" s="3" t="s">
        <v>1220</v>
      </c>
      <c r="H138" s="8"/>
      <c r="I138" s="8"/>
      <c r="J138" s="8"/>
    </row>
    <row r="139" spans="1:12">
      <c r="A139" s="3">
        <v>9338</v>
      </c>
      <c r="C139" s="3" t="s">
        <v>1220</v>
      </c>
      <c r="H139" s="8"/>
      <c r="I139" s="8"/>
      <c r="J139" s="8"/>
    </row>
    <row r="140" spans="1:12">
      <c r="A140" s="3">
        <v>9339</v>
      </c>
      <c r="B140" s="3" t="s">
        <v>2981</v>
      </c>
      <c r="C140" s="3" t="s">
        <v>1220</v>
      </c>
      <c r="D140" s="3" t="s">
        <v>19</v>
      </c>
      <c r="E140" s="3">
        <v>111696</v>
      </c>
      <c r="F140" s="3">
        <v>15770479175</v>
      </c>
      <c r="G140" s="3">
        <v>514739829</v>
      </c>
      <c r="H140" s="8" t="s">
        <v>2982</v>
      </c>
      <c r="I140" s="8" t="s">
        <v>2982</v>
      </c>
      <c r="J140" s="8"/>
      <c r="L140" s="37" t="s">
        <v>25</v>
      </c>
    </row>
    <row r="141" spans="1:12">
      <c r="A141" s="3">
        <v>9340</v>
      </c>
      <c r="C141" s="3" t="s">
        <v>1220</v>
      </c>
      <c r="H141" s="8"/>
      <c r="I141" s="8"/>
      <c r="J141" s="8"/>
    </row>
    <row r="142" spans="1:12">
      <c r="A142" s="4">
        <v>9341</v>
      </c>
      <c r="C142" s="3" t="s">
        <v>1220</v>
      </c>
      <c r="H142" s="8"/>
      <c r="I142" s="8"/>
      <c r="J142" s="8"/>
    </row>
    <row r="143" spans="1:12">
      <c r="A143" s="3">
        <v>9342</v>
      </c>
      <c r="B143" s="3" t="s">
        <v>2986</v>
      </c>
      <c r="C143" s="3" t="s">
        <v>1220</v>
      </c>
      <c r="D143" s="3" t="s">
        <v>19</v>
      </c>
      <c r="E143" s="3">
        <v>111837</v>
      </c>
      <c r="F143" s="3">
        <v>15775334926</v>
      </c>
      <c r="G143" s="3">
        <v>514739840</v>
      </c>
      <c r="H143" s="8" t="s">
        <v>2987</v>
      </c>
      <c r="I143" s="8" t="s">
        <v>2987</v>
      </c>
      <c r="J143" s="8"/>
      <c r="L143" s="37" t="s">
        <v>25</v>
      </c>
    </row>
    <row r="144" spans="1:12">
      <c r="A144" s="3">
        <v>9343</v>
      </c>
      <c r="B144" s="3" t="s">
        <v>1281</v>
      </c>
      <c r="C144" s="3" t="s">
        <v>1220</v>
      </c>
      <c r="D144" s="3" t="s">
        <v>19</v>
      </c>
      <c r="E144" s="3">
        <v>109586</v>
      </c>
      <c r="F144" s="3">
        <v>14299667365</v>
      </c>
      <c r="G144" s="3">
        <v>495510545</v>
      </c>
      <c r="H144" s="8" t="s">
        <v>1282</v>
      </c>
      <c r="I144" s="8" t="s">
        <v>1282</v>
      </c>
      <c r="J144" s="8"/>
      <c r="L144" s="37" t="s">
        <v>25</v>
      </c>
    </row>
    <row r="145" spans="1:12">
      <c r="A145" s="3">
        <v>9344</v>
      </c>
      <c r="C145" s="3" t="s">
        <v>1220</v>
      </c>
      <c r="H145" s="8"/>
      <c r="I145" s="8"/>
      <c r="J145" s="8"/>
    </row>
    <row r="146" spans="1:12">
      <c r="A146" s="3">
        <v>9345</v>
      </c>
      <c r="B146" s="3" t="s">
        <v>1313</v>
      </c>
      <c r="C146" s="3" t="s">
        <v>1220</v>
      </c>
      <c r="D146" s="3" t="s">
        <v>19</v>
      </c>
      <c r="E146" s="3">
        <v>111845</v>
      </c>
      <c r="F146" s="3">
        <v>15775357188</v>
      </c>
      <c r="G146" s="3">
        <v>514739818</v>
      </c>
      <c r="H146" s="8" t="s">
        <v>2993</v>
      </c>
      <c r="I146" s="8" t="s">
        <v>2993</v>
      </c>
      <c r="J146" s="8"/>
      <c r="L146" s="37" t="s">
        <v>25</v>
      </c>
    </row>
    <row r="147" spans="1:12">
      <c r="A147" s="4">
        <v>9346</v>
      </c>
      <c r="B147" s="3" t="s">
        <v>2997</v>
      </c>
      <c r="C147" s="3" t="s">
        <v>1220</v>
      </c>
      <c r="D147" s="3" t="s">
        <v>19</v>
      </c>
      <c r="E147" s="3">
        <v>110086</v>
      </c>
      <c r="F147" s="3">
        <v>14742925265</v>
      </c>
      <c r="G147" s="3">
        <v>501459318</v>
      </c>
      <c r="H147" s="8" t="s">
        <v>2998</v>
      </c>
      <c r="I147" s="8" t="s">
        <v>2998</v>
      </c>
      <c r="J147" s="8"/>
      <c r="L147" s="37" t="s">
        <v>25</v>
      </c>
    </row>
    <row r="148" spans="1:12">
      <c r="A148" s="3">
        <v>9347</v>
      </c>
      <c r="C148" s="3" t="s">
        <v>1220</v>
      </c>
      <c r="H148" s="8"/>
      <c r="I148" s="8"/>
      <c r="J148" s="8"/>
    </row>
    <row r="149" spans="1:12">
      <c r="A149" s="3">
        <v>9348</v>
      </c>
      <c r="C149" s="3" t="s">
        <v>1220</v>
      </c>
      <c r="H149" s="8"/>
      <c r="I149" s="8"/>
      <c r="J149" s="8"/>
    </row>
    <row r="150" spans="1:12">
      <c r="A150" s="3">
        <v>9349</v>
      </c>
      <c r="B150" s="3" t="s">
        <v>1321</v>
      </c>
      <c r="C150" s="3" t="s">
        <v>1220</v>
      </c>
      <c r="D150" s="3" t="s">
        <v>19</v>
      </c>
      <c r="E150" s="3">
        <v>109588</v>
      </c>
      <c r="F150" s="3">
        <v>14299667367</v>
      </c>
      <c r="G150" s="3">
        <v>495621064</v>
      </c>
      <c r="H150" s="8" t="s">
        <v>3002</v>
      </c>
      <c r="I150" s="8" t="s">
        <v>3002</v>
      </c>
      <c r="J150" s="8"/>
      <c r="L150" s="37" t="s">
        <v>25</v>
      </c>
    </row>
    <row r="151" spans="1:12">
      <c r="A151" s="3">
        <v>9350</v>
      </c>
      <c r="C151" s="3" t="s">
        <v>1220</v>
      </c>
      <c r="H151" s="8"/>
      <c r="I151" s="8"/>
      <c r="J151" s="8"/>
    </row>
    <row r="152" spans="1:12">
      <c r="A152" s="4">
        <v>9351</v>
      </c>
      <c r="C152" s="3" t="s">
        <v>1220</v>
      </c>
      <c r="H152" s="8"/>
      <c r="I152" s="8"/>
      <c r="J152" s="8"/>
    </row>
    <row r="153" spans="1:12">
      <c r="A153" s="3">
        <v>9352</v>
      </c>
      <c r="C153" s="3" t="s">
        <v>1220</v>
      </c>
      <c r="H153" s="8"/>
      <c r="I153" s="8"/>
      <c r="J153" s="8"/>
    </row>
    <row r="154" spans="1:12">
      <c r="A154" s="3">
        <v>9353</v>
      </c>
      <c r="B154" s="3" t="s">
        <v>3006</v>
      </c>
      <c r="C154" s="3" t="s">
        <v>1220</v>
      </c>
      <c r="D154" s="3" t="s">
        <v>19</v>
      </c>
      <c r="E154" s="3">
        <v>111833</v>
      </c>
      <c r="F154" s="3">
        <v>15775328384</v>
      </c>
      <c r="G154" s="3">
        <v>514739880</v>
      </c>
      <c r="H154" s="8" t="s">
        <v>3007</v>
      </c>
      <c r="I154" s="8" t="s">
        <v>3007</v>
      </c>
      <c r="J154" s="8"/>
      <c r="L154" s="37" t="s">
        <v>25</v>
      </c>
    </row>
    <row r="155" spans="1:12">
      <c r="A155" s="3">
        <v>9354</v>
      </c>
      <c r="C155" s="3" t="s">
        <v>1220</v>
      </c>
      <c r="H155" s="8"/>
      <c r="I155" s="8"/>
      <c r="J155" s="8"/>
    </row>
    <row r="156" spans="1:12">
      <c r="A156" s="3">
        <v>9355</v>
      </c>
      <c r="C156" s="3" t="s">
        <v>1220</v>
      </c>
      <c r="H156" s="8"/>
      <c r="I156" s="8"/>
      <c r="J156" s="8"/>
    </row>
    <row r="157" spans="1:12">
      <c r="A157" s="4">
        <v>9356</v>
      </c>
      <c r="B157" s="3" t="s">
        <v>3011</v>
      </c>
      <c r="C157" s="3" t="s">
        <v>1220</v>
      </c>
      <c r="D157" s="3" t="s">
        <v>19</v>
      </c>
      <c r="E157" s="3">
        <v>109496</v>
      </c>
      <c r="F157" s="3">
        <v>14295552330</v>
      </c>
      <c r="G157" s="3">
        <v>495621163</v>
      </c>
      <c r="H157" s="8" t="s">
        <v>1338</v>
      </c>
      <c r="I157" s="8" t="s">
        <v>1338</v>
      </c>
      <c r="J157" s="8"/>
      <c r="L157" s="37" t="s">
        <v>25</v>
      </c>
    </row>
    <row r="158" spans="1:12">
      <c r="A158" s="3">
        <v>9357</v>
      </c>
      <c r="B158" s="3" t="s">
        <v>3014</v>
      </c>
      <c r="C158" s="3" t="s">
        <v>1220</v>
      </c>
      <c r="D158" s="3" t="s">
        <v>19</v>
      </c>
      <c r="E158" s="3">
        <v>111863</v>
      </c>
      <c r="F158" s="3">
        <v>15775421057</v>
      </c>
      <c r="G158" s="3">
        <v>514739808</v>
      </c>
      <c r="H158" s="8" t="s">
        <v>3015</v>
      </c>
      <c r="I158" s="8" t="s">
        <v>3015</v>
      </c>
      <c r="J158" s="8"/>
      <c r="L158" s="37" t="s">
        <v>25</v>
      </c>
    </row>
    <row r="159" spans="1:12">
      <c r="A159" s="3">
        <v>9358</v>
      </c>
      <c r="C159" s="3" t="s">
        <v>1220</v>
      </c>
      <c r="H159" s="8"/>
      <c r="I159" s="8"/>
      <c r="J159" s="8"/>
    </row>
    <row r="160" spans="1:12">
      <c r="A160" s="3">
        <v>9359</v>
      </c>
      <c r="C160" s="3" t="s">
        <v>1220</v>
      </c>
      <c r="H160" s="8"/>
      <c r="I160" s="8"/>
      <c r="J160" s="8"/>
    </row>
    <row r="161" spans="1:12">
      <c r="A161" s="3">
        <v>9360</v>
      </c>
      <c r="B161" s="3" t="s">
        <v>3019</v>
      </c>
      <c r="C161" s="3" t="s">
        <v>1220</v>
      </c>
      <c r="D161" s="3" t="s">
        <v>19</v>
      </c>
      <c r="E161" s="3">
        <v>108214</v>
      </c>
      <c r="F161" s="3">
        <v>13409967520</v>
      </c>
      <c r="G161" s="3">
        <v>483305702</v>
      </c>
      <c r="H161" s="8" t="s">
        <v>3020</v>
      </c>
      <c r="I161" s="8" t="s">
        <v>3020</v>
      </c>
      <c r="J161" s="8"/>
      <c r="L161" s="37" t="s">
        <v>25</v>
      </c>
    </row>
    <row r="162" spans="1:12">
      <c r="A162" s="4">
        <v>9361</v>
      </c>
      <c r="B162" s="3" t="s">
        <v>3024</v>
      </c>
      <c r="C162" s="3" t="s">
        <v>1220</v>
      </c>
      <c r="D162" s="3" t="s">
        <v>19</v>
      </c>
      <c r="E162" s="3">
        <v>108208</v>
      </c>
      <c r="F162" s="3">
        <v>13409964905</v>
      </c>
      <c r="G162" s="3">
        <v>483305714</v>
      </c>
      <c r="H162" s="8" t="s">
        <v>3025</v>
      </c>
      <c r="I162" s="8" t="s">
        <v>3025</v>
      </c>
      <c r="J162" s="8"/>
      <c r="L162" s="37" t="s">
        <v>25</v>
      </c>
    </row>
    <row r="163" spans="1:12">
      <c r="A163" s="3">
        <v>9362</v>
      </c>
      <c r="B163" s="3" t="s">
        <v>3029</v>
      </c>
      <c r="C163" s="3" t="s">
        <v>1220</v>
      </c>
      <c r="D163" s="3" t="s">
        <v>19</v>
      </c>
      <c r="E163" s="3">
        <v>111819</v>
      </c>
      <c r="F163" s="3">
        <v>15775251692</v>
      </c>
      <c r="G163" s="3">
        <v>514739761</v>
      </c>
      <c r="H163" s="8" t="s">
        <v>3030</v>
      </c>
      <c r="I163" s="8" t="s">
        <v>3030</v>
      </c>
      <c r="J163" s="8"/>
      <c r="L163" s="37" t="s">
        <v>25</v>
      </c>
    </row>
    <row r="164" spans="1:12">
      <c r="A164" s="3">
        <v>9363</v>
      </c>
      <c r="B164" s="3" t="s">
        <v>3034</v>
      </c>
      <c r="C164" s="3" t="s">
        <v>1220</v>
      </c>
      <c r="D164" s="3" t="s">
        <v>19</v>
      </c>
      <c r="E164" s="3">
        <v>111813</v>
      </c>
      <c r="F164" s="3">
        <v>15775218698</v>
      </c>
      <c r="G164" s="3">
        <v>514739751</v>
      </c>
      <c r="H164" s="8" t="s">
        <v>3035</v>
      </c>
      <c r="I164" s="8" t="s">
        <v>3035</v>
      </c>
      <c r="J164" s="8"/>
      <c r="L164" s="37" t="s">
        <v>25</v>
      </c>
    </row>
    <row r="165" spans="1:12">
      <c r="A165" s="3">
        <v>9364</v>
      </c>
      <c r="B165" s="3" t="s">
        <v>3039</v>
      </c>
      <c r="C165" s="3" t="s">
        <v>1220</v>
      </c>
      <c r="D165" s="3" t="s">
        <v>19</v>
      </c>
      <c r="E165" s="3">
        <v>110040</v>
      </c>
      <c r="F165" s="3">
        <v>14738341461</v>
      </c>
      <c r="G165" s="3">
        <v>501459316</v>
      </c>
      <c r="H165" s="8" t="s">
        <v>3040</v>
      </c>
      <c r="I165" s="8" t="s">
        <v>3040</v>
      </c>
      <c r="J165" s="8"/>
      <c r="L165" s="37" t="s">
        <v>25</v>
      </c>
    </row>
    <row r="166" spans="1:12">
      <c r="A166" s="3">
        <v>9365</v>
      </c>
      <c r="B166" s="3" t="s">
        <v>1333</v>
      </c>
      <c r="C166" s="3" t="s">
        <v>1220</v>
      </c>
      <c r="D166" s="3" t="s">
        <v>19</v>
      </c>
      <c r="E166" s="3">
        <v>109473</v>
      </c>
      <c r="F166" s="3">
        <v>14295525110</v>
      </c>
      <c r="G166" s="3">
        <v>495621108</v>
      </c>
      <c r="H166" s="8" t="s">
        <v>1334</v>
      </c>
      <c r="I166" s="8" t="s">
        <v>1334</v>
      </c>
      <c r="J166" s="8"/>
      <c r="L166" s="37" t="s">
        <v>25</v>
      </c>
    </row>
    <row r="167" spans="1:12">
      <c r="A167" s="4">
        <v>9366</v>
      </c>
      <c r="C167" s="3" t="s">
        <v>1220</v>
      </c>
      <c r="H167" s="8"/>
      <c r="I167" s="8"/>
      <c r="J167" s="8"/>
    </row>
    <row r="168" spans="1:12">
      <c r="A168" s="3">
        <v>9367</v>
      </c>
      <c r="C168" s="3" t="s">
        <v>1220</v>
      </c>
      <c r="H168" s="8"/>
      <c r="I168" s="8"/>
      <c r="J168" s="8"/>
    </row>
    <row r="169" spans="1:12">
      <c r="A169" s="3">
        <v>9368</v>
      </c>
      <c r="B169" s="3" t="s">
        <v>3046</v>
      </c>
      <c r="C169" s="3" t="s">
        <v>1220</v>
      </c>
      <c r="D169" s="3" t="s">
        <v>19</v>
      </c>
      <c r="E169" s="3">
        <v>111876</v>
      </c>
      <c r="F169" s="3">
        <v>15775498441</v>
      </c>
      <c r="G169" s="3">
        <v>514739885</v>
      </c>
      <c r="H169" s="8" t="s">
        <v>3047</v>
      </c>
      <c r="I169" s="8" t="s">
        <v>3047</v>
      </c>
      <c r="J169" s="8"/>
      <c r="L169" s="37" t="s">
        <v>25</v>
      </c>
    </row>
    <row r="170" spans="1:12">
      <c r="A170" s="3">
        <v>9369</v>
      </c>
      <c r="C170" s="3" t="s">
        <v>1220</v>
      </c>
      <c r="H170" s="8"/>
      <c r="I170" s="8"/>
      <c r="J170" s="8"/>
    </row>
    <row r="171" spans="1:12">
      <c r="A171" s="3">
        <v>9370</v>
      </c>
      <c r="C171" s="3" t="s">
        <v>1220</v>
      </c>
      <c r="H171" s="8"/>
      <c r="I171" s="8"/>
      <c r="J171" s="8"/>
    </row>
    <row r="172" spans="1:12">
      <c r="A172" s="4">
        <v>9371</v>
      </c>
      <c r="B172" s="3" t="s">
        <v>3051</v>
      </c>
      <c r="C172" s="3" t="s">
        <v>1220</v>
      </c>
      <c r="D172" s="3" t="s">
        <v>19</v>
      </c>
      <c r="E172" s="3">
        <v>111832</v>
      </c>
      <c r="F172" s="3">
        <v>15775317969</v>
      </c>
      <c r="G172" s="3">
        <v>514739847</v>
      </c>
      <c r="H172" s="8" t="s">
        <v>3052</v>
      </c>
      <c r="I172" s="8" t="s">
        <v>3052</v>
      </c>
      <c r="J172" s="8"/>
      <c r="L172" s="37" t="s">
        <v>25</v>
      </c>
    </row>
    <row r="173" spans="1:12">
      <c r="A173" s="3">
        <v>9372</v>
      </c>
      <c r="B173" s="3" t="s">
        <v>3056</v>
      </c>
      <c r="C173" s="3" t="s">
        <v>1220</v>
      </c>
      <c r="D173" s="3" t="s">
        <v>19</v>
      </c>
      <c r="E173" s="3">
        <v>111783</v>
      </c>
      <c r="F173" s="3">
        <v>15770689517</v>
      </c>
      <c r="G173" s="3">
        <v>514739922</v>
      </c>
      <c r="H173" s="8" t="s">
        <v>3057</v>
      </c>
      <c r="I173" s="8" t="s">
        <v>3057</v>
      </c>
      <c r="J173" s="8"/>
      <c r="L173" s="37" t="s">
        <v>25</v>
      </c>
    </row>
    <row r="174" spans="1:12">
      <c r="A174" s="3">
        <v>9373</v>
      </c>
      <c r="B174" s="3" t="s">
        <v>3061</v>
      </c>
      <c r="C174" s="3" t="s">
        <v>1220</v>
      </c>
      <c r="D174" s="3" t="s">
        <v>19</v>
      </c>
      <c r="E174" s="3">
        <v>110059</v>
      </c>
      <c r="F174" s="3">
        <v>14742707060</v>
      </c>
      <c r="G174" s="3">
        <v>501459308</v>
      </c>
      <c r="H174" s="8" t="s">
        <v>3062</v>
      </c>
      <c r="I174" s="8" t="s">
        <v>3062</v>
      </c>
      <c r="J174" s="8"/>
      <c r="L174" s="37" t="s">
        <v>25</v>
      </c>
    </row>
    <row r="175" spans="1:12">
      <c r="A175" s="3">
        <v>9374</v>
      </c>
      <c r="B175" s="3" t="s">
        <v>3066</v>
      </c>
      <c r="C175" s="3" t="s">
        <v>1220</v>
      </c>
      <c r="D175" s="3" t="s">
        <v>19</v>
      </c>
      <c r="E175" s="3">
        <v>111811</v>
      </c>
      <c r="F175" s="3">
        <v>15771909877</v>
      </c>
      <c r="G175" s="3">
        <v>514739919</v>
      </c>
      <c r="H175" s="8" t="s">
        <v>3067</v>
      </c>
      <c r="I175" s="8" t="s">
        <v>3067</v>
      </c>
      <c r="J175" s="8"/>
      <c r="L175" s="37" t="s">
        <v>25</v>
      </c>
    </row>
    <row r="176" spans="1:12">
      <c r="A176" s="3">
        <v>9375</v>
      </c>
      <c r="C176" s="3" t="s">
        <v>1220</v>
      </c>
      <c r="H176" s="8"/>
      <c r="I176" s="8"/>
      <c r="J176" s="8"/>
    </row>
    <row r="177" spans="1:12">
      <c r="A177" s="4">
        <v>9376</v>
      </c>
      <c r="C177" s="3" t="s">
        <v>1220</v>
      </c>
      <c r="H177" s="8"/>
      <c r="I177" s="8"/>
      <c r="J177" s="8"/>
    </row>
    <row r="178" spans="1:12">
      <c r="A178" s="3">
        <v>9377</v>
      </c>
      <c r="B178" s="3" t="s">
        <v>1357</v>
      </c>
      <c r="C178" s="3" t="s">
        <v>1220</v>
      </c>
      <c r="D178" s="3" t="s">
        <v>19</v>
      </c>
      <c r="E178" s="3">
        <v>109509</v>
      </c>
      <c r="F178" s="3">
        <v>14295558595</v>
      </c>
      <c r="G178" s="3">
        <v>495621131</v>
      </c>
      <c r="H178" s="8" t="s">
        <v>1358</v>
      </c>
      <c r="I178" s="8" t="s">
        <v>1358</v>
      </c>
      <c r="J178" s="8"/>
      <c r="L178" s="37" t="s">
        <v>25</v>
      </c>
    </row>
    <row r="179" spans="1:12">
      <c r="A179" s="3">
        <v>9378</v>
      </c>
      <c r="B179" s="3" t="s">
        <v>1361</v>
      </c>
      <c r="C179" s="3" t="s">
        <v>1220</v>
      </c>
      <c r="D179" s="3" t="s">
        <v>19</v>
      </c>
      <c r="E179" s="3">
        <v>109581</v>
      </c>
      <c r="F179" s="3">
        <v>14299454173</v>
      </c>
      <c r="G179" s="3">
        <v>495621209</v>
      </c>
      <c r="H179" s="8" t="s">
        <v>1362</v>
      </c>
      <c r="I179" s="8" t="s">
        <v>1362</v>
      </c>
      <c r="J179" s="8"/>
      <c r="L179" s="37" t="s">
        <v>25</v>
      </c>
    </row>
    <row r="180" spans="1:12">
      <c r="A180" s="3">
        <v>9379</v>
      </c>
      <c r="B180" s="3" t="s">
        <v>1365</v>
      </c>
      <c r="C180" s="3" t="s">
        <v>1220</v>
      </c>
      <c r="D180" s="3" t="s">
        <v>19</v>
      </c>
      <c r="E180" s="3">
        <v>109582</v>
      </c>
      <c r="F180" s="3">
        <v>14299454174</v>
      </c>
      <c r="G180" s="3">
        <v>495621095</v>
      </c>
      <c r="H180" s="8" t="s">
        <v>1366</v>
      </c>
      <c r="I180" s="8" t="s">
        <v>1366</v>
      </c>
      <c r="J180" s="8"/>
      <c r="L180" s="37" t="s">
        <v>25</v>
      </c>
    </row>
    <row r="181" spans="1:12">
      <c r="A181" s="3">
        <v>9380</v>
      </c>
      <c r="C181" s="3" t="s">
        <v>1220</v>
      </c>
      <c r="H181" s="8"/>
      <c r="I181" s="8"/>
      <c r="J181" s="8"/>
    </row>
    <row r="182" spans="1:12">
      <c r="A182" s="4">
        <v>9381</v>
      </c>
      <c r="C182" s="3" t="s">
        <v>1220</v>
      </c>
      <c r="H182" s="8"/>
      <c r="I182" s="8"/>
      <c r="J182" s="8"/>
    </row>
    <row r="183" spans="1:12">
      <c r="A183" s="3">
        <v>9382</v>
      </c>
      <c r="C183" s="3" t="s">
        <v>1220</v>
      </c>
      <c r="H183" s="8"/>
      <c r="I183" s="8"/>
      <c r="J183" s="8"/>
    </row>
    <row r="184" spans="1:12">
      <c r="A184" s="3">
        <v>9383</v>
      </c>
      <c r="B184" s="3" t="s">
        <v>3082</v>
      </c>
      <c r="C184" s="3" t="s">
        <v>1220</v>
      </c>
      <c r="D184" s="3" t="s">
        <v>19</v>
      </c>
      <c r="E184" s="3">
        <v>111759</v>
      </c>
      <c r="F184" s="3">
        <v>15770538263</v>
      </c>
      <c r="G184" s="3">
        <v>514739742</v>
      </c>
      <c r="H184" s="8" t="s">
        <v>3083</v>
      </c>
      <c r="I184" s="8" t="s">
        <v>3083</v>
      </c>
      <c r="J184" s="8"/>
      <c r="L184" s="37" t="s">
        <v>25</v>
      </c>
    </row>
    <row r="185" spans="1:12">
      <c r="A185" s="3">
        <v>9384</v>
      </c>
      <c r="C185" s="3" t="s">
        <v>1220</v>
      </c>
      <c r="H185" s="8"/>
      <c r="I185" s="8"/>
      <c r="J185" s="8"/>
    </row>
    <row r="186" spans="1:12">
      <c r="A186" s="3">
        <v>9385</v>
      </c>
      <c r="C186" s="3" t="s">
        <v>1220</v>
      </c>
      <c r="H186" s="8"/>
      <c r="I186" s="8"/>
      <c r="J186" s="8"/>
    </row>
    <row r="187" spans="1:12">
      <c r="A187" s="4">
        <v>9386</v>
      </c>
      <c r="B187" s="3" t="s">
        <v>178</v>
      </c>
      <c r="C187" s="3" t="s">
        <v>1220</v>
      </c>
      <c r="D187" s="3" t="s">
        <v>19</v>
      </c>
      <c r="E187" s="3">
        <v>111801</v>
      </c>
      <c r="F187" s="3">
        <v>15771694467</v>
      </c>
      <c r="G187" s="3">
        <v>514739800</v>
      </c>
      <c r="H187" s="8" t="s">
        <v>3087</v>
      </c>
      <c r="I187" s="8" t="s">
        <v>3087</v>
      </c>
      <c r="J187" s="8"/>
      <c r="L187" s="37" t="s">
        <v>25</v>
      </c>
    </row>
    <row r="188" spans="1:12">
      <c r="A188" s="3">
        <v>9387</v>
      </c>
      <c r="C188" s="3" t="s">
        <v>1220</v>
      </c>
      <c r="H188" s="8"/>
      <c r="I188" s="8"/>
      <c r="J188" s="8"/>
    </row>
    <row r="189" spans="1:12">
      <c r="A189" s="3">
        <v>9388</v>
      </c>
      <c r="C189" s="3" t="s">
        <v>1220</v>
      </c>
      <c r="H189" s="8"/>
      <c r="I189" s="8"/>
      <c r="J189" s="8"/>
    </row>
    <row r="190" spans="1:12">
      <c r="A190" s="3">
        <v>9389</v>
      </c>
      <c r="B190" s="3" t="s">
        <v>3090</v>
      </c>
      <c r="C190" s="3" t="s">
        <v>1220</v>
      </c>
      <c r="D190" s="3" t="s">
        <v>19</v>
      </c>
      <c r="E190" s="3">
        <v>110085</v>
      </c>
      <c r="F190" s="3">
        <v>14742925264</v>
      </c>
      <c r="G190" s="3">
        <v>501459299</v>
      </c>
      <c r="H190" s="8" t="s">
        <v>3091</v>
      </c>
      <c r="I190" s="8" t="s">
        <v>3091</v>
      </c>
      <c r="J190" s="8"/>
      <c r="L190" s="37" t="s">
        <v>25</v>
      </c>
    </row>
    <row r="191" spans="1:12">
      <c r="A191" s="3">
        <v>9390</v>
      </c>
      <c r="C191" s="3" t="s">
        <v>1220</v>
      </c>
      <c r="H191" s="8"/>
      <c r="I191" s="8"/>
      <c r="J191" s="8"/>
    </row>
    <row r="192" spans="1:12">
      <c r="A192" s="4">
        <v>9391</v>
      </c>
      <c r="C192" s="3" t="s">
        <v>1220</v>
      </c>
      <c r="H192" s="8"/>
      <c r="I192" s="8"/>
      <c r="J192" s="8"/>
    </row>
    <row r="193" spans="1:12">
      <c r="A193" s="3">
        <v>9392</v>
      </c>
      <c r="C193" s="3" t="s">
        <v>1220</v>
      </c>
      <c r="H193" s="8"/>
      <c r="I193" s="8"/>
      <c r="J193" s="8"/>
    </row>
    <row r="194" spans="1:12">
      <c r="A194" s="3">
        <v>9393</v>
      </c>
      <c r="C194" s="3" t="s">
        <v>1220</v>
      </c>
      <c r="H194" s="8"/>
      <c r="I194" s="8"/>
      <c r="J194" s="8"/>
    </row>
    <row r="195" spans="1:12">
      <c r="A195" s="3">
        <v>9394</v>
      </c>
      <c r="B195" s="3" t="s">
        <v>127</v>
      </c>
      <c r="C195" s="3" t="s">
        <v>1220</v>
      </c>
      <c r="D195" s="3" t="s">
        <v>19</v>
      </c>
      <c r="E195" s="3">
        <v>109679</v>
      </c>
      <c r="F195" s="3">
        <v>14507325719</v>
      </c>
      <c r="G195" s="3">
        <v>498373743</v>
      </c>
      <c r="H195" s="8" t="s">
        <v>3095</v>
      </c>
      <c r="I195" s="8" t="s">
        <v>3095</v>
      </c>
      <c r="J195" s="8"/>
      <c r="L195" s="37" t="s">
        <v>25</v>
      </c>
    </row>
    <row r="196" spans="1:12">
      <c r="A196" s="3">
        <v>9395</v>
      </c>
      <c r="C196" s="3" t="s">
        <v>1220</v>
      </c>
      <c r="H196" s="8"/>
      <c r="I196" s="8"/>
      <c r="J196" s="8"/>
    </row>
    <row r="197" spans="1:12">
      <c r="A197" s="4">
        <v>9396</v>
      </c>
      <c r="C197" s="3" t="s">
        <v>1220</v>
      </c>
      <c r="H197" s="8"/>
      <c r="I197" s="8"/>
      <c r="J197" s="8"/>
    </row>
    <row r="198" spans="1:12">
      <c r="A198" s="3">
        <v>9397</v>
      </c>
      <c r="B198" s="3" t="s">
        <v>1404</v>
      </c>
      <c r="C198" s="3" t="s">
        <v>1220</v>
      </c>
      <c r="D198" s="3" t="s">
        <v>19</v>
      </c>
      <c r="E198" s="3">
        <v>109522</v>
      </c>
      <c r="F198" s="3">
        <v>14295603740</v>
      </c>
      <c r="G198" s="3">
        <v>495621152</v>
      </c>
      <c r="H198" s="8" t="s">
        <v>1405</v>
      </c>
      <c r="I198" s="8" t="s">
        <v>1405</v>
      </c>
      <c r="J198" s="8"/>
      <c r="L198" s="37" t="s">
        <v>25</v>
      </c>
    </row>
    <row r="199" spans="1:12">
      <c r="A199" s="3">
        <v>9398</v>
      </c>
      <c r="B199" s="3" t="s">
        <v>3101</v>
      </c>
      <c r="C199" s="3" t="s">
        <v>1220</v>
      </c>
      <c r="D199" s="3" t="s">
        <v>19</v>
      </c>
      <c r="E199" s="3">
        <v>111841</v>
      </c>
      <c r="F199" s="3">
        <v>15775357184</v>
      </c>
      <c r="G199" s="3">
        <v>514739904</v>
      </c>
      <c r="H199" s="8" t="s">
        <v>3102</v>
      </c>
      <c r="I199" s="8" t="s">
        <v>3102</v>
      </c>
      <c r="J199" s="8"/>
      <c r="L199" s="37" t="s">
        <v>25</v>
      </c>
    </row>
    <row r="200" spans="1:12">
      <c r="A200" s="3">
        <v>9399</v>
      </c>
      <c r="B200" s="3" t="s">
        <v>1408</v>
      </c>
      <c r="C200" s="3" t="s">
        <v>1220</v>
      </c>
      <c r="D200" s="3" t="s">
        <v>19</v>
      </c>
      <c r="E200" s="3">
        <v>109480</v>
      </c>
      <c r="F200" s="3">
        <v>14295535825</v>
      </c>
      <c r="G200" s="3">
        <v>495621171</v>
      </c>
      <c r="H200" s="8" t="s">
        <v>1409</v>
      </c>
      <c r="I200" s="8" t="s">
        <v>1409</v>
      </c>
      <c r="J200" s="8"/>
      <c r="L200" s="37" t="s">
        <v>25</v>
      </c>
    </row>
    <row r="201" spans="1:12">
      <c r="A201" s="3">
        <v>9400</v>
      </c>
      <c r="B201" s="3" t="s">
        <v>1412</v>
      </c>
      <c r="C201" s="3" t="s">
        <v>1220</v>
      </c>
      <c r="D201" s="3" t="s">
        <v>19</v>
      </c>
      <c r="E201" s="3">
        <v>111734</v>
      </c>
      <c r="F201" s="3">
        <v>15770500091</v>
      </c>
      <c r="G201" s="3">
        <v>514739758</v>
      </c>
      <c r="H201" s="8" t="s">
        <v>3108</v>
      </c>
      <c r="I201" s="8" t="s">
        <v>3108</v>
      </c>
      <c r="J201" s="8"/>
      <c r="L201" s="37" t="s">
        <v>25</v>
      </c>
    </row>
    <row r="202" spans="1:12">
      <c r="A202" s="4">
        <v>9401</v>
      </c>
      <c r="C202" s="3" t="s">
        <v>1220</v>
      </c>
      <c r="H202" s="8"/>
      <c r="I202" s="8"/>
      <c r="J202" s="8"/>
    </row>
    <row r="203" spans="1:12">
      <c r="A203" s="3">
        <v>9402</v>
      </c>
      <c r="B203" s="3" t="s">
        <v>3112</v>
      </c>
      <c r="C203" s="3" t="s">
        <v>1220</v>
      </c>
      <c r="D203" s="3" t="s">
        <v>19</v>
      </c>
      <c r="E203" s="3">
        <v>111866</v>
      </c>
      <c r="F203" s="3">
        <v>15775465149</v>
      </c>
      <c r="G203" s="3">
        <v>514739771</v>
      </c>
      <c r="H203" s="8" t="s">
        <v>3113</v>
      </c>
      <c r="I203" s="8" t="s">
        <v>3113</v>
      </c>
      <c r="J203" s="8"/>
      <c r="L203" s="37" t="s">
        <v>25</v>
      </c>
    </row>
    <row r="204" spans="1:12">
      <c r="A204" s="3">
        <v>9403</v>
      </c>
      <c r="C204" s="3" t="s">
        <v>1220</v>
      </c>
      <c r="H204" s="8"/>
      <c r="I204" s="8"/>
      <c r="J204" s="8"/>
    </row>
    <row r="205" spans="1:12">
      <c r="A205" s="3">
        <v>9404</v>
      </c>
      <c r="C205" s="3" t="s">
        <v>1220</v>
      </c>
      <c r="H205" s="8"/>
      <c r="I205" s="8"/>
      <c r="J205" s="8"/>
    </row>
    <row r="206" spans="1:12">
      <c r="A206" s="3">
        <v>9405</v>
      </c>
      <c r="B206" s="3" t="s">
        <v>3117</v>
      </c>
      <c r="C206" s="3" t="s">
        <v>1220</v>
      </c>
      <c r="D206" s="3" t="s">
        <v>19</v>
      </c>
      <c r="E206" s="3">
        <v>110073</v>
      </c>
      <c r="F206" s="3">
        <v>14742749552</v>
      </c>
      <c r="G206" s="3">
        <v>501459311</v>
      </c>
      <c r="H206" s="8" t="s">
        <v>3118</v>
      </c>
      <c r="I206" s="8" t="s">
        <v>3118</v>
      </c>
      <c r="J206" s="8"/>
      <c r="L206" s="37" t="s">
        <v>25</v>
      </c>
    </row>
    <row r="207" spans="1:12">
      <c r="A207" s="4">
        <v>9406</v>
      </c>
      <c r="B207" s="3" t="s">
        <v>3122</v>
      </c>
      <c r="C207" s="3" t="s">
        <v>1220</v>
      </c>
      <c r="D207" s="3" t="s">
        <v>19</v>
      </c>
      <c r="E207" s="3">
        <v>111724</v>
      </c>
      <c r="F207" s="3">
        <v>15770496214</v>
      </c>
      <c r="G207" s="3">
        <v>514739902</v>
      </c>
      <c r="H207" s="8" t="s">
        <v>3123</v>
      </c>
      <c r="I207" s="8" t="s">
        <v>3123</v>
      </c>
      <c r="J207" s="8"/>
      <c r="L207" s="37" t="s">
        <v>25</v>
      </c>
    </row>
    <row r="208" spans="1:12">
      <c r="A208" s="3">
        <v>9407</v>
      </c>
      <c r="B208" s="3" t="s">
        <v>3127</v>
      </c>
      <c r="C208" s="3" t="s">
        <v>1220</v>
      </c>
      <c r="D208" s="3" t="s">
        <v>19</v>
      </c>
      <c r="E208" s="3">
        <v>110067</v>
      </c>
      <c r="F208" s="3">
        <v>14742734826</v>
      </c>
      <c r="G208" s="3">
        <v>501459320</v>
      </c>
      <c r="H208" s="8" t="s">
        <v>3128</v>
      </c>
      <c r="I208" s="8" t="s">
        <v>3128</v>
      </c>
      <c r="J208" s="8"/>
      <c r="L208" s="37" t="s">
        <v>25</v>
      </c>
    </row>
    <row r="209" spans="1:12">
      <c r="A209" s="3">
        <v>9408</v>
      </c>
      <c r="C209" s="3" t="s">
        <v>1220</v>
      </c>
      <c r="H209" s="8"/>
      <c r="I209" s="8"/>
      <c r="J209" s="8"/>
    </row>
    <row r="210" spans="1:12">
      <c r="A210" s="3">
        <v>9409</v>
      </c>
      <c r="C210" s="3" t="s">
        <v>1220</v>
      </c>
      <c r="H210" s="8"/>
      <c r="I210" s="8"/>
      <c r="J210" s="8"/>
    </row>
    <row r="211" spans="1:12">
      <c r="A211" s="3">
        <v>9410</v>
      </c>
      <c r="B211" s="3" t="s">
        <v>3132</v>
      </c>
      <c r="C211" s="3" t="s">
        <v>1220</v>
      </c>
      <c r="D211" s="3" t="s">
        <v>19</v>
      </c>
      <c r="E211" s="3">
        <v>111878</v>
      </c>
      <c r="F211" s="3">
        <v>15775513408</v>
      </c>
      <c r="G211" s="3">
        <v>514739814</v>
      </c>
      <c r="H211" s="8" t="s">
        <v>3133</v>
      </c>
      <c r="I211" s="8" t="s">
        <v>3133</v>
      </c>
      <c r="J211" s="8"/>
      <c r="L211" s="37" t="s">
        <v>25</v>
      </c>
    </row>
    <row r="212" spans="1:12">
      <c r="A212" s="4">
        <v>9411</v>
      </c>
      <c r="B212" s="3" t="s">
        <v>1424</v>
      </c>
      <c r="C212" s="3" t="s">
        <v>1220</v>
      </c>
      <c r="D212" s="3" t="s">
        <v>19</v>
      </c>
      <c r="E212" s="3">
        <v>110092</v>
      </c>
      <c r="F212" s="3">
        <v>14742926839</v>
      </c>
      <c r="G212" s="3">
        <v>501459337</v>
      </c>
      <c r="H212" s="8" t="s">
        <v>3137</v>
      </c>
      <c r="I212" s="8" t="s">
        <v>3137</v>
      </c>
      <c r="J212" s="8"/>
      <c r="L212" s="37" t="s">
        <v>25</v>
      </c>
    </row>
    <row r="213" spans="1:12">
      <c r="A213" s="3">
        <v>9412</v>
      </c>
      <c r="B213" s="3" t="s">
        <v>3141</v>
      </c>
      <c r="C213" s="3" t="s">
        <v>1220</v>
      </c>
      <c r="D213" s="3" t="s">
        <v>19</v>
      </c>
      <c r="E213" s="3">
        <v>110087</v>
      </c>
      <c r="F213" s="3">
        <v>14742925573</v>
      </c>
      <c r="G213" s="3">
        <v>501459324</v>
      </c>
      <c r="H213" s="8" t="s">
        <v>3142</v>
      </c>
      <c r="I213" s="8" t="s">
        <v>3142</v>
      </c>
      <c r="J213" s="8"/>
      <c r="L213" s="37" t="s">
        <v>25</v>
      </c>
    </row>
    <row r="214" spans="1:12">
      <c r="A214" s="3">
        <v>9413</v>
      </c>
      <c r="C214" s="3" t="s">
        <v>1220</v>
      </c>
      <c r="H214" s="8"/>
      <c r="I214" s="8"/>
      <c r="J214" s="8"/>
    </row>
    <row r="215" spans="1:12">
      <c r="A215" s="3">
        <v>9414</v>
      </c>
      <c r="C215" s="3" t="s">
        <v>1220</v>
      </c>
      <c r="H215" s="8"/>
      <c r="I215" s="8"/>
      <c r="J215" s="8"/>
    </row>
    <row r="216" spans="1:12">
      <c r="A216" s="3">
        <v>9415</v>
      </c>
      <c r="C216" s="3" t="s">
        <v>1220</v>
      </c>
      <c r="H216" s="8"/>
      <c r="I216" s="8"/>
      <c r="J216" s="8"/>
    </row>
    <row r="217" spans="1:12">
      <c r="A217" s="4">
        <v>9416</v>
      </c>
      <c r="B217" s="3" t="s">
        <v>1524</v>
      </c>
      <c r="C217" s="3" t="s">
        <v>1220</v>
      </c>
      <c r="D217" s="3" t="s">
        <v>19</v>
      </c>
      <c r="E217" s="3">
        <v>111753</v>
      </c>
      <c r="F217" s="3">
        <v>15770533780</v>
      </c>
      <c r="G217" s="3">
        <v>514739816</v>
      </c>
      <c r="H217" s="8" t="s">
        <v>3146</v>
      </c>
      <c r="I217" s="8" t="s">
        <v>3146</v>
      </c>
      <c r="J217" s="8"/>
      <c r="L217" s="37" t="s">
        <v>25</v>
      </c>
    </row>
    <row r="218" spans="1:12">
      <c r="A218" s="3">
        <v>9417</v>
      </c>
      <c r="C218" s="3" t="s">
        <v>1220</v>
      </c>
      <c r="H218" s="8"/>
      <c r="I218" s="8"/>
      <c r="J218" s="8"/>
    </row>
    <row r="219" spans="1:12">
      <c r="A219" s="3">
        <v>9418</v>
      </c>
      <c r="C219" s="3" t="s">
        <v>1220</v>
      </c>
      <c r="H219" s="8"/>
      <c r="I219" s="8"/>
      <c r="J219" s="8"/>
    </row>
    <row r="220" spans="1:12">
      <c r="A220" s="3">
        <v>9419</v>
      </c>
      <c r="B220" s="3" t="s">
        <v>1512</v>
      </c>
      <c r="C220" s="3" t="s">
        <v>1220</v>
      </c>
      <c r="D220" s="3" t="s">
        <v>19</v>
      </c>
      <c r="E220" s="3">
        <v>109514</v>
      </c>
      <c r="F220" s="3">
        <v>14295566308</v>
      </c>
      <c r="G220" s="3">
        <v>495621084</v>
      </c>
      <c r="H220" s="8" t="s">
        <v>1513</v>
      </c>
      <c r="I220" s="8" t="s">
        <v>1513</v>
      </c>
      <c r="J220" s="8"/>
      <c r="L220" s="37" t="s">
        <v>25</v>
      </c>
    </row>
    <row r="221" spans="1:12">
      <c r="A221" s="3">
        <v>9420</v>
      </c>
      <c r="B221" s="3" t="s">
        <v>1508</v>
      </c>
      <c r="C221" s="3" t="s">
        <v>1220</v>
      </c>
      <c r="D221" s="3" t="s">
        <v>19</v>
      </c>
      <c r="E221" s="3">
        <v>109460</v>
      </c>
      <c r="F221" s="3">
        <v>14295502213</v>
      </c>
      <c r="G221" s="3">
        <v>495621157</v>
      </c>
      <c r="H221" s="8" t="s">
        <v>1509</v>
      </c>
      <c r="I221" s="8" t="s">
        <v>1509</v>
      </c>
      <c r="J221" s="8"/>
      <c r="L221" s="37" t="s">
        <v>25</v>
      </c>
    </row>
    <row r="222" spans="1:12">
      <c r="A222" s="4">
        <v>9421</v>
      </c>
      <c r="C222" s="3" t="s">
        <v>1220</v>
      </c>
      <c r="H222" s="8"/>
      <c r="I222" s="8"/>
      <c r="J222" s="8"/>
    </row>
    <row r="223" spans="1:12">
      <c r="A223" s="3">
        <v>9422</v>
      </c>
      <c r="C223" s="3" t="s">
        <v>1220</v>
      </c>
      <c r="H223" s="8"/>
      <c r="I223" s="8"/>
      <c r="J223" s="8"/>
    </row>
    <row r="224" spans="1:12">
      <c r="A224" s="4">
        <v>9423</v>
      </c>
      <c r="B224" s="3" t="s">
        <v>1528</v>
      </c>
      <c r="C224" s="3" t="s">
        <v>1220</v>
      </c>
      <c r="D224" s="3" t="s">
        <v>19</v>
      </c>
      <c r="E224" s="3">
        <v>109445</v>
      </c>
      <c r="F224" s="3">
        <v>14295410180</v>
      </c>
      <c r="G224" s="3">
        <v>495621135</v>
      </c>
      <c r="H224" s="8" t="s">
        <v>1529</v>
      </c>
      <c r="I224" s="8" t="s">
        <v>1529</v>
      </c>
      <c r="J224" s="8"/>
      <c r="L224" s="37" t="s">
        <v>25</v>
      </c>
    </row>
    <row r="225" spans="1:12">
      <c r="A225" s="3">
        <v>9424</v>
      </c>
      <c r="B225" s="3" t="s">
        <v>1293</v>
      </c>
      <c r="C225" s="3" t="s">
        <v>1220</v>
      </c>
      <c r="D225" s="3" t="s">
        <v>19</v>
      </c>
      <c r="E225" s="3">
        <v>109557</v>
      </c>
      <c r="F225" s="3">
        <v>14295773996</v>
      </c>
      <c r="G225" s="3">
        <v>495621071</v>
      </c>
      <c r="H225" s="8" t="s">
        <v>1294</v>
      </c>
      <c r="I225" s="8" t="s">
        <v>1294</v>
      </c>
      <c r="J225" s="8"/>
      <c r="L225" s="37" t="s">
        <v>25</v>
      </c>
    </row>
    <row r="226" spans="1:12">
      <c r="A226" s="3">
        <v>9425</v>
      </c>
      <c r="B226" s="3" t="s">
        <v>3158</v>
      </c>
      <c r="C226" s="3" t="s">
        <v>1220</v>
      </c>
      <c r="D226" s="3" t="s">
        <v>19</v>
      </c>
      <c r="E226" s="3">
        <v>95945</v>
      </c>
      <c r="F226" s="3">
        <v>8011826044</v>
      </c>
      <c r="G226" s="3">
        <v>495621150</v>
      </c>
      <c r="H226" s="8" t="s">
        <v>1533</v>
      </c>
      <c r="I226" s="8" t="s">
        <v>1533</v>
      </c>
      <c r="J226" s="8"/>
      <c r="L226" s="37" t="s">
        <v>25</v>
      </c>
    </row>
    <row r="227" spans="1:12">
      <c r="A227" s="3">
        <v>9426</v>
      </c>
      <c r="B227" s="3" t="s">
        <v>3161</v>
      </c>
      <c r="C227" s="3" t="s">
        <v>1220</v>
      </c>
      <c r="D227" s="3" t="s">
        <v>19</v>
      </c>
      <c r="E227" s="3">
        <v>111880</v>
      </c>
      <c r="F227" s="3">
        <v>15775513410</v>
      </c>
      <c r="G227" s="3">
        <v>514739921</v>
      </c>
      <c r="H227" s="8" t="s">
        <v>3162</v>
      </c>
      <c r="I227" s="8" t="s">
        <v>3162</v>
      </c>
      <c r="J227" s="8"/>
      <c r="L227" s="37" t="s">
        <v>25</v>
      </c>
    </row>
    <row r="228" spans="1:12">
      <c r="A228" s="3">
        <v>9427</v>
      </c>
      <c r="C228" s="3" t="s">
        <v>1220</v>
      </c>
      <c r="H228" s="8"/>
      <c r="I228" s="8"/>
      <c r="J228" s="8"/>
    </row>
    <row r="229" spans="1:12">
      <c r="A229" s="4">
        <v>9428</v>
      </c>
      <c r="C229" s="3" t="s">
        <v>1220</v>
      </c>
      <c r="H229" s="8"/>
      <c r="I229" s="8"/>
      <c r="J229" s="8"/>
    </row>
    <row r="230" spans="1:12">
      <c r="A230" s="3">
        <v>9429</v>
      </c>
      <c r="B230" s="3" t="s">
        <v>3166</v>
      </c>
      <c r="C230" s="3" t="s">
        <v>1220</v>
      </c>
      <c r="D230" s="3" t="s">
        <v>19</v>
      </c>
      <c r="E230" s="3">
        <v>111719</v>
      </c>
      <c r="F230" s="3">
        <v>15770496209</v>
      </c>
      <c r="G230" s="3">
        <v>514739844</v>
      </c>
      <c r="H230" s="8" t="s">
        <v>3167</v>
      </c>
      <c r="I230" s="8" t="s">
        <v>3167</v>
      </c>
      <c r="J230" s="8"/>
      <c r="L230" s="37" t="s">
        <v>25</v>
      </c>
    </row>
    <row r="231" spans="1:12">
      <c r="A231" s="3">
        <v>9430</v>
      </c>
      <c r="C231" s="3" t="s">
        <v>1220</v>
      </c>
      <c r="H231" s="8"/>
      <c r="I231" s="8"/>
      <c r="J231" s="8"/>
    </row>
    <row r="232" spans="1:12">
      <c r="A232" s="3">
        <v>9431</v>
      </c>
      <c r="C232" s="3" t="s">
        <v>1220</v>
      </c>
      <c r="H232" s="8"/>
      <c r="I232" s="8"/>
      <c r="J232" s="8"/>
    </row>
    <row r="233" spans="1:12">
      <c r="A233" s="3">
        <v>9432</v>
      </c>
      <c r="B233" s="3" t="s">
        <v>1548</v>
      </c>
      <c r="C233" s="3" t="s">
        <v>1220</v>
      </c>
      <c r="D233" s="3" t="s">
        <v>19</v>
      </c>
      <c r="E233" s="3">
        <v>109543</v>
      </c>
      <c r="F233" s="3">
        <v>14295673282</v>
      </c>
      <c r="G233" s="3">
        <v>495621229</v>
      </c>
      <c r="H233" s="8" t="s">
        <v>1549</v>
      </c>
      <c r="I233" s="8" t="s">
        <v>1549</v>
      </c>
      <c r="J233" s="8"/>
      <c r="L233" s="37" t="s">
        <v>25</v>
      </c>
    </row>
    <row r="234" spans="1:12">
      <c r="A234" s="4">
        <v>9433</v>
      </c>
      <c r="C234" s="3" t="s">
        <v>1220</v>
      </c>
      <c r="H234" s="8"/>
      <c r="I234" s="8"/>
      <c r="J234" s="8"/>
    </row>
    <row r="235" spans="1:12">
      <c r="A235" s="3">
        <v>9434</v>
      </c>
      <c r="C235" s="3" t="s">
        <v>1220</v>
      </c>
      <c r="H235" s="8"/>
      <c r="I235" s="8"/>
      <c r="J235" s="8"/>
    </row>
    <row r="236" spans="1:12">
      <c r="A236" s="3">
        <v>9435</v>
      </c>
      <c r="B236" s="3" t="s">
        <v>1544</v>
      </c>
      <c r="C236" s="3" t="s">
        <v>1220</v>
      </c>
      <c r="D236" s="3" t="s">
        <v>19</v>
      </c>
      <c r="E236" s="3">
        <v>109485</v>
      </c>
      <c r="F236" s="3">
        <v>14295541152</v>
      </c>
      <c r="G236" s="3">
        <v>495621188</v>
      </c>
      <c r="H236" s="8" t="s">
        <v>1545</v>
      </c>
      <c r="I236" s="8" t="s">
        <v>1545</v>
      </c>
      <c r="J236" s="8"/>
      <c r="L236" s="37" t="s">
        <v>25</v>
      </c>
    </row>
    <row r="237" spans="1:12">
      <c r="A237" s="3">
        <v>9436</v>
      </c>
      <c r="B237" s="3" t="s">
        <v>3175</v>
      </c>
      <c r="C237" s="3" t="s">
        <v>1220</v>
      </c>
      <c r="D237" s="3" t="s">
        <v>19</v>
      </c>
      <c r="E237" s="3">
        <v>111901</v>
      </c>
      <c r="F237" s="3">
        <v>15775628881</v>
      </c>
      <c r="G237" s="3">
        <v>514739778</v>
      </c>
      <c r="H237" s="8" t="s">
        <v>3176</v>
      </c>
      <c r="I237" s="8" t="s">
        <v>3176</v>
      </c>
      <c r="J237" s="8"/>
      <c r="L237" s="37" t="s">
        <v>25</v>
      </c>
    </row>
    <row r="238" spans="1:12">
      <c r="A238" s="3">
        <v>9437</v>
      </c>
      <c r="B238" s="3" t="s">
        <v>1536</v>
      </c>
      <c r="C238" s="3" t="s">
        <v>1220</v>
      </c>
      <c r="D238" s="3" t="s">
        <v>19</v>
      </c>
      <c r="E238" s="3">
        <v>111869</v>
      </c>
      <c r="F238" s="3">
        <v>15775465152</v>
      </c>
      <c r="G238" s="3">
        <v>514739933</v>
      </c>
      <c r="H238" s="8" t="s">
        <v>3180</v>
      </c>
      <c r="I238" s="8" t="s">
        <v>3180</v>
      </c>
      <c r="J238" s="8"/>
      <c r="L238" s="37" t="s">
        <v>25</v>
      </c>
    </row>
    <row r="239" spans="1:12">
      <c r="A239" s="4">
        <v>9438</v>
      </c>
      <c r="C239" s="3" t="s">
        <v>1220</v>
      </c>
      <c r="H239" s="8"/>
      <c r="I239" s="8"/>
      <c r="J239" s="8"/>
    </row>
    <row r="240" spans="1:12">
      <c r="A240" s="3">
        <v>9439</v>
      </c>
      <c r="C240" s="3" t="s">
        <v>1220</v>
      </c>
      <c r="H240" s="8"/>
      <c r="I240" s="8"/>
      <c r="J240" s="8"/>
    </row>
    <row r="241" spans="1:12">
      <c r="A241" s="3">
        <v>9440</v>
      </c>
      <c r="B241" s="3" t="s">
        <v>3184</v>
      </c>
      <c r="C241" s="3" t="s">
        <v>1220</v>
      </c>
      <c r="D241" s="3" t="s">
        <v>19</v>
      </c>
      <c r="E241" s="3">
        <v>109469</v>
      </c>
      <c r="F241" s="3">
        <v>14295521367</v>
      </c>
      <c r="G241" s="3">
        <v>495621124</v>
      </c>
      <c r="H241" s="8" t="s">
        <v>1557</v>
      </c>
      <c r="I241" s="8" t="s">
        <v>1557</v>
      </c>
      <c r="J241" s="8"/>
      <c r="L241" s="37" t="s">
        <v>25</v>
      </c>
    </row>
    <row r="242" spans="1:12">
      <c r="A242" s="3">
        <v>9441</v>
      </c>
      <c r="C242" s="3" t="s">
        <v>1220</v>
      </c>
      <c r="H242" s="8"/>
      <c r="I242" s="8"/>
      <c r="J242" s="8"/>
    </row>
    <row r="243" spans="1:12">
      <c r="A243" s="3">
        <v>9442</v>
      </c>
      <c r="B243" s="3" t="s">
        <v>3187</v>
      </c>
      <c r="C243" s="3" t="s">
        <v>1220</v>
      </c>
      <c r="D243" s="3" t="s">
        <v>19</v>
      </c>
      <c r="E243" s="3">
        <v>111716</v>
      </c>
      <c r="F243" s="3">
        <v>15770496206</v>
      </c>
      <c r="G243" s="3">
        <v>514739906</v>
      </c>
      <c r="H243" s="8" t="s">
        <v>3188</v>
      </c>
      <c r="I243" s="8" t="s">
        <v>3188</v>
      </c>
      <c r="J243" s="8"/>
      <c r="L243" s="37" t="s">
        <v>25</v>
      </c>
    </row>
    <row r="244" spans="1:12">
      <c r="A244" s="4">
        <v>9443</v>
      </c>
      <c r="C244" s="3" t="s">
        <v>1220</v>
      </c>
      <c r="H244" s="8"/>
      <c r="I244" s="8"/>
      <c r="J244" s="8"/>
    </row>
    <row r="245" spans="1:12">
      <c r="A245" s="3">
        <v>9444</v>
      </c>
      <c r="C245" s="3" t="s">
        <v>1220</v>
      </c>
      <c r="H245" s="8"/>
      <c r="I245" s="8"/>
      <c r="J245" s="8"/>
    </row>
    <row r="246" spans="1:12">
      <c r="A246" s="4">
        <v>9445</v>
      </c>
      <c r="B246" s="3" t="s">
        <v>3192</v>
      </c>
      <c r="C246" s="3" t="s">
        <v>1220</v>
      </c>
      <c r="D246" s="3" t="s">
        <v>19</v>
      </c>
      <c r="E246" s="3">
        <v>109462</v>
      </c>
      <c r="F246" s="3">
        <v>14295512097</v>
      </c>
      <c r="G246" s="3">
        <v>495621082</v>
      </c>
      <c r="H246" s="8" t="s">
        <v>3193</v>
      </c>
      <c r="I246" s="8" t="s">
        <v>3193</v>
      </c>
      <c r="J246" s="8"/>
      <c r="L246" s="37" t="s">
        <v>25</v>
      </c>
    </row>
    <row r="247" spans="1:12">
      <c r="A247" s="3">
        <v>9446</v>
      </c>
      <c r="C247" s="3" t="s">
        <v>1220</v>
      </c>
      <c r="H247" s="8"/>
      <c r="I247" s="8"/>
      <c r="J247" s="8"/>
    </row>
    <row r="248" spans="1:12">
      <c r="A248" s="3">
        <v>9447</v>
      </c>
      <c r="C248" s="3" t="s">
        <v>1220</v>
      </c>
      <c r="H248" s="8"/>
      <c r="I248" s="8"/>
      <c r="J248" s="8"/>
    </row>
    <row r="249" spans="1:12">
      <c r="A249" s="3">
        <v>9448</v>
      </c>
      <c r="C249" s="3" t="s">
        <v>1220</v>
      </c>
      <c r="H249" s="8"/>
      <c r="I249" s="8"/>
      <c r="J249" s="8"/>
    </row>
    <row r="250" spans="1:12">
      <c r="A250" s="3">
        <v>9449</v>
      </c>
      <c r="B250" s="3" t="s">
        <v>3197</v>
      </c>
      <c r="C250" s="3" t="s">
        <v>1220</v>
      </c>
      <c r="D250" s="3" t="s">
        <v>19</v>
      </c>
      <c r="E250" s="3">
        <v>111778</v>
      </c>
      <c r="F250" s="3">
        <v>15770544851</v>
      </c>
      <c r="G250" s="3">
        <v>514739832</v>
      </c>
      <c r="H250" s="8" t="s">
        <v>3198</v>
      </c>
      <c r="I250" s="8" t="s">
        <v>3198</v>
      </c>
      <c r="J250" s="8"/>
      <c r="L250" s="37" t="s">
        <v>25</v>
      </c>
    </row>
    <row r="251" spans="1:12">
      <c r="A251" s="4">
        <v>9450</v>
      </c>
      <c r="C251" s="3" t="s">
        <v>1220</v>
      </c>
      <c r="H251" s="8"/>
      <c r="I251" s="8"/>
      <c r="J251" s="8"/>
    </row>
    <row r="252" spans="1:12">
      <c r="A252" s="3">
        <v>9451</v>
      </c>
      <c r="C252" s="3" t="s">
        <v>1220</v>
      </c>
      <c r="H252" s="8"/>
      <c r="I252" s="8"/>
      <c r="J252" s="8"/>
    </row>
    <row r="253" spans="1:12">
      <c r="A253" s="3">
        <v>9452</v>
      </c>
      <c r="B253" s="3" t="s">
        <v>3202</v>
      </c>
      <c r="C253" s="3" t="s">
        <v>1220</v>
      </c>
      <c r="D253" s="3" t="s">
        <v>19</v>
      </c>
      <c r="E253" s="3">
        <v>109459</v>
      </c>
      <c r="F253" s="3">
        <v>14295464873</v>
      </c>
      <c r="G253" s="3">
        <v>495621181</v>
      </c>
      <c r="H253" s="8" t="s">
        <v>3203</v>
      </c>
      <c r="I253" s="8" t="s">
        <v>3203</v>
      </c>
      <c r="J253" s="8"/>
      <c r="L253" s="37" t="s">
        <v>25</v>
      </c>
    </row>
    <row r="254" spans="1:12">
      <c r="A254" s="3">
        <v>9453</v>
      </c>
      <c r="B254" s="3" t="s">
        <v>3207</v>
      </c>
      <c r="C254" s="3" t="s">
        <v>1220</v>
      </c>
      <c r="D254" s="3" t="s">
        <v>19</v>
      </c>
      <c r="E254" s="3">
        <v>109444</v>
      </c>
      <c r="F254" s="3">
        <v>14295403366</v>
      </c>
      <c r="G254" s="3">
        <v>495621210</v>
      </c>
      <c r="H254" s="8" t="s">
        <v>3208</v>
      </c>
      <c r="I254" s="8" t="s">
        <v>3208</v>
      </c>
      <c r="J254" s="8"/>
      <c r="L254" s="37" t="s">
        <v>25</v>
      </c>
    </row>
    <row r="255" spans="1:12">
      <c r="A255" s="3">
        <v>9454</v>
      </c>
      <c r="C255" s="3" t="s">
        <v>1220</v>
      </c>
      <c r="H255" s="8"/>
      <c r="I255" s="8"/>
      <c r="J255" s="8"/>
    </row>
    <row r="256" spans="1:12">
      <c r="A256" s="4">
        <v>9455</v>
      </c>
      <c r="C256" s="3" t="s">
        <v>1220</v>
      </c>
      <c r="H256" s="8"/>
      <c r="I256" s="8"/>
      <c r="J256" s="8"/>
    </row>
    <row r="257" spans="1:12">
      <c r="A257" s="3">
        <v>9456</v>
      </c>
      <c r="B257" s="3" t="s">
        <v>1564</v>
      </c>
      <c r="C257" s="3" t="s">
        <v>1220</v>
      </c>
      <c r="D257" s="3" t="s">
        <v>19</v>
      </c>
      <c r="E257" s="3">
        <v>109515</v>
      </c>
      <c r="F257" s="3">
        <v>14295567136</v>
      </c>
      <c r="G257" s="3">
        <v>495621116</v>
      </c>
      <c r="H257" s="8" t="s">
        <v>3212</v>
      </c>
      <c r="I257" s="8" t="s">
        <v>3212</v>
      </c>
      <c r="J257" s="8"/>
      <c r="L257" s="37" t="s">
        <v>25</v>
      </c>
    </row>
    <row r="258" spans="1:12">
      <c r="A258" s="3">
        <v>9457</v>
      </c>
      <c r="C258" s="3" t="s">
        <v>1220</v>
      </c>
      <c r="H258" s="8"/>
      <c r="I258" s="8"/>
      <c r="J258" s="8"/>
    </row>
    <row r="259" spans="1:12">
      <c r="A259" s="3">
        <v>9458</v>
      </c>
      <c r="C259" s="3" t="s">
        <v>1220</v>
      </c>
      <c r="H259" s="8"/>
      <c r="I259" s="8"/>
      <c r="J259" s="8"/>
    </row>
    <row r="260" spans="1:12">
      <c r="A260" s="3">
        <v>9459</v>
      </c>
      <c r="C260" s="3" t="s">
        <v>1220</v>
      </c>
      <c r="H260" s="8"/>
      <c r="I260" s="8"/>
      <c r="J260" s="8"/>
    </row>
    <row r="261" spans="1:12">
      <c r="A261" s="4">
        <v>9460</v>
      </c>
      <c r="C261" s="3" t="s">
        <v>1220</v>
      </c>
      <c r="H261" s="8"/>
      <c r="I261" s="8"/>
      <c r="J261" s="8"/>
    </row>
    <row r="262" spans="1:12">
      <c r="A262" s="3">
        <v>9461</v>
      </c>
      <c r="B262" s="3" t="s">
        <v>3217</v>
      </c>
      <c r="C262" s="3" t="s">
        <v>1220</v>
      </c>
      <c r="D262" s="3" t="s">
        <v>19</v>
      </c>
      <c r="E262" s="3">
        <v>111893</v>
      </c>
      <c r="F262" s="3">
        <v>15775598836</v>
      </c>
      <c r="G262" s="3">
        <v>514739858</v>
      </c>
      <c r="H262" s="8" t="s">
        <v>3218</v>
      </c>
      <c r="I262" s="8" t="s">
        <v>3218</v>
      </c>
      <c r="J262" s="8"/>
      <c r="L262" s="37" t="s">
        <v>25</v>
      </c>
    </row>
    <row r="263" spans="1:12">
      <c r="A263" s="3">
        <v>9462</v>
      </c>
      <c r="B263" s="3" t="s">
        <v>1396</v>
      </c>
      <c r="C263" s="3" t="s">
        <v>1220</v>
      </c>
      <c r="D263" s="3" t="s">
        <v>19</v>
      </c>
      <c r="E263" s="3">
        <v>111892</v>
      </c>
      <c r="F263" s="3">
        <v>15775598835</v>
      </c>
      <c r="G263" s="3">
        <v>514739890</v>
      </c>
      <c r="H263" s="8" t="s">
        <v>3222</v>
      </c>
      <c r="I263" s="8" t="s">
        <v>3222</v>
      </c>
      <c r="J263" s="8"/>
      <c r="L263" s="37" t="s">
        <v>25</v>
      </c>
    </row>
    <row r="264" spans="1:12">
      <c r="A264" s="3">
        <v>9463</v>
      </c>
      <c r="C264" s="3" t="s">
        <v>1220</v>
      </c>
      <c r="H264" s="8"/>
      <c r="I264" s="8"/>
      <c r="J264" s="8"/>
    </row>
    <row r="265" spans="1:12">
      <c r="A265" s="3">
        <v>9464</v>
      </c>
      <c r="C265" s="3" t="s">
        <v>1220</v>
      </c>
      <c r="H265" s="8"/>
      <c r="I265" s="8"/>
      <c r="J265" s="8"/>
    </row>
    <row r="266" spans="1:12">
      <c r="A266" s="4">
        <v>9465</v>
      </c>
      <c r="B266" s="3" t="s">
        <v>1381</v>
      </c>
      <c r="C266" s="3" t="s">
        <v>1220</v>
      </c>
      <c r="D266" s="3" t="s">
        <v>19</v>
      </c>
      <c r="E266" s="3">
        <v>109477</v>
      </c>
      <c r="F266" s="3">
        <v>14295529893</v>
      </c>
      <c r="G266" s="3">
        <v>495621178</v>
      </c>
      <c r="H266" s="8" t="s">
        <v>1382</v>
      </c>
      <c r="I266" s="8" t="s">
        <v>1382</v>
      </c>
      <c r="J266" s="8"/>
      <c r="L266" s="37" t="s">
        <v>25</v>
      </c>
    </row>
    <row r="267" spans="1:12">
      <c r="A267" s="3">
        <v>9466</v>
      </c>
      <c r="B267" s="3" t="s">
        <v>3228</v>
      </c>
      <c r="C267" s="3" t="s">
        <v>1220</v>
      </c>
      <c r="D267" s="3" t="s">
        <v>19</v>
      </c>
      <c r="E267" s="3">
        <v>111732</v>
      </c>
      <c r="F267" s="3">
        <v>15770500089</v>
      </c>
      <c r="G267" s="3">
        <v>514739736</v>
      </c>
      <c r="H267" s="8" t="s">
        <v>3229</v>
      </c>
      <c r="I267" s="8" t="s">
        <v>3229</v>
      </c>
      <c r="J267" s="8"/>
      <c r="L267" s="37" t="s">
        <v>25</v>
      </c>
    </row>
    <row r="268" spans="1:12">
      <c r="A268" s="3">
        <v>9467</v>
      </c>
      <c r="B268" s="3" t="s">
        <v>3233</v>
      </c>
      <c r="C268" s="3" t="s">
        <v>1220</v>
      </c>
      <c r="D268" s="3" t="s">
        <v>19</v>
      </c>
      <c r="E268" s="3">
        <v>109442</v>
      </c>
      <c r="F268" s="3">
        <v>14295331570</v>
      </c>
      <c r="G268" s="3">
        <v>495621180</v>
      </c>
      <c r="H268" s="8" t="s">
        <v>3234</v>
      </c>
      <c r="I268" s="8" t="s">
        <v>3234</v>
      </c>
      <c r="J268" s="8"/>
      <c r="L268" s="37" t="s">
        <v>25</v>
      </c>
    </row>
    <row r="269" spans="1:12">
      <c r="A269" s="3">
        <v>9468</v>
      </c>
      <c r="B269" s="3" t="s">
        <v>3238</v>
      </c>
      <c r="C269" s="3" t="s">
        <v>1220</v>
      </c>
      <c r="D269" s="3" t="s">
        <v>19</v>
      </c>
      <c r="E269" s="3">
        <v>109592</v>
      </c>
      <c r="F269" s="3">
        <v>14299667371</v>
      </c>
      <c r="G269" s="3">
        <v>495621114</v>
      </c>
      <c r="H269" s="8" t="s">
        <v>1386</v>
      </c>
      <c r="I269" s="8" t="s">
        <v>1386</v>
      </c>
      <c r="J269" s="8"/>
      <c r="L269" s="37" t="s">
        <v>25</v>
      </c>
    </row>
    <row r="270" spans="1:12">
      <c r="A270" s="4">
        <v>9469</v>
      </c>
      <c r="C270" s="3" t="s">
        <v>1220</v>
      </c>
      <c r="H270" s="8"/>
      <c r="I270" s="8"/>
      <c r="J270" s="8"/>
    </row>
    <row r="271" spans="1:12">
      <c r="A271" s="3">
        <v>9470</v>
      </c>
      <c r="C271" s="3" t="s">
        <v>1220</v>
      </c>
      <c r="H271" s="8"/>
      <c r="I271" s="8"/>
      <c r="J271" s="8"/>
    </row>
    <row r="272" spans="1:12">
      <c r="A272" s="3">
        <v>9471</v>
      </c>
      <c r="C272" s="3" t="s">
        <v>1220</v>
      </c>
      <c r="H272" s="8"/>
      <c r="I272" s="8"/>
      <c r="J272" s="8"/>
    </row>
    <row r="273" spans="1:12">
      <c r="A273" s="3">
        <v>9472</v>
      </c>
      <c r="C273" s="3" t="s">
        <v>1220</v>
      </c>
      <c r="H273" s="8"/>
      <c r="I273" s="8"/>
      <c r="J273" s="8"/>
    </row>
    <row r="274" spans="1:12">
      <c r="A274" s="3">
        <v>9473</v>
      </c>
      <c r="B274" s="3" t="s">
        <v>844</v>
      </c>
      <c r="C274" s="3" t="s">
        <v>1220</v>
      </c>
      <c r="D274" s="3" t="s">
        <v>19</v>
      </c>
      <c r="E274" s="3">
        <v>109667</v>
      </c>
      <c r="F274" s="3">
        <v>14507304763</v>
      </c>
      <c r="G274" s="3">
        <v>498373749</v>
      </c>
      <c r="H274" s="8" t="s">
        <v>3241</v>
      </c>
      <c r="I274" s="8" t="s">
        <v>3241</v>
      </c>
      <c r="J274" s="8"/>
      <c r="L274" s="37" t="s">
        <v>25</v>
      </c>
    </row>
    <row r="275" spans="1:12">
      <c r="A275" s="4">
        <v>9474</v>
      </c>
      <c r="C275" s="3" t="s">
        <v>1220</v>
      </c>
      <c r="H275" s="8"/>
      <c r="I275" s="8"/>
      <c r="J275" s="8"/>
    </row>
    <row r="276" spans="1:12">
      <c r="A276" s="3">
        <v>9475</v>
      </c>
      <c r="C276" s="3" t="s">
        <v>1220</v>
      </c>
      <c r="H276" s="8"/>
      <c r="I276" s="8"/>
      <c r="J276" s="8"/>
    </row>
    <row r="277" spans="1:12">
      <c r="A277" s="3">
        <v>9476</v>
      </c>
      <c r="B277" s="3" t="s">
        <v>1632</v>
      </c>
      <c r="C277" s="3" t="s">
        <v>1220</v>
      </c>
      <c r="D277" s="3" t="s">
        <v>19</v>
      </c>
      <c r="E277" s="3">
        <v>111703</v>
      </c>
      <c r="F277" s="3">
        <v>15770479305</v>
      </c>
      <c r="G277" s="3">
        <v>514739895</v>
      </c>
      <c r="H277" s="8" t="s">
        <v>3245</v>
      </c>
      <c r="I277" s="8" t="s">
        <v>3245</v>
      </c>
      <c r="J277" s="8"/>
      <c r="L277" s="37" t="s">
        <v>25</v>
      </c>
    </row>
    <row r="278" spans="1:12">
      <c r="A278" s="3">
        <v>9477</v>
      </c>
      <c r="C278" s="3" t="s">
        <v>1220</v>
      </c>
      <c r="H278" s="8"/>
      <c r="I278" s="8"/>
      <c r="J278" s="8"/>
    </row>
    <row r="279" spans="1:12">
      <c r="A279" s="3">
        <v>9478</v>
      </c>
      <c r="C279" s="3" t="s">
        <v>1220</v>
      </c>
      <c r="H279" s="8"/>
      <c r="I279" s="8"/>
      <c r="J279" s="8"/>
    </row>
    <row r="280" spans="1:12">
      <c r="A280" s="4">
        <v>9479</v>
      </c>
      <c r="B280" s="3" t="s">
        <v>855</v>
      </c>
      <c r="C280" s="3" t="s">
        <v>1220</v>
      </c>
      <c r="D280" s="3" t="s">
        <v>19</v>
      </c>
      <c r="E280" s="3">
        <v>99976</v>
      </c>
      <c r="F280" s="3">
        <v>8750617679</v>
      </c>
      <c r="G280" s="3">
        <v>424579023</v>
      </c>
      <c r="H280" s="8" t="s">
        <v>3249</v>
      </c>
      <c r="I280" s="8" t="s">
        <v>3249</v>
      </c>
      <c r="J280" s="8"/>
      <c r="L280" s="37" t="s">
        <v>25</v>
      </c>
    </row>
    <row r="281" spans="1:12">
      <c r="A281" s="3">
        <v>9480</v>
      </c>
      <c r="C281" s="3" t="s">
        <v>1220</v>
      </c>
      <c r="H281" s="8"/>
      <c r="I281" s="8"/>
      <c r="J281" s="8"/>
    </row>
    <row r="282" spans="1:12">
      <c r="A282" s="3">
        <v>9481</v>
      </c>
      <c r="C282" s="3" t="s">
        <v>1220</v>
      </c>
      <c r="H282" s="8"/>
      <c r="I282" s="8"/>
      <c r="J282" s="8"/>
    </row>
    <row r="283" spans="1:12">
      <c r="A283" s="3">
        <v>9482</v>
      </c>
      <c r="C283" s="3" t="s">
        <v>1220</v>
      </c>
      <c r="H283" s="8"/>
      <c r="I283" s="8"/>
      <c r="J283" s="8"/>
    </row>
    <row r="284" spans="1:12">
      <c r="A284" s="3">
        <v>9483</v>
      </c>
      <c r="B284" s="3" t="s">
        <v>860</v>
      </c>
      <c r="C284" s="3" t="s">
        <v>1220</v>
      </c>
      <c r="D284" s="3" t="s">
        <v>19</v>
      </c>
      <c r="E284" s="3">
        <v>109455</v>
      </c>
      <c r="F284" s="3">
        <v>14295459045</v>
      </c>
      <c r="G284" s="3">
        <v>495621236</v>
      </c>
      <c r="H284" s="8" t="s">
        <v>1757</v>
      </c>
      <c r="I284" s="8" t="s">
        <v>1757</v>
      </c>
      <c r="J284" s="8"/>
      <c r="L284" s="37" t="s">
        <v>25</v>
      </c>
    </row>
    <row r="285" spans="1:12">
      <c r="A285" s="4">
        <v>9484</v>
      </c>
      <c r="B285" s="3" t="s">
        <v>3254</v>
      </c>
      <c r="C285" s="3" t="s">
        <v>1220</v>
      </c>
      <c r="D285" s="3" t="s">
        <v>19</v>
      </c>
      <c r="E285" s="3">
        <v>111714</v>
      </c>
      <c r="F285" s="3">
        <v>15770487610</v>
      </c>
      <c r="G285" s="3">
        <v>514739754</v>
      </c>
      <c r="H285" s="8" t="s">
        <v>3255</v>
      </c>
      <c r="I285" s="8" t="s">
        <v>3255</v>
      </c>
      <c r="J285" s="8"/>
      <c r="L285" s="37" t="s">
        <v>25</v>
      </c>
    </row>
    <row r="286" spans="1:12">
      <c r="A286" s="3">
        <v>9485</v>
      </c>
      <c r="C286" s="3" t="s">
        <v>1220</v>
      </c>
      <c r="H286" s="8"/>
      <c r="I286" s="8"/>
      <c r="J286" s="8"/>
    </row>
    <row r="287" spans="1:12">
      <c r="A287" s="3">
        <v>9486</v>
      </c>
      <c r="C287" s="3" t="s">
        <v>1220</v>
      </c>
      <c r="H287" s="8"/>
      <c r="I287" s="8"/>
      <c r="J287" s="8"/>
    </row>
    <row r="288" spans="1:12">
      <c r="A288" s="3">
        <v>9487</v>
      </c>
      <c r="C288" s="3" t="s">
        <v>1220</v>
      </c>
      <c r="H288" s="8"/>
      <c r="I288" s="8"/>
      <c r="J288" s="8"/>
    </row>
    <row r="289" spans="1:12">
      <c r="A289" s="3">
        <v>9488</v>
      </c>
      <c r="B289" s="3" t="s">
        <v>3259</v>
      </c>
      <c r="C289" s="3" t="s">
        <v>1220</v>
      </c>
      <c r="D289" s="3" t="s">
        <v>19</v>
      </c>
      <c r="E289" s="3">
        <v>110076</v>
      </c>
      <c r="F289" s="3">
        <v>14742877348</v>
      </c>
      <c r="G289" s="3">
        <v>501459306</v>
      </c>
      <c r="H289" s="8" t="s">
        <v>3260</v>
      </c>
      <c r="I289" s="8" t="s">
        <v>3260</v>
      </c>
      <c r="J289" s="8"/>
      <c r="L289" s="37" t="s">
        <v>25</v>
      </c>
    </row>
    <row r="290" spans="1:12">
      <c r="A290" s="4">
        <v>9489</v>
      </c>
      <c r="C290" s="3" t="s">
        <v>1220</v>
      </c>
      <c r="H290" s="8"/>
      <c r="I290" s="8"/>
      <c r="J290" s="8"/>
    </row>
    <row r="291" spans="1:12">
      <c r="A291" s="3">
        <v>9490</v>
      </c>
      <c r="C291" s="3" t="s">
        <v>1220</v>
      </c>
      <c r="H291" s="8"/>
      <c r="I291" s="8"/>
      <c r="J291" s="8"/>
    </row>
    <row r="292" spans="1:12">
      <c r="A292" s="3">
        <v>9491</v>
      </c>
      <c r="B292" s="3" t="s">
        <v>3263</v>
      </c>
      <c r="C292" s="3" t="s">
        <v>1220</v>
      </c>
      <c r="D292" s="3" t="s">
        <v>19</v>
      </c>
      <c r="E292" s="3">
        <v>111781</v>
      </c>
      <c r="F292" s="3">
        <v>15770546352</v>
      </c>
      <c r="G292" s="3">
        <v>514739925</v>
      </c>
      <c r="H292" s="8" t="s">
        <v>3264</v>
      </c>
      <c r="I292" s="8" t="s">
        <v>3264</v>
      </c>
      <c r="J292" s="8"/>
      <c r="L292" s="37" t="s">
        <v>25</v>
      </c>
    </row>
    <row r="293" spans="1:12">
      <c r="A293" s="3">
        <v>9492</v>
      </c>
      <c r="C293" s="3" t="s">
        <v>1220</v>
      </c>
      <c r="H293" s="8"/>
      <c r="I293" s="8"/>
      <c r="J293" s="8"/>
    </row>
    <row r="294" spans="1:12">
      <c r="A294" s="3">
        <v>9493</v>
      </c>
      <c r="C294" s="3" t="s">
        <v>1220</v>
      </c>
      <c r="H294" s="8"/>
      <c r="I294" s="8"/>
      <c r="J294" s="8"/>
    </row>
    <row r="295" spans="1:12">
      <c r="A295" s="4">
        <v>9494</v>
      </c>
      <c r="B295" s="3" t="s">
        <v>1584</v>
      </c>
      <c r="C295" s="3" t="s">
        <v>1220</v>
      </c>
      <c r="D295" s="3" t="s">
        <v>19</v>
      </c>
      <c r="E295" s="3">
        <v>111721</v>
      </c>
      <c r="F295" s="3">
        <v>15770496211</v>
      </c>
      <c r="G295" s="3">
        <v>514739848</v>
      </c>
      <c r="H295" s="8" t="s">
        <v>3268</v>
      </c>
      <c r="I295" s="8" t="s">
        <v>3268</v>
      </c>
      <c r="J295" s="8"/>
      <c r="L295" s="37" t="s">
        <v>25</v>
      </c>
    </row>
    <row r="296" spans="1:12">
      <c r="A296" s="3">
        <v>9495</v>
      </c>
      <c r="B296" s="3" t="s">
        <v>3272</v>
      </c>
      <c r="C296" s="3" t="s">
        <v>1220</v>
      </c>
      <c r="D296" s="3" t="s">
        <v>19</v>
      </c>
      <c r="E296" s="3">
        <v>111728</v>
      </c>
      <c r="F296" s="3">
        <v>15770499554</v>
      </c>
      <c r="G296" s="3">
        <v>514739760</v>
      </c>
      <c r="H296" s="8" t="s">
        <v>3273</v>
      </c>
      <c r="I296" s="8" t="s">
        <v>3273</v>
      </c>
      <c r="J296" s="8"/>
      <c r="L296" s="37" t="s">
        <v>25</v>
      </c>
    </row>
    <row r="297" spans="1:12">
      <c r="A297" s="3">
        <v>9496</v>
      </c>
      <c r="C297" s="3" t="s">
        <v>1220</v>
      </c>
      <c r="H297" s="8"/>
      <c r="I297" s="8"/>
      <c r="J297" s="8"/>
    </row>
    <row r="298" spans="1:12">
      <c r="A298" s="3">
        <v>9497</v>
      </c>
      <c r="C298" s="3" t="s">
        <v>1220</v>
      </c>
      <c r="H298" s="8"/>
      <c r="I298" s="8"/>
      <c r="J298" s="8"/>
    </row>
    <row r="299" spans="1:12">
      <c r="A299" s="3">
        <v>9498</v>
      </c>
      <c r="B299" s="3" t="s">
        <v>3277</v>
      </c>
      <c r="C299" s="3" t="s">
        <v>1220</v>
      </c>
      <c r="D299" s="3" t="s">
        <v>19</v>
      </c>
      <c r="E299" s="3">
        <v>109587</v>
      </c>
      <c r="F299" s="3">
        <v>14299667366</v>
      </c>
      <c r="G299" s="3">
        <v>495621142</v>
      </c>
      <c r="H299" s="8" t="s">
        <v>3278</v>
      </c>
      <c r="I299" s="8" t="s">
        <v>3278</v>
      </c>
      <c r="J299" s="8"/>
      <c r="L299" s="37" t="s">
        <v>25</v>
      </c>
    </row>
    <row r="300" spans="1:12">
      <c r="A300" s="4">
        <v>9499</v>
      </c>
      <c r="B300" s="3" t="s">
        <v>3282</v>
      </c>
      <c r="C300" s="3" t="s">
        <v>1220</v>
      </c>
      <c r="D300" s="3" t="s">
        <v>19</v>
      </c>
      <c r="E300" s="3">
        <v>110042</v>
      </c>
      <c r="F300" s="3">
        <v>14738346249</v>
      </c>
      <c r="G300" s="3">
        <v>501459296</v>
      </c>
      <c r="H300" s="8" t="s">
        <v>3283</v>
      </c>
      <c r="I300" s="8" t="s">
        <v>3283</v>
      </c>
      <c r="J300" s="8"/>
      <c r="L300" s="37" t="s">
        <v>25</v>
      </c>
    </row>
    <row r="301" spans="1:12">
      <c r="A301" s="3">
        <v>9500</v>
      </c>
      <c r="C301" s="3" t="s">
        <v>1220</v>
      </c>
      <c r="H301" s="8"/>
      <c r="I301" s="8"/>
      <c r="J301" s="8"/>
    </row>
    <row r="302" spans="1:12">
      <c r="A302" s="3">
        <v>9501</v>
      </c>
      <c r="C302" s="3" t="s">
        <v>1220</v>
      </c>
      <c r="H302" s="8"/>
      <c r="I302" s="8"/>
      <c r="J302" s="8"/>
    </row>
    <row r="303" spans="1:12">
      <c r="A303" s="3">
        <v>9502</v>
      </c>
      <c r="B303" s="3" t="s">
        <v>1596</v>
      </c>
      <c r="C303" s="3" t="s">
        <v>1220</v>
      </c>
      <c r="D303" s="3" t="s">
        <v>19</v>
      </c>
      <c r="E303" s="3">
        <v>109546</v>
      </c>
      <c r="F303" s="3">
        <v>14295682279</v>
      </c>
      <c r="G303" s="3">
        <v>495621077</v>
      </c>
      <c r="H303" s="8" t="s">
        <v>1597</v>
      </c>
      <c r="I303" s="8" t="s">
        <v>1597</v>
      </c>
      <c r="J303" s="8"/>
      <c r="L303" s="37" t="s">
        <v>25</v>
      </c>
    </row>
    <row r="304" spans="1:12">
      <c r="A304" s="3">
        <v>9503</v>
      </c>
      <c r="B304" s="3" t="s">
        <v>1588</v>
      </c>
      <c r="C304" s="3" t="s">
        <v>1220</v>
      </c>
      <c r="D304" s="3" t="s">
        <v>19</v>
      </c>
      <c r="E304" s="3">
        <v>109504</v>
      </c>
      <c r="F304" s="3">
        <v>14295555257</v>
      </c>
      <c r="G304" s="3">
        <v>495621144</v>
      </c>
      <c r="H304" s="8" t="s">
        <v>1589</v>
      </c>
      <c r="I304" s="8" t="s">
        <v>1589</v>
      </c>
      <c r="J304" s="8"/>
      <c r="L304" s="37" t="s">
        <v>25</v>
      </c>
    </row>
    <row r="305" spans="1:12">
      <c r="A305" s="4">
        <v>9504</v>
      </c>
      <c r="B305" s="3" t="s">
        <v>1592</v>
      </c>
      <c r="C305" s="3" t="s">
        <v>1220</v>
      </c>
      <c r="D305" s="3" t="s">
        <v>19</v>
      </c>
      <c r="E305" s="3">
        <v>109548</v>
      </c>
      <c r="F305" s="3">
        <v>14295692609</v>
      </c>
      <c r="G305" s="3">
        <v>495621220</v>
      </c>
      <c r="H305" s="8" t="s">
        <v>1593</v>
      </c>
      <c r="I305" s="8" t="s">
        <v>1593</v>
      </c>
      <c r="J305" s="8"/>
      <c r="L305" s="37" t="s">
        <v>25</v>
      </c>
    </row>
    <row r="306" spans="1:12">
      <c r="A306" s="3">
        <v>9505</v>
      </c>
      <c r="C306" s="3" t="s">
        <v>1220</v>
      </c>
      <c r="H306" s="8"/>
      <c r="I306" s="8"/>
      <c r="J306" s="8"/>
    </row>
    <row r="307" spans="1:12">
      <c r="A307" s="3">
        <v>9506</v>
      </c>
      <c r="C307" s="3" t="s">
        <v>1220</v>
      </c>
      <c r="H307" s="8"/>
      <c r="I307" s="8"/>
      <c r="J307" s="8"/>
    </row>
    <row r="308" spans="1:12">
      <c r="A308" s="3">
        <v>9507</v>
      </c>
      <c r="B308" s="3" t="s">
        <v>1353</v>
      </c>
      <c r="C308" s="3" t="s">
        <v>1220</v>
      </c>
      <c r="D308" s="3" t="s">
        <v>19</v>
      </c>
      <c r="E308" s="3">
        <v>109595</v>
      </c>
      <c r="F308" s="3">
        <v>14305342947</v>
      </c>
      <c r="G308" s="3">
        <v>495621185</v>
      </c>
      <c r="H308" s="8" t="s">
        <v>1354</v>
      </c>
      <c r="I308" s="8" t="s">
        <v>1354</v>
      </c>
      <c r="J308" s="8"/>
      <c r="L308" s="37" t="s">
        <v>25</v>
      </c>
    </row>
    <row r="309" spans="1:12">
      <c r="A309" s="3">
        <v>9508</v>
      </c>
      <c r="B309" s="3" t="s">
        <v>1604</v>
      </c>
      <c r="C309" s="3" t="s">
        <v>1220</v>
      </c>
      <c r="D309" s="3" t="s">
        <v>19</v>
      </c>
      <c r="E309" s="3">
        <v>95979</v>
      </c>
      <c r="F309" s="3">
        <v>8011941731</v>
      </c>
      <c r="G309" s="3">
        <v>495621147</v>
      </c>
      <c r="H309" s="8" t="s">
        <v>1605</v>
      </c>
      <c r="I309" s="8" t="s">
        <v>1605</v>
      </c>
      <c r="J309" s="8"/>
      <c r="L309" s="37" t="s">
        <v>25</v>
      </c>
    </row>
    <row r="310" spans="1:12">
      <c r="A310" s="4">
        <v>9509</v>
      </c>
      <c r="C310" s="3" t="s">
        <v>1220</v>
      </c>
      <c r="H310" s="8"/>
      <c r="I310" s="8"/>
      <c r="J310" s="8"/>
    </row>
    <row r="311" spans="1:12">
      <c r="A311" s="3">
        <v>9510</v>
      </c>
      <c r="C311" s="3" t="s">
        <v>1220</v>
      </c>
      <c r="H311" s="8"/>
      <c r="I311" s="8"/>
      <c r="J311" s="8"/>
    </row>
    <row r="312" spans="1:12">
      <c r="A312" s="3">
        <v>9511</v>
      </c>
      <c r="B312" s="3" t="s">
        <v>1612</v>
      </c>
      <c r="C312" s="3" t="s">
        <v>1220</v>
      </c>
      <c r="D312" s="3" t="s">
        <v>19</v>
      </c>
      <c r="E312" s="3">
        <v>109570</v>
      </c>
      <c r="F312" s="3">
        <v>14295824880</v>
      </c>
      <c r="G312" s="3">
        <v>495621133</v>
      </c>
      <c r="H312" s="8" t="s">
        <v>1613</v>
      </c>
      <c r="I312" s="8" t="s">
        <v>1613</v>
      </c>
      <c r="J312" s="8"/>
      <c r="L312" s="37" t="s">
        <v>25</v>
      </c>
    </row>
    <row r="313" spans="1:12">
      <c r="A313" s="3">
        <v>9512</v>
      </c>
      <c r="B313" s="3" t="s">
        <v>1608</v>
      </c>
      <c r="C313" s="3" t="s">
        <v>1220</v>
      </c>
      <c r="D313" s="3" t="s">
        <v>19</v>
      </c>
      <c r="E313" s="3">
        <v>109555</v>
      </c>
      <c r="F313" s="3">
        <v>14295772031</v>
      </c>
      <c r="G313" s="3">
        <v>495621225</v>
      </c>
      <c r="H313" s="8" t="s">
        <v>1609</v>
      </c>
      <c r="I313" s="8" t="s">
        <v>1609</v>
      </c>
      <c r="J313" s="8"/>
      <c r="L313" s="37" t="s">
        <v>25</v>
      </c>
    </row>
    <row r="314" spans="1:12">
      <c r="A314" s="3">
        <v>9513</v>
      </c>
      <c r="B314" s="3" t="s">
        <v>883</v>
      </c>
      <c r="C314" s="3" t="s">
        <v>1220</v>
      </c>
      <c r="D314" s="3" t="s">
        <v>19</v>
      </c>
      <c r="E314" s="3">
        <v>111749</v>
      </c>
      <c r="F314" s="3">
        <v>15770533478</v>
      </c>
      <c r="G314" s="3">
        <v>514739843</v>
      </c>
      <c r="H314" s="8" t="s">
        <v>3301</v>
      </c>
      <c r="I314" s="8" t="s">
        <v>3301</v>
      </c>
      <c r="J314" s="8"/>
      <c r="L314" s="37" t="s">
        <v>25</v>
      </c>
    </row>
    <row r="315" spans="1:12">
      <c r="A315" s="4">
        <v>9514</v>
      </c>
      <c r="C315" s="3" t="s">
        <v>1220</v>
      </c>
      <c r="H315" s="8"/>
      <c r="I315" s="8"/>
      <c r="J315" s="8"/>
    </row>
    <row r="316" spans="1:12">
      <c r="A316" s="3">
        <v>9515</v>
      </c>
      <c r="C316" s="3" t="s">
        <v>1220</v>
      </c>
      <c r="H316" s="8"/>
      <c r="I316" s="8"/>
      <c r="J316" s="8"/>
    </row>
    <row r="317" spans="1:12">
      <c r="A317" s="4">
        <v>9516</v>
      </c>
      <c r="B317" s="3" t="s">
        <v>3305</v>
      </c>
      <c r="C317" s="3" t="s">
        <v>1220</v>
      </c>
      <c r="D317" s="3" t="s">
        <v>19</v>
      </c>
      <c r="E317" s="3">
        <v>111766</v>
      </c>
      <c r="F317" s="3">
        <v>15770541371</v>
      </c>
      <c r="G317" s="3">
        <v>514739842</v>
      </c>
      <c r="H317" s="8" t="s">
        <v>3306</v>
      </c>
      <c r="I317" s="8" t="s">
        <v>3306</v>
      </c>
      <c r="J317" s="8"/>
      <c r="L317" s="37" t="s">
        <v>25</v>
      </c>
    </row>
    <row r="318" spans="1:12">
      <c r="A318" s="3">
        <v>9517</v>
      </c>
      <c r="C318" s="3" t="s">
        <v>1220</v>
      </c>
      <c r="H318" s="8"/>
      <c r="I318" s="8"/>
      <c r="J318" s="8"/>
    </row>
    <row r="319" spans="1:12">
      <c r="A319" s="3">
        <v>9518</v>
      </c>
      <c r="C319" s="3" t="s">
        <v>1220</v>
      </c>
      <c r="H319" s="8"/>
      <c r="I319" s="8"/>
      <c r="J319" s="8"/>
    </row>
    <row r="320" spans="1:12">
      <c r="A320" s="3">
        <v>9519</v>
      </c>
      <c r="B320" s="3" t="s">
        <v>3310</v>
      </c>
      <c r="C320" s="3" t="s">
        <v>1220</v>
      </c>
      <c r="D320" s="3" t="s">
        <v>19</v>
      </c>
      <c r="E320" s="3">
        <v>111888</v>
      </c>
      <c r="F320" s="3">
        <v>15775565272</v>
      </c>
      <c r="G320" s="3">
        <v>514739849</v>
      </c>
      <c r="H320" s="8" t="s">
        <v>3311</v>
      </c>
      <c r="I320" s="8" t="s">
        <v>3311</v>
      </c>
      <c r="J320" s="8"/>
      <c r="L320" s="37" t="s">
        <v>25</v>
      </c>
    </row>
    <row r="321" spans="1:12">
      <c r="A321" s="3">
        <v>9520</v>
      </c>
      <c r="B321" s="3" t="s">
        <v>3315</v>
      </c>
      <c r="C321" s="3" t="s">
        <v>1220</v>
      </c>
      <c r="D321" s="3" t="s">
        <v>19</v>
      </c>
      <c r="E321" s="3">
        <v>111722</v>
      </c>
      <c r="F321" s="3">
        <v>15770496212</v>
      </c>
      <c r="G321" s="3">
        <v>514739918</v>
      </c>
      <c r="H321" s="8" t="s">
        <v>3316</v>
      </c>
      <c r="I321" s="8" t="s">
        <v>3316</v>
      </c>
      <c r="J321" s="8"/>
      <c r="L321" s="37" t="s">
        <v>25</v>
      </c>
    </row>
    <row r="322" spans="1:12">
      <c r="A322" s="4">
        <v>9521</v>
      </c>
      <c r="B322" s="3" t="s">
        <v>3320</v>
      </c>
      <c r="C322" s="3" t="s">
        <v>1220</v>
      </c>
      <c r="D322" s="3" t="s">
        <v>19</v>
      </c>
      <c r="E322" s="3">
        <v>111812</v>
      </c>
      <c r="F322" s="3">
        <v>15775196297</v>
      </c>
      <c r="G322" s="3">
        <v>514739828</v>
      </c>
      <c r="H322" s="8" t="s">
        <v>3321</v>
      </c>
      <c r="I322" s="8" t="s">
        <v>3321</v>
      </c>
      <c r="J322" s="8"/>
      <c r="L322" s="37" t="s">
        <v>25</v>
      </c>
    </row>
    <row r="323" spans="1:12">
      <c r="A323" s="3">
        <v>9522</v>
      </c>
      <c r="B323" s="3" t="s">
        <v>3324</v>
      </c>
      <c r="C323" s="3" t="s">
        <v>1220</v>
      </c>
      <c r="D323" s="3" t="s">
        <v>19</v>
      </c>
      <c r="E323" s="3">
        <v>110058</v>
      </c>
      <c r="F323" s="3">
        <v>14742706717</v>
      </c>
      <c r="G323" s="3">
        <v>501459304</v>
      </c>
      <c r="H323" s="8" t="s">
        <v>3325</v>
      </c>
      <c r="I323" s="8" t="s">
        <v>3325</v>
      </c>
      <c r="J323" s="8"/>
      <c r="L323" s="37" t="s">
        <v>25</v>
      </c>
    </row>
    <row r="324" spans="1:12">
      <c r="A324" s="3">
        <v>9523</v>
      </c>
      <c r="C324" s="3" t="s">
        <v>1220</v>
      </c>
      <c r="H324" s="8"/>
      <c r="I324" s="8"/>
      <c r="J324" s="8"/>
    </row>
    <row r="325" spans="1:12">
      <c r="A325" s="3">
        <v>9524</v>
      </c>
      <c r="C325" s="3" t="s">
        <v>1220</v>
      </c>
      <c r="H325" s="8"/>
      <c r="I325" s="8"/>
      <c r="J325" s="8"/>
    </row>
    <row r="326" spans="1:12">
      <c r="A326" s="3">
        <v>9525</v>
      </c>
      <c r="C326" s="3" t="s">
        <v>1220</v>
      </c>
      <c r="H326" s="8"/>
      <c r="I326" s="8"/>
      <c r="J326" s="8"/>
    </row>
    <row r="327" spans="1:12">
      <c r="A327" s="4">
        <v>9526</v>
      </c>
      <c r="C327" s="3" t="s">
        <v>1220</v>
      </c>
      <c r="H327" s="8"/>
      <c r="I327" s="8"/>
      <c r="J327" s="8"/>
    </row>
    <row r="328" spans="1:12">
      <c r="A328" s="3">
        <v>9527</v>
      </c>
      <c r="B328" s="3" t="s">
        <v>3329</v>
      </c>
      <c r="C328" s="3" t="s">
        <v>1220</v>
      </c>
      <c r="D328" s="3" t="s">
        <v>19</v>
      </c>
      <c r="E328" s="3">
        <v>111738</v>
      </c>
      <c r="F328" s="3">
        <v>15770501101</v>
      </c>
      <c r="G328" s="3">
        <v>514739763</v>
      </c>
      <c r="H328" s="8" t="s">
        <v>3330</v>
      </c>
      <c r="I328" s="8" t="s">
        <v>3330</v>
      </c>
      <c r="J328" s="8"/>
      <c r="L328" s="37" t="s">
        <v>25</v>
      </c>
    </row>
    <row r="329" spans="1:12">
      <c r="A329" s="3">
        <v>9528</v>
      </c>
      <c r="C329" s="3" t="s">
        <v>1220</v>
      </c>
      <c r="H329" s="8"/>
      <c r="I329" s="8"/>
      <c r="J329" s="8"/>
    </row>
    <row r="330" spans="1:12">
      <c r="A330" s="3">
        <v>9529</v>
      </c>
      <c r="C330" s="3" t="s">
        <v>1220</v>
      </c>
      <c r="H330" s="8"/>
      <c r="I330" s="8"/>
      <c r="J330" s="8"/>
    </row>
    <row r="331" spans="1:12">
      <c r="A331" s="3">
        <v>9530</v>
      </c>
      <c r="B331" s="3" t="s">
        <v>1674</v>
      </c>
      <c r="C331" s="3" t="s">
        <v>1220</v>
      </c>
      <c r="D331" s="3" t="s">
        <v>19</v>
      </c>
      <c r="E331" s="3">
        <v>109562</v>
      </c>
      <c r="F331" s="3">
        <v>14295783132</v>
      </c>
      <c r="G331" s="3">
        <v>495621141</v>
      </c>
      <c r="H331" s="8" t="s">
        <v>1675</v>
      </c>
      <c r="I331" s="8" t="s">
        <v>1675</v>
      </c>
      <c r="J331" s="8"/>
      <c r="L331" s="37" t="s">
        <v>25</v>
      </c>
    </row>
    <row r="332" spans="1:12">
      <c r="A332" s="4">
        <v>9531</v>
      </c>
      <c r="B332" s="3" t="s">
        <v>1662</v>
      </c>
      <c r="C332" s="3" t="s">
        <v>1220</v>
      </c>
      <c r="D332" s="3" t="s">
        <v>19</v>
      </c>
      <c r="E332" s="3">
        <v>109563</v>
      </c>
      <c r="F332" s="3">
        <v>14295785437</v>
      </c>
      <c r="G332" s="3">
        <v>495621250</v>
      </c>
      <c r="H332" s="8" t="s">
        <v>1663</v>
      </c>
      <c r="I332" s="8" t="s">
        <v>1663</v>
      </c>
      <c r="J332" s="8"/>
      <c r="L332" s="37" t="s">
        <v>25</v>
      </c>
    </row>
    <row r="333" spans="1:12">
      <c r="A333" s="3">
        <v>9532</v>
      </c>
      <c r="B333" s="3" t="s">
        <v>1666</v>
      </c>
      <c r="C333" s="3" t="s">
        <v>1220</v>
      </c>
      <c r="D333" s="3" t="s">
        <v>19</v>
      </c>
      <c r="E333" s="3">
        <v>109564</v>
      </c>
      <c r="F333" s="3">
        <v>14295788260</v>
      </c>
      <c r="G333" s="3">
        <v>495621107</v>
      </c>
      <c r="H333" s="8" t="s">
        <v>1667</v>
      </c>
      <c r="I333" s="8" t="s">
        <v>1667</v>
      </c>
      <c r="J333" s="8"/>
      <c r="L333" s="37" t="s">
        <v>25</v>
      </c>
    </row>
    <row r="334" spans="1:12">
      <c r="A334" s="3">
        <v>9533</v>
      </c>
      <c r="C334" s="3" t="s">
        <v>1220</v>
      </c>
      <c r="H334" s="8"/>
      <c r="I334" s="8"/>
      <c r="J334" s="8"/>
    </row>
    <row r="335" spans="1:12">
      <c r="A335" s="3">
        <v>9534</v>
      </c>
      <c r="C335" s="3" t="s">
        <v>1220</v>
      </c>
      <c r="H335" s="8"/>
      <c r="I335" s="8"/>
      <c r="J335" s="8"/>
    </row>
    <row r="336" spans="1:12">
      <c r="A336" s="3">
        <v>9535</v>
      </c>
      <c r="C336" s="3" t="s">
        <v>1220</v>
      </c>
      <c r="H336" s="8"/>
      <c r="I336" s="8"/>
      <c r="J336" s="8"/>
    </row>
    <row r="337" spans="1:12">
      <c r="A337" s="4">
        <v>9536</v>
      </c>
      <c r="C337" s="3" t="s">
        <v>1220</v>
      </c>
      <c r="H337" s="8"/>
      <c r="I337" s="8"/>
      <c r="J337" s="8"/>
    </row>
    <row r="338" spans="1:12">
      <c r="A338" s="4">
        <v>9537</v>
      </c>
      <c r="B338" s="3" t="s">
        <v>3340</v>
      </c>
      <c r="C338" s="3" t="s">
        <v>1220</v>
      </c>
      <c r="D338" s="3" t="s">
        <v>19</v>
      </c>
      <c r="E338" s="3">
        <v>111787</v>
      </c>
      <c r="F338" s="3">
        <v>15771527065</v>
      </c>
      <c r="G338" s="3">
        <v>514739725</v>
      </c>
      <c r="H338" s="8" t="s">
        <v>3341</v>
      </c>
      <c r="I338" s="8" t="s">
        <v>3341</v>
      </c>
      <c r="J338" s="8"/>
      <c r="L338" s="37" t="s">
        <v>25</v>
      </c>
    </row>
    <row r="339" spans="1:12">
      <c r="A339" s="3">
        <v>9538</v>
      </c>
      <c r="C339" s="3" t="s">
        <v>1220</v>
      </c>
      <c r="H339" s="8"/>
      <c r="I339" s="8"/>
      <c r="J339" s="8"/>
    </row>
    <row r="340" spans="1:12">
      <c r="A340" s="3">
        <v>9539</v>
      </c>
      <c r="C340" s="3" t="s">
        <v>1220</v>
      </c>
      <c r="H340" s="8"/>
      <c r="I340" s="8"/>
      <c r="J340" s="8"/>
    </row>
    <row r="341" spans="1:12">
      <c r="A341" s="3">
        <v>9540</v>
      </c>
      <c r="B341" s="3" t="s">
        <v>877</v>
      </c>
      <c r="C341" s="3" t="s">
        <v>1220</v>
      </c>
      <c r="D341" s="3" t="s">
        <v>19</v>
      </c>
      <c r="E341" s="3">
        <v>109470</v>
      </c>
      <c r="F341" s="3">
        <v>14295522964</v>
      </c>
      <c r="G341" s="3">
        <v>495621136</v>
      </c>
      <c r="H341" s="8" t="s">
        <v>1682</v>
      </c>
      <c r="I341" s="8" t="s">
        <v>1682</v>
      </c>
      <c r="J341" s="8"/>
      <c r="L341" s="37" t="s">
        <v>25</v>
      </c>
    </row>
    <row r="342" spans="1:12">
      <c r="A342" s="3">
        <v>9541</v>
      </c>
      <c r="B342" s="3" t="s">
        <v>3347</v>
      </c>
      <c r="C342" s="3" t="s">
        <v>1220</v>
      </c>
      <c r="D342" s="3" t="s">
        <v>19</v>
      </c>
      <c r="E342" s="3">
        <v>111726</v>
      </c>
      <c r="F342" s="3">
        <v>15770496216</v>
      </c>
      <c r="G342" s="3">
        <v>514739821</v>
      </c>
      <c r="H342" s="8" t="s">
        <v>3348</v>
      </c>
      <c r="I342" s="8" t="s">
        <v>3348</v>
      </c>
      <c r="J342" s="8"/>
      <c r="L342" s="37" t="s">
        <v>25</v>
      </c>
    </row>
    <row r="343" spans="1:12">
      <c r="A343" s="4">
        <v>9542</v>
      </c>
      <c r="C343" s="3" t="s">
        <v>1220</v>
      </c>
      <c r="H343" s="8"/>
      <c r="I343" s="8"/>
      <c r="J343" s="8"/>
    </row>
    <row r="344" spans="1:12">
      <c r="A344" s="3">
        <v>9543</v>
      </c>
      <c r="B344" s="3" t="s">
        <v>3352</v>
      </c>
      <c r="C344" s="3" t="s">
        <v>1220</v>
      </c>
      <c r="D344" s="3" t="s">
        <v>19</v>
      </c>
      <c r="E344" s="3">
        <v>111735</v>
      </c>
      <c r="F344" s="3">
        <v>15770500333</v>
      </c>
      <c r="G344" s="3">
        <v>514739734</v>
      </c>
      <c r="H344" s="8" t="s">
        <v>3353</v>
      </c>
      <c r="I344" s="8" t="s">
        <v>3353</v>
      </c>
      <c r="J344" s="8"/>
      <c r="L344" s="37" t="s">
        <v>25</v>
      </c>
    </row>
    <row r="345" spans="1:12">
      <c r="A345" s="3">
        <v>9544</v>
      </c>
      <c r="C345" s="3" t="s">
        <v>1220</v>
      </c>
      <c r="H345" s="8"/>
      <c r="I345" s="8"/>
      <c r="J345" s="8"/>
    </row>
    <row r="346" spans="1:12">
      <c r="A346" s="3">
        <v>9545</v>
      </c>
      <c r="C346" s="3" t="s">
        <v>1220</v>
      </c>
      <c r="H346" s="8"/>
      <c r="I346" s="8"/>
      <c r="J346" s="8"/>
    </row>
    <row r="347" spans="1:12">
      <c r="A347" s="3">
        <v>9546</v>
      </c>
      <c r="B347" s="3" t="s">
        <v>3357</v>
      </c>
      <c r="C347" s="3" t="s">
        <v>1220</v>
      </c>
      <c r="D347" s="3" t="s">
        <v>19</v>
      </c>
      <c r="E347" s="3">
        <v>111796</v>
      </c>
      <c r="F347" s="3">
        <v>15771630206</v>
      </c>
      <c r="G347" s="3">
        <v>514739753</v>
      </c>
      <c r="H347" s="8" t="s">
        <v>3358</v>
      </c>
      <c r="I347" s="8" t="s">
        <v>3358</v>
      </c>
      <c r="J347" s="8"/>
      <c r="L347" s="37" t="s">
        <v>25</v>
      </c>
    </row>
    <row r="348" spans="1:12">
      <c r="A348" s="4">
        <v>9547</v>
      </c>
      <c r="C348" s="3" t="s">
        <v>1220</v>
      </c>
      <c r="H348" s="8"/>
      <c r="I348" s="8"/>
      <c r="J348" s="8"/>
    </row>
    <row r="349" spans="1:12">
      <c r="A349" s="3">
        <v>9548</v>
      </c>
      <c r="B349" s="3" t="s">
        <v>3362</v>
      </c>
      <c r="C349" s="3" t="s">
        <v>1220</v>
      </c>
      <c r="D349" s="3" t="s">
        <v>19</v>
      </c>
      <c r="E349" s="3">
        <v>111730</v>
      </c>
      <c r="F349" s="3">
        <v>15770499556</v>
      </c>
      <c r="G349" s="3">
        <v>514739909</v>
      </c>
      <c r="H349" s="8" t="s">
        <v>3363</v>
      </c>
      <c r="I349" s="8" t="s">
        <v>3363</v>
      </c>
      <c r="J349" s="8"/>
      <c r="L349" s="37" t="s">
        <v>25</v>
      </c>
    </row>
    <row r="350" spans="1:12">
      <c r="A350" s="3">
        <v>9549</v>
      </c>
      <c r="C350" s="3" t="s">
        <v>1220</v>
      </c>
      <c r="H350" s="8"/>
      <c r="I350" s="8"/>
      <c r="J350" s="8"/>
    </row>
    <row r="351" spans="1:12">
      <c r="A351" s="3">
        <v>9550</v>
      </c>
      <c r="C351" s="3" t="s">
        <v>1220</v>
      </c>
      <c r="H351" s="8"/>
      <c r="I351" s="8"/>
      <c r="J351" s="8"/>
    </row>
    <row r="352" spans="1:12">
      <c r="A352" s="3">
        <v>9551</v>
      </c>
      <c r="C352" s="3" t="s">
        <v>1220</v>
      </c>
      <c r="H352" s="8"/>
      <c r="I352" s="8"/>
      <c r="J352" s="8"/>
    </row>
    <row r="353" spans="1:12">
      <c r="A353" s="4">
        <v>9552</v>
      </c>
      <c r="B353" s="3" t="s">
        <v>3367</v>
      </c>
      <c r="C353" s="3" t="s">
        <v>1220</v>
      </c>
      <c r="D353" s="3" t="s">
        <v>19</v>
      </c>
      <c r="E353" s="3">
        <v>111795</v>
      </c>
      <c r="F353" s="3">
        <v>15771527073</v>
      </c>
      <c r="G353" s="3">
        <v>514739836</v>
      </c>
      <c r="H353" s="8" t="s">
        <v>3368</v>
      </c>
      <c r="I353" s="8" t="s">
        <v>3368</v>
      </c>
      <c r="J353" s="8"/>
      <c r="L353" s="37" t="s">
        <v>25</v>
      </c>
    </row>
    <row r="354" spans="1:12">
      <c r="A354" s="3">
        <v>9553</v>
      </c>
      <c r="B354" s="3" t="s">
        <v>1689</v>
      </c>
      <c r="C354" s="3" t="s">
        <v>1220</v>
      </c>
      <c r="D354" s="3" t="s">
        <v>19</v>
      </c>
      <c r="E354" s="3">
        <v>109561</v>
      </c>
      <c r="F354" s="3">
        <v>14295783131</v>
      </c>
      <c r="G354" s="3">
        <v>495621120</v>
      </c>
      <c r="H354" s="8" t="s">
        <v>1690</v>
      </c>
      <c r="I354" s="8" t="s">
        <v>1690</v>
      </c>
      <c r="J354" s="8"/>
      <c r="L354" s="37" t="s">
        <v>25</v>
      </c>
    </row>
    <row r="355" spans="1:12">
      <c r="A355" s="3">
        <v>9554</v>
      </c>
      <c r="C355" s="3" t="s">
        <v>1220</v>
      </c>
      <c r="H355" s="8"/>
      <c r="I355" s="8"/>
      <c r="J355" s="8"/>
    </row>
    <row r="356" spans="1:12">
      <c r="A356" s="3">
        <v>9555</v>
      </c>
      <c r="C356" s="3" t="s">
        <v>1220</v>
      </c>
      <c r="H356" s="8"/>
      <c r="I356" s="8"/>
      <c r="J356" s="8"/>
    </row>
    <row r="357" spans="1:12">
      <c r="A357" s="3">
        <v>9556</v>
      </c>
      <c r="B357" s="3" t="s">
        <v>3374</v>
      </c>
      <c r="C357" s="3" t="s">
        <v>1220</v>
      </c>
      <c r="D357" s="3" t="s">
        <v>19</v>
      </c>
      <c r="E357" s="3">
        <v>110055</v>
      </c>
      <c r="F357" s="3">
        <v>14742697529</v>
      </c>
      <c r="G357" s="3">
        <v>501459298</v>
      </c>
      <c r="H357" s="8" t="s">
        <v>3375</v>
      </c>
      <c r="I357" s="8" t="s">
        <v>3375</v>
      </c>
      <c r="J357" s="8"/>
      <c r="L357" s="37" t="s">
        <v>25</v>
      </c>
    </row>
    <row r="358" spans="1:12">
      <c r="A358" s="4">
        <v>9557</v>
      </c>
      <c r="B358" s="3" t="s">
        <v>3379</v>
      </c>
      <c r="C358" s="3" t="s">
        <v>1220</v>
      </c>
      <c r="D358" s="3" t="s">
        <v>19</v>
      </c>
      <c r="E358" s="3">
        <v>111797</v>
      </c>
      <c r="F358" s="3">
        <v>15771630207</v>
      </c>
      <c r="G358" s="3">
        <v>514739770</v>
      </c>
      <c r="H358" s="8" t="s">
        <v>3380</v>
      </c>
      <c r="I358" s="8" t="s">
        <v>3380</v>
      </c>
      <c r="J358" s="8"/>
      <c r="L358" s="37" t="s">
        <v>25</v>
      </c>
    </row>
    <row r="359" spans="1:12">
      <c r="A359" s="3">
        <v>9558</v>
      </c>
      <c r="B359" s="3" t="s">
        <v>3384</v>
      </c>
      <c r="C359" s="3" t="s">
        <v>1220</v>
      </c>
      <c r="D359" s="3" t="s">
        <v>19</v>
      </c>
      <c r="E359" s="3">
        <v>111830</v>
      </c>
      <c r="F359" s="3">
        <v>15775317967</v>
      </c>
      <c r="G359" s="3">
        <v>514739915</v>
      </c>
      <c r="H359" s="8" t="s">
        <v>3385</v>
      </c>
      <c r="I359" s="8" t="s">
        <v>3385</v>
      </c>
      <c r="J359" s="8"/>
      <c r="L359" s="37" t="s">
        <v>25</v>
      </c>
    </row>
    <row r="360" spans="1:12">
      <c r="A360" s="4">
        <v>9559</v>
      </c>
      <c r="C360" s="3" t="s">
        <v>1220</v>
      </c>
      <c r="H360" s="8"/>
      <c r="I360" s="8"/>
      <c r="J360" s="8"/>
    </row>
    <row r="361" spans="1:12">
      <c r="A361" s="3">
        <v>9560</v>
      </c>
      <c r="C361" s="3" t="s">
        <v>1220</v>
      </c>
      <c r="H361" s="8"/>
      <c r="I361" s="8"/>
      <c r="J361" s="8"/>
    </row>
    <row r="362" spans="1:12">
      <c r="A362" s="3">
        <v>9561</v>
      </c>
      <c r="B362" s="3" t="s">
        <v>3389</v>
      </c>
      <c r="C362" s="3" t="s">
        <v>1220</v>
      </c>
      <c r="D362" s="3" t="s">
        <v>19</v>
      </c>
      <c r="E362" s="3">
        <v>111727</v>
      </c>
      <c r="F362" s="3">
        <v>15770499553</v>
      </c>
      <c r="G362" s="3">
        <v>514739869</v>
      </c>
      <c r="H362" s="8" t="s">
        <v>3390</v>
      </c>
      <c r="I362" s="8" t="s">
        <v>3390</v>
      </c>
      <c r="J362" s="8"/>
      <c r="L362" s="37" t="s">
        <v>25</v>
      </c>
    </row>
    <row r="363" spans="1:12">
      <c r="A363" s="3">
        <v>9562</v>
      </c>
      <c r="C363" s="3" t="s">
        <v>1220</v>
      </c>
      <c r="H363" s="8"/>
      <c r="I363" s="8"/>
      <c r="J363" s="8"/>
    </row>
    <row r="364" spans="1:12">
      <c r="A364" s="3">
        <v>9563</v>
      </c>
      <c r="C364" s="3" t="s">
        <v>1220</v>
      </c>
      <c r="H364" s="8"/>
      <c r="I364" s="8"/>
      <c r="J364" s="8"/>
    </row>
    <row r="365" spans="1:12">
      <c r="A365" s="4">
        <v>9564</v>
      </c>
      <c r="B365" s="3" t="s">
        <v>3394</v>
      </c>
      <c r="C365" s="3" t="s">
        <v>1220</v>
      </c>
      <c r="D365" s="3" t="s">
        <v>19</v>
      </c>
      <c r="E365" s="3">
        <v>111700</v>
      </c>
      <c r="F365" s="3">
        <v>15770479302</v>
      </c>
      <c r="G365" s="3">
        <v>514739811</v>
      </c>
      <c r="H365" s="8" t="s">
        <v>3395</v>
      </c>
      <c r="I365" s="8" t="s">
        <v>3395</v>
      </c>
      <c r="J365" s="8"/>
      <c r="L365" s="37" t="s">
        <v>25</v>
      </c>
    </row>
    <row r="366" spans="1:12">
      <c r="A366" s="3">
        <v>9565</v>
      </c>
      <c r="C366" s="3" t="s">
        <v>1220</v>
      </c>
      <c r="H366" s="8"/>
      <c r="I366" s="8"/>
      <c r="J366" s="8"/>
    </row>
    <row r="367" spans="1:12">
      <c r="A367" s="3">
        <v>9566</v>
      </c>
      <c r="C367" s="3" t="s">
        <v>1220</v>
      </c>
      <c r="H367" s="8"/>
      <c r="I367" s="8"/>
      <c r="J367" s="8"/>
    </row>
    <row r="368" spans="1:12">
      <c r="A368" s="3">
        <v>9567</v>
      </c>
      <c r="B368" s="3" t="s">
        <v>3399</v>
      </c>
      <c r="C368" s="3" t="s">
        <v>1220</v>
      </c>
      <c r="D368" s="3" t="s">
        <v>19</v>
      </c>
      <c r="E368" s="3">
        <v>110089</v>
      </c>
      <c r="F368" s="3">
        <v>14742926836</v>
      </c>
      <c r="G368" s="3">
        <v>501459332</v>
      </c>
      <c r="H368" s="8" t="s">
        <v>3400</v>
      </c>
      <c r="I368" s="8" t="s">
        <v>3400</v>
      </c>
      <c r="J368" s="8"/>
      <c r="L368" s="37" t="s">
        <v>25</v>
      </c>
    </row>
    <row r="369" spans="1:12">
      <c r="A369" s="3">
        <v>9568</v>
      </c>
      <c r="B369" s="3" t="s">
        <v>3404</v>
      </c>
      <c r="C369" s="3" t="s">
        <v>1220</v>
      </c>
      <c r="D369" s="3" t="s">
        <v>19</v>
      </c>
      <c r="E369" s="3">
        <v>111785</v>
      </c>
      <c r="F369" s="3">
        <v>15771527063</v>
      </c>
      <c r="G369" s="3">
        <v>514739827</v>
      </c>
      <c r="H369" s="8" t="s">
        <v>3405</v>
      </c>
      <c r="I369" s="8" t="s">
        <v>3405</v>
      </c>
      <c r="J369" s="8"/>
      <c r="L369" s="37" t="s">
        <v>25</v>
      </c>
    </row>
    <row r="370" spans="1:12">
      <c r="A370" s="4">
        <v>9569</v>
      </c>
      <c r="C370" s="3" t="s">
        <v>1220</v>
      </c>
      <c r="H370" s="8"/>
      <c r="I370" s="8"/>
      <c r="J370" s="8"/>
    </row>
    <row r="371" spans="1:12">
      <c r="A371" s="3">
        <v>9570</v>
      </c>
      <c r="C371" s="3" t="s">
        <v>1220</v>
      </c>
      <c r="H371" s="8"/>
      <c r="I371" s="8"/>
      <c r="J371" s="8"/>
    </row>
    <row r="372" spans="1:12">
      <c r="A372" s="3">
        <v>9571</v>
      </c>
      <c r="B372" s="3" t="s">
        <v>3409</v>
      </c>
      <c r="C372" s="3" t="s">
        <v>1220</v>
      </c>
      <c r="D372" s="3" t="s">
        <v>19</v>
      </c>
      <c r="E372" s="3">
        <v>111840</v>
      </c>
      <c r="F372" s="3">
        <v>15775357183</v>
      </c>
      <c r="G372" s="3">
        <v>514739825</v>
      </c>
      <c r="H372" s="8" t="s">
        <v>3410</v>
      </c>
      <c r="I372" s="8" t="s">
        <v>3410</v>
      </c>
      <c r="J372" s="8"/>
      <c r="L372" s="37" t="s">
        <v>25</v>
      </c>
    </row>
    <row r="373" spans="1:12">
      <c r="A373" s="3">
        <v>9572</v>
      </c>
      <c r="B373" s="3" t="s">
        <v>3414</v>
      </c>
      <c r="C373" s="3" t="s">
        <v>1220</v>
      </c>
      <c r="D373" s="3" t="s">
        <v>19</v>
      </c>
      <c r="E373" s="3">
        <v>110088</v>
      </c>
      <c r="F373" s="3">
        <v>14742926424</v>
      </c>
      <c r="G373" s="3">
        <v>501459317</v>
      </c>
      <c r="H373" s="8" t="s">
        <v>3415</v>
      </c>
      <c r="I373" s="8" t="s">
        <v>3415</v>
      </c>
      <c r="J373" s="8"/>
      <c r="L373" s="37" t="s">
        <v>25</v>
      </c>
    </row>
    <row r="374" spans="1:12">
      <c r="A374" s="3">
        <v>9573</v>
      </c>
      <c r="C374" s="3" t="s">
        <v>1220</v>
      </c>
      <c r="H374" s="8"/>
      <c r="I374" s="8"/>
      <c r="J374" s="8"/>
    </row>
    <row r="375" spans="1:12">
      <c r="A375" s="4">
        <v>9574</v>
      </c>
      <c r="C375" s="3" t="s">
        <v>1220</v>
      </c>
      <c r="H375" s="8"/>
      <c r="I375" s="8"/>
      <c r="J375" s="8"/>
    </row>
    <row r="376" spans="1:12">
      <c r="A376" s="3">
        <v>9575</v>
      </c>
      <c r="C376" s="3" t="s">
        <v>1220</v>
      </c>
      <c r="H376" s="8"/>
      <c r="I376" s="8"/>
      <c r="J376" s="8"/>
    </row>
    <row r="377" spans="1:12">
      <c r="A377" s="3">
        <v>9576</v>
      </c>
      <c r="C377" s="3" t="s">
        <v>1220</v>
      </c>
      <c r="H377" s="8"/>
      <c r="I377" s="8"/>
      <c r="J377" s="8"/>
    </row>
    <row r="378" spans="1:12">
      <c r="A378" s="3">
        <v>9577</v>
      </c>
      <c r="C378" s="3" t="s">
        <v>1220</v>
      </c>
      <c r="H378" s="8"/>
      <c r="I378" s="8"/>
      <c r="J378" s="8"/>
    </row>
    <row r="379" spans="1:12">
      <c r="A379" s="3">
        <v>9578</v>
      </c>
      <c r="B379" s="3" t="s">
        <v>3419</v>
      </c>
      <c r="C379" s="3" t="s">
        <v>1220</v>
      </c>
      <c r="D379" s="3" t="s">
        <v>19</v>
      </c>
      <c r="E379" s="3">
        <v>110074</v>
      </c>
      <c r="F379" s="3">
        <v>14742753020</v>
      </c>
      <c r="G379" s="3">
        <v>501459319</v>
      </c>
      <c r="H379" s="8" t="s">
        <v>3420</v>
      </c>
      <c r="I379" s="8" t="s">
        <v>3420</v>
      </c>
      <c r="J379" s="8"/>
      <c r="L379" s="37" t="s">
        <v>25</v>
      </c>
    </row>
    <row r="380" spans="1:12">
      <c r="A380" s="4">
        <v>9579</v>
      </c>
      <c r="B380" s="3" t="s">
        <v>3424</v>
      </c>
      <c r="C380" s="3" t="s">
        <v>1220</v>
      </c>
      <c r="D380" s="3" t="s">
        <v>19</v>
      </c>
      <c r="E380" s="3">
        <v>109550</v>
      </c>
      <c r="F380" s="3">
        <v>14295719073</v>
      </c>
      <c r="G380" s="3">
        <v>495621242</v>
      </c>
      <c r="H380" s="8" t="s">
        <v>3425</v>
      </c>
      <c r="I380" s="8" t="s">
        <v>3425</v>
      </c>
      <c r="J380" s="8"/>
      <c r="L380" s="37" t="s">
        <v>25</v>
      </c>
    </row>
    <row r="381" spans="1:12">
      <c r="A381" s="3">
        <v>9580</v>
      </c>
      <c r="B381" s="3" t="s">
        <v>3429</v>
      </c>
      <c r="C381" s="3" t="s">
        <v>1220</v>
      </c>
      <c r="D381" s="3" t="s">
        <v>19</v>
      </c>
      <c r="E381" s="3">
        <v>111824</v>
      </c>
      <c r="F381" s="3">
        <v>15775262348</v>
      </c>
      <c r="G381" s="3">
        <v>514739877</v>
      </c>
      <c r="H381" s="8" t="s">
        <v>3430</v>
      </c>
      <c r="I381" s="8" t="s">
        <v>3430</v>
      </c>
      <c r="J381" s="8"/>
      <c r="L381" s="37" t="s">
        <v>25</v>
      </c>
    </row>
    <row r="382" spans="1:12">
      <c r="A382" s="4">
        <v>9581</v>
      </c>
      <c r="C382" s="3" t="s">
        <v>1220</v>
      </c>
      <c r="H382" s="8"/>
      <c r="I382" s="8"/>
      <c r="J382" s="8"/>
    </row>
    <row r="383" spans="1:12">
      <c r="A383" s="3">
        <v>9582</v>
      </c>
      <c r="C383" s="3" t="s">
        <v>1220</v>
      </c>
      <c r="H383" s="8"/>
      <c r="I383" s="8"/>
      <c r="J383" s="8"/>
    </row>
    <row r="384" spans="1:12">
      <c r="A384" s="3">
        <v>9583</v>
      </c>
      <c r="C384" s="3" t="s">
        <v>1220</v>
      </c>
      <c r="H384" s="8"/>
      <c r="I384" s="8"/>
      <c r="J384" s="8"/>
    </row>
    <row r="385" spans="1:12">
      <c r="A385" s="3">
        <v>9584</v>
      </c>
      <c r="C385" s="3" t="s">
        <v>1220</v>
      </c>
      <c r="H385" s="8"/>
      <c r="I385" s="8"/>
      <c r="J385" s="8"/>
    </row>
    <row r="386" spans="1:12">
      <c r="A386" s="3">
        <v>9585</v>
      </c>
      <c r="B386" s="3" t="s">
        <v>263</v>
      </c>
      <c r="C386" s="3" t="s">
        <v>1220</v>
      </c>
      <c r="D386" s="3" t="s">
        <v>19</v>
      </c>
      <c r="E386" s="3">
        <v>101610</v>
      </c>
      <c r="F386" s="3">
        <v>10158686264</v>
      </c>
      <c r="G386" s="3">
        <v>442803397</v>
      </c>
      <c r="H386" s="8" t="s">
        <v>3434</v>
      </c>
      <c r="I386" s="8" t="s">
        <v>3434</v>
      </c>
      <c r="J386" s="8"/>
      <c r="L386" s="37" t="s">
        <v>25</v>
      </c>
    </row>
    <row r="387" spans="1:12">
      <c r="A387" s="4">
        <v>9586</v>
      </c>
      <c r="B387" s="3" t="s">
        <v>3438</v>
      </c>
      <c r="C387" s="3" t="s">
        <v>1220</v>
      </c>
      <c r="D387" s="3" t="s">
        <v>19</v>
      </c>
      <c r="E387" s="3">
        <v>111872</v>
      </c>
      <c r="F387" s="3">
        <v>15775472847</v>
      </c>
      <c r="G387" s="3">
        <v>514739833</v>
      </c>
      <c r="H387" s="8" t="s">
        <v>3439</v>
      </c>
      <c r="I387" s="8" t="s">
        <v>3439</v>
      </c>
      <c r="J387" s="8"/>
      <c r="L387" s="37" t="s">
        <v>25</v>
      </c>
    </row>
    <row r="388" spans="1:12">
      <c r="A388" s="3">
        <v>9587</v>
      </c>
      <c r="C388" s="3" t="s">
        <v>1220</v>
      </c>
      <c r="H388" s="8"/>
      <c r="I388" s="8"/>
      <c r="J388" s="8"/>
    </row>
    <row r="389" spans="1:12">
      <c r="A389" s="3">
        <v>9588</v>
      </c>
      <c r="C389" s="3" t="s">
        <v>1220</v>
      </c>
      <c r="H389" s="8"/>
      <c r="I389" s="8"/>
      <c r="J389" s="8"/>
    </row>
    <row r="390" spans="1:12">
      <c r="A390" s="3">
        <v>9589</v>
      </c>
      <c r="B390" s="3" t="s">
        <v>1753</v>
      </c>
      <c r="C390" s="3" t="s">
        <v>1220</v>
      </c>
      <c r="D390" s="3" t="s">
        <v>19</v>
      </c>
      <c r="E390" s="3">
        <v>109454</v>
      </c>
      <c r="F390" s="3">
        <v>14295459044</v>
      </c>
      <c r="G390" s="3">
        <v>495621103</v>
      </c>
      <c r="H390" s="8" t="s">
        <v>1754</v>
      </c>
      <c r="I390" s="8" t="s">
        <v>1754</v>
      </c>
      <c r="J390" s="8"/>
      <c r="L390" s="37" t="s">
        <v>25</v>
      </c>
    </row>
    <row r="391" spans="1:12">
      <c r="A391" s="3">
        <v>9590</v>
      </c>
      <c r="B391" s="3" t="s">
        <v>1749</v>
      </c>
      <c r="C391" s="3" t="s">
        <v>1220</v>
      </c>
      <c r="D391" s="3" t="s">
        <v>19</v>
      </c>
      <c r="E391" s="3">
        <v>109541</v>
      </c>
      <c r="F391" s="3">
        <v>14295648081</v>
      </c>
      <c r="G391" s="3">
        <v>495621130</v>
      </c>
      <c r="H391" s="8" t="s">
        <v>1750</v>
      </c>
      <c r="I391" s="8" t="s">
        <v>1750</v>
      </c>
      <c r="J391" s="8"/>
      <c r="L391" s="37" t="s">
        <v>25</v>
      </c>
    </row>
    <row r="392" spans="1:12">
      <c r="A392" s="4">
        <v>9591</v>
      </c>
      <c r="C392" s="3" t="s">
        <v>1220</v>
      </c>
      <c r="H392" s="8"/>
      <c r="I392" s="8"/>
      <c r="J392" s="8"/>
    </row>
    <row r="393" spans="1:12">
      <c r="A393" s="3">
        <v>9592</v>
      </c>
      <c r="C393" s="3" t="s">
        <v>1220</v>
      </c>
      <c r="H393" s="8"/>
      <c r="I393" s="8"/>
      <c r="J393" s="8"/>
    </row>
    <row r="394" spans="1:12">
      <c r="A394" s="3">
        <v>9593</v>
      </c>
      <c r="B394" s="3" t="s">
        <v>3447</v>
      </c>
      <c r="C394" s="3" t="s">
        <v>1220</v>
      </c>
      <c r="D394" s="3" t="s">
        <v>19</v>
      </c>
      <c r="E394" s="3">
        <v>111731</v>
      </c>
      <c r="F394" s="3">
        <v>15770500088</v>
      </c>
      <c r="G394" s="3">
        <v>514739726</v>
      </c>
      <c r="H394" s="8" t="s">
        <v>3448</v>
      </c>
      <c r="I394" s="8" t="s">
        <v>3448</v>
      </c>
      <c r="J394" s="8"/>
      <c r="L394" s="37" t="s">
        <v>25</v>
      </c>
    </row>
    <row r="395" spans="1:12">
      <c r="A395" s="3">
        <v>9594</v>
      </c>
      <c r="B395" s="3" t="s">
        <v>274</v>
      </c>
      <c r="C395" s="3" t="s">
        <v>1220</v>
      </c>
      <c r="D395" s="3" t="s">
        <v>19</v>
      </c>
      <c r="E395" s="3">
        <v>111792</v>
      </c>
      <c r="F395" s="3">
        <v>15771527070</v>
      </c>
      <c r="G395" s="3">
        <v>514739872</v>
      </c>
      <c r="H395" s="8" t="s">
        <v>3452</v>
      </c>
      <c r="I395" s="8" t="s">
        <v>3452</v>
      </c>
      <c r="J395" s="8"/>
      <c r="L395" s="37" t="s">
        <v>25</v>
      </c>
    </row>
    <row r="396" spans="1:12">
      <c r="A396" s="3">
        <v>9595</v>
      </c>
      <c r="C396" s="3" t="s">
        <v>1220</v>
      </c>
      <c r="H396" s="8"/>
      <c r="I396" s="8"/>
      <c r="J396" s="8"/>
    </row>
    <row r="397" spans="1:12">
      <c r="A397" s="4">
        <v>9596</v>
      </c>
      <c r="C397" s="3" t="s">
        <v>1220</v>
      </c>
      <c r="H397" s="8"/>
      <c r="I397" s="8"/>
      <c r="J397" s="8"/>
    </row>
    <row r="398" spans="1:12">
      <c r="A398" s="3">
        <v>9597</v>
      </c>
      <c r="B398" s="3" t="s">
        <v>3456</v>
      </c>
      <c r="C398" s="3" t="s">
        <v>1220</v>
      </c>
      <c r="D398" s="3" t="s">
        <v>19</v>
      </c>
      <c r="E398" s="3">
        <v>111895</v>
      </c>
      <c r="F398" s="3">
        <v>15775598838</v>
      </c>
      <c r="G398" s="3">
        <v>514739881</v>
      </c>
      <c r="H398" s="8" t="s">
        <v>3457</v>
      </c>
      <c r="I398" s="8" t="s">
        <v>3457</v>
      </c>
      <c r="J398" s="8"/>
      <c r="L398" s="37" t="s">
        <v>25</v>
      </c>
    </row>
    <row r="399" spans="1:12">
      <c r="A399" s="3">
        <v>9598</v>
      </c>
      <c r="C399" s="3" t="s">
        <v>1220</v>
      </c>
      <c r="H399" s="8"/>
      <c r="I399" s="8"/>
      <c r="J399" s="8"/>
    </row>
    <row r="400" spans="1:12">
      <c r="A400" s="3">
        <v>9599</v>
      </c>
      <c r="C400" s="3" t="s">
        <v>1220</v>
      </c>
      <c r="H400" s="8"/>
      <c r="I400" s="8"/>
      <c r="J400" s="8"/>
    </row>
    <row r="401" spans="1:12">
      <c r="A401" s="3">
        <v>9600</v>
      </c>
      <c r="B401" s="3" t="s">
        <v>1741</v>
      </c>
      <c r="C401" s="3" t="s">
        <v>1220</v>
      </c>
      <c r="D401" s="3" t="s">
        <v>19</v>
      </c>
      <c r="E401" s="3">
        <v>109500</v>
      </c>
      <c r="F401" s="3">
        <v>14295553713</v>
      </c>
      <c r="G401" s="3">
        <v>495621091</v>
      </c>
      <c r="H401" s="8" t="s">
        <v>1742</v>
      </c>
      <c r="I401" s="8" t="s">
        <v>1742</v>
      </c>
      <c r="J401" s="8"/>
      <c r="L401" s="37" t="s">
        <v>25</v>
      </c>
    </row>
    <row r="402" spans="1:12">
      <c r="A402" s="4">
        <v>9601</v>
      </c>
      <c r="C402" s="3" t="s">
        <v>1220</v>
      </c>
      <c r="H402" s="8"/>
      <c r="I402" s="8"/>
      <c r="J402" s="8"/>
    </row>
    <row r="403" spans="1:12">
      <c r="A403" s="3">
        <v>9602</v>
      </c>
      <c r="C403" s="3" t="s">
        <v>1220</v>
      </c>
      <c r="H403" s="8"/>
      <c r="I403" s="8"/>
      <c r="J403" s="8"/>
    </row>
    <row r="404" spans="1:12">
      <c r="A404" s="4">
        <v>9603</v>
      </c>
      <c r="B404" s="3" t="s">
        <v>3463</v>
      </c>
      <c r="C404" s="3" t="s">
        <v>1220</v>
      </c>
      <c r="D404" s="3" t="s">
        <v>19</v>
      </c>
      <c r="E404" s="3">
        <v>109498</v>
      </c>
      <c r="F404" s="3">
        <v>14295552713</v>
      </c>
      <c r="G404" s="3">
        <v>495621081</v>
      </c>
      <c r="H404" s="8" t="s">
        <v>3464</v>
      </c>
      <c r="I404" s="8" t="s">
        <v>3464</v>
      </c>
      <c r="J404" s="8"/>
      <c r="L404" s="37" t="s">
        <v>25</v>
      </c>
    </row>
    <row r="405" spans="1:12">
      <c r="A405" s="3">
        <v>9604</v>
      </c>
      <c r="B405" s="3" t="s">
        <v>3468</v>
      </c>
      <c r="C405" s="3" t="s">
        <v>1220</v>
      </c>
      <c r="D405" s="3" t="s">
        <v>19</v>
      </c>
      <c r="E405" s="3">
        <v>110082</v>
      </c>
      <c r="F405" s="3">
        <v>14742924860</v>
      </c>
      <c r="G405" s="3">
        <v>501459301</v>
      </c>
      <c r="H405" s="8" t="s">
        <v>3469</v>
      </c>
      <c r="I405" s="8" t="s">
        <v>3469</v>
      </c>
      <c r="J405" s="8"/>
      <c r="L405" s="37" t="s">
        <v>25</v>
      </c>
    </row>
    <row r="406" spans="1:12">
      <c r="A406" s="3">
        <v>9605</v>
      </c>
      <c r="C406" s="3" t="s">
        <v>1220</v>
      </c>
      <c r="H406" s="8"/>
      <c r="I406" s="8"/>
      <c r="J406" s="8"/>
    </row>
    <row r="407" spans="1:12">
      <c r="A407" s="3">
        <v>9606</v>
      </c>
      <c r="C407" s="3" t="s">
        <v>1220</v>
      </c>
      <c r="H407" s="8"/>
      <c r="I407" s="8"/>
      <c r="J407" s="8"/>
    </row>
    <row r="408" spans="1:12">
      <c r="A408" s="3">
        <v>9607</v>
      </c>
      <c r="B408" s="3" t="s">
        <v>3473</v>
      </c>
      <c r="C408" s="3" t="s">
        <v>1220</v>
      </c>
      <c r="D408" s="3" t="s">
        <v>19</v>
      </c>
      <c r="E408" s="3">
        <v>110052</v>
      </c>
      <c r="F408" s="3">
        <v>14742695641</v>
      </c>
      <c r="G408" s="3">
        <v>501459322</v>
      </c>
      <c r="H408" s="8" t="s">
        <v>3474</v>
      </c>
      <c r="I408" s="8" t="s">
        <v>3474</v>
      </c>
      <c r="J408" s="8"/>
      <c r="L408" s="37" t="s">
        <v>25</v>
      </c>
    </row>
    <row r="409" spans="1:12">
      <c r="A409" s="4">
        <v>9608</v>
      </c>
      <c r="B409" s="3" t="s">
        <v>3478</v>
      </c>
      <c r="C409" s="3" t="s">
        <v>1220</v>
      </c>
      <c r="D409" s="3" t="s">
        <v>19</v>
      </c>
      <c r="E409" s="3">
        <v>111767</v>
      </c>
      <c r="F409" s="3">
        <v>15770541372</v>
      </c>
      <c r="G409" s="3">
        <v>514739732</v>
      </c>
      <c r="H409" s="8" t="s">
        <v>3479</v>
      </c>
      <c r="I409" s="8" t="s">
        <v>3479</v>
      </c>
      <c r="J409" s="8"/>
      <c r="L409" s="37" t="s">
        <v>25</v>
      </c>
    </row>
    <row r="410" spans="1:12">
      <c r="A410" s="3">
        <v>9609</v>
      </c>
      <c r="C410" s="3" t="s">
        <v>1220</v>
      </c>
      <c r="H410" s="8"/>
      <c r="I410" s="8"/>
      <c r="J410" s="8"/>
    </row>
    <row r="411" spans="1:12">
      <c r="A411" s="3">
        <v>9610</v>
      </c>
      <c r="C411" s="3" t="s">
        <v>1220</v>
      </c>
      <c r="H411" s="8"/>
      <c r="I411" s="8"/>
      <c r="J411" s="8"/>
    </row>
    <row r="412" spans="1:12">
      <c r="A412" s="3">
        <v>9611</v>
      </c>
      <c r="B412" s="3" t="s">
        <v>1772</v>
      </c>
      <c r="C412" s="3" t="s">
        <v>1220</v>
      </c>
      <c r="D412" s="3" t="s">
        <v>19</v>
      </c>
      <c r="E412" s="3">
        <v>109494</v>
      </c>
      <c r="F412" s="3">
        <v>14295550208</v>
      </c>
      <c r="G412" s="3">
        <v>495621117</v>
      </c>
      <c r="H412" s="8" t="s">
        <v>3483</v>
      </c>
      <c r="I412" s="8" t="s">
        <v>3483</v>
      </c>
      <c r="J412" s="8"/>
      <c r="L412" s="37" t="s">
        <v>25</v>
      </c>
    </row>
    <row r="413" spans="1:12">
      <c r="A413" s="3">
        <v>9612</v>
      </c>
      <c r="C413" s="3" t="s">
        <v>1220</v>
      </c>
      <c r="H413" s="8"/>
      <c r="I413" s="8"/>
      <c r="J413" s="8"/>
    </row>
    <row r="414" spans="1:12">
      <c r="A414" s="4">
        <v>9613</v>
      </c>
      <c r="C414" s="3" t="s">
        <v>1220</v>
      </c>
      <c r="H414" s="8"/>
      <c r="I414" s="8"/>
      <c r="J414" s="8"/>
    </row>
    <row r="415" spans="1:12">
      <c r="A415" s="3">
        <v>9614</v>
      </c>
      <c r="B415" s="3" t="s">
        <v>866</v>
      </c>
      <c r="C415" s="3" t="s">
        <v>1220</v>
      </c>
      <c r="D415" s="3" t="s">
        <v>19</v>
      </c>
      <c r="E415" s="3">
        <v>111882</v>
      </c>
      <c r="F415" s="3">
        <v>15775548100</v>
      </c>
      <c r="G415" s="3">
        <v>514739768</v>
      </c>
      <c r="H415" s="8" t="s">
        <v>3486</v>
      </c>
      <c r="I415" s="8" t="s">
        <v>3486</v>
      </c>
      <c r="J415" s="8"/>
      <c r="L415" s="37" t="s">
        <v>25</v>
      </c>
    </row>
    <row r="416" spans="1:12">
      <c r="A416" s="3">
        <v>9615</v>
      </c>
      <c r="B416" s="3" t="s">
        <v>3490</v>
      </c>
      <c r="C416" s="3" t="s">
        <v>1220</v>
      </c>
      <c r="D416" s="3" t="s">
        <v>19</v>
      </c>
      <c r="E416" s="3">
        <v>111780</v>
      </c>
      <c r="F416" s="3">
        <v>15770546351</v>
      </c>
      <c r="G416" s="3">
        <v>514739879</v>
      </c>
      <c r="H416" s="8" t="s">
        <v>3491</v>
      </c>
      <c r="I416" s="8" t="s">
        <v>3491</v>
      </c>
      <c r="J416" s="8"/>
      <c r="L416" s="37" t="s">
        <v>25</v>
      </c>
    </row>
    <row r="417" spans="1:12">
      <c r="A417" s="3">
        <v>9616</v>
      </c>
      <c r="C417" s="3" t="s">
        <v>1220</v>
      </c>
      <c r="H417" s="8"/>
      <c r="I417" s="8"/>
      <c r="J417" s="8"/>
    </row>
    <row r="418" spans="1:12">
      <c r="A418" s="3">
        <v>9617</v>
      </c>
      <c r="C418" s="3" t="s">
        <v>1220</v>
      </c>
      <c r="H418" s="8"/>
      <c r="I418" s="8"/>
      <c r="J418" s="8"/>
    </row>
    <row r="419" spans="1:12">
      <c r="A419" s="4">
        <v>9618</v>
      </c>
      <c r="B419" s="3" t="s">
        <v>3495</v>
      </c>
      <c r="C419" s="3" t="s">
        <v>1220</v>
      </c>
      <c r="D419" s="3" t="s">
        <v>19</v>
      </c>
      <c r="E419" s="3">
        <v>111847</v>
      </c>
      <c r="F419" s="3">
        <v>15775357190</v>
      </c>
      <c r="G419" s="3">
        <v>514739935</v>
      </c>
      <c r="H419" s="8" t="s">
        <v>3496</v>
      </c>
      <c r="I419" s="8" t="s">
        <v>3496</v>
      </c>
      <c r="J419" s="8"/>
      <c r="L419" s="37" t="s">
        <v>25</v>
      </c>
    </row>
    <row r="420" spans="1:12">
      <c r="A420" s="3">
        <v>9619</v>
      </c>
      <c r="C420" s="3" t="s">
        <v>1220</v>
      </c>
      <c r="H420" s="8"/>
      <c r="I420" s="8"/>
      <c r="J420" s="8"/>
    </row>
    <row r="421" spans="1:12">
      <c r="A421" s="3">
        <v>9620</v>
      </c>
      <c r="C421" s="3" t="s">
        <v>1220</v>
      </c>
      <c r="H421" s="8"/>
      <c r="I421" s="8"/>
      <c r="J421" s="8"/>
    </row>
    <row r="422" spans="1:12">
      <c r="A422" s="3">
        <v>9621</v>
      </c>
      <c r="B422" s="3" t="s">
        <v>1776</v>
      </c>
      <c r="C422" s="3" t="s">
        <v>1220</v>
      </c>
      <c r="D422" s="3" t="s">
        <v>19</v>
      </c>
      <c r="E422" s="3">
        <v>109468</v>
      </c>
      <c r="F422" s="3">
        <v>14295519770</v>
      </c>
      <c r="G422" s="3">
        <v>495621170</v>
      </c>
      <c r="H422" s="8" t="s">
        <v>3500</v>
      </c>
      <c r="I422" s="8" t="s">
        <v>3500</v>
      </c>
      <c r="J422" s="8"/>
      <c r="L422" s="37" t="s">
        <v>25</v>
      </c>
    </row>
    <row r="423" spans="1:12">
      <c r="A423" s="3">
        <v>9622</v>
      </c>
      <c r="B423" s="3" t="s">
        <v>3503</v>
      </c>
      <c r="C423" s="3" t="s">
        <v>1220</v>
      </c>
      <c r="D423" s="3" t="s">
        <v>19</v>
      </c>
      <c r="E423" s="3">
        <v>111768</v>
      </c>
      <c r="F423" s="3">
        <v>15770541936</v>
      </c>
      <c r="G423" s="3">
        <v>514739913</v>
      </c>
      <c r="H423" s="8" t="s">
        <v>3504</v>
      </c>
      <c r="I423" s="8" t="s">
        <v>3504</v>
      </c>
      <c r="J423" s="8"/>
      <c r="L423" s="37" t="s">
        <v>25</v>
      </c>
    </row>
    <row r="424" spans="1:12">
      <c r="A424" s="4">
        <v>9623</v>
      </c>
      <c r="B424" s="3" t="s">
        <v>3508</v>
      </c>
      <c r="C424" s="3" t="s">
        <v>1220</v>
      </c>
      <c r="D424" s="3" t="s">
        <v>19</v>
      </c>
      <c r="E424" s="3">
        <v>111773</v>
      </c>
      <c r="F424" s="3">
        <v>15770543794</v>
      </c>
      <c r="G424" s="3">
        <v>514739884</v>
      </c>
      <c r="H424" s="8" t="s">
        <v>3509</v>
      </c>
      <c r="I424" s="8" t="s">
        <v>3509</v>
      </c>
      <c r="J424" s="8"/>
      <c r="L424" s="37" t="s">
        <v>25</v>
      </c>
    </row>
    <row r="425" spans="1:12">
      <c r="A425" s="3">
        <v>9624</v>
      </c>
      <c r="B425" s="3" t="s">
        <v>3513</v>
      </c>
      <c r="C425" s="3" t="s">
        <v>1220</v>
      </c>
      <c r="D425" s="3" t="s">
        <v>19</v>
      </c>
      <c r="E425" s="3">
        <v>111803</v>
      </c>
      <c r="F425" s="3">
        <v>15771774342</v>
      </c>
      <c r="G425" s="3">
        <v>514739740</v>
      </c>
      <c r="H425" s="8" t="s">
        <v>3514</v>
      </c>
      <c r="I425" s="8" t="s">
        <v>3514</v>
      </c>
      <c r="J425" s="8"/>
      <c r="L425" s="37" t="s">
        <v>25</v>
      </c>
    </row>
    <row r="426" spans="1:12">
      <c r="A426" s="3">
        <v>9625</v>
      </c>
      <c r="C426" s="3" t="s">
        <v>1220</v>
      </c>
      <c r="H426" s="8"/>
      <c r="I426" s="8"/>
      <c r="J426" s="8"/>
    </row>
    <row r="427" spans="1:12">
      <c r="A427" s="4">
        <v>9626</v>
      </c>
      <c r="B427" s="3" t="s">
        <v>3518</v>
      </c>
      <c r="C427" s="3" t="s">
        <v>1220</v>
      </c>
      <c r="D427" s="3" t="s">
        <v>19</v>
      </c>
      <c r="E427" s="3">
        <v>111831</v>
      </c>
      <c r="F427" s="3">
        <v>15775317968</v>
      </c>
      <c r="G427" s="3">
        <v>514739882</v>
      </c>
      <c r="H427" s="8" t="s">
        <v>3519</v>
      </c>
      <c r="I427" s="8" t="s">
        <v>3519</v>
      </c>
      <c r="J427" s="8"/>
      <c r="L427" s="37" t="s">
        <v>25</v>
      </c>
    </row>
    <row r="428" spans="1:12">
      <c r="A428" s="3">
        <v>9627</v>
      </c>
      <c r="C428" s="3" t="s">
        <v>1220</v>
      </c>
      <c r="H428" s="8"/>
      <c r="I428" s="8"/>
      <c r="J428" s="8"/>
    </row>
    <row r="429" spans="1:12">
      <c r="A429" s="3">
        <v>9628</v>
      </c>
      <c r="C429" s="3" t="s">
        <v>1220</v>
      </c>
      <c r="H429" s="8"/>
      <c r="I429" s="8"/>
      <c r="J429" s="8"/>
    </row>
    <row r="430" spans="1:12">
      <c r="A430" s="3">
        <v>9629</v>
      </c>
      <c r="B430" s="3" t="s">
        <v>3523</v>
      </c>
      <c r="C430" s="3" t="s">
        <v>1220</v>
      </c>
      <c r="D430" s="3" t="s">
        <v>19</v>
      </c>
      <c r="E430" s="3">
        <v>111868</v>
      </c>
      <c r="F430" s="3">
        <v>15775465151</v>
      </c>
      <c r="G430" s="3">
        <v>514739855</v>
      </c>
      <c r="H430" s="8" t="s">
        <v>3524</v>
      </c>
      <c r="I430" s="8" t="s">
        <v>3524</v>
      </c>
      <c r="J430" s="8"/>
      <c r="L430" s="37" t="s">
        <v>25</v>
      </c>
    </row>
    <row r="431" spans="1:12">
      <c r="A431" s="3">
        <v>9630</v>
      </c>
      <c r="B431" s="3" t="s">
        <v>3528</v>
      </c>
      <c r="C431" s="3" t="s">
        <v>1220</v>
      </c>
      <c r="D431" s="3" t="s">
        <v>19</v>
      </c>
      <c r="E431" s="3">
        <v>111858</v>
      </c>
      <c r="F431" s="3">
        <v>15775421052</v>
      </c>
      <c r="G431" s="3">
        <v>514739929</v>
      </c>
      <c r="H431" s="8" t="s">
        <v>3529</v>
      </c>
      <c r="I431" s="8" t="s">
        <v>3529</v>
      </c>
      <c r="J431" s="8"/>
      <c r="L431" s="37" t="s">
        <v>25</v>
      </c>
    </row>
    <row r="432" spans="1:12">
      <c r="A432" s="4">
        <v>9631</v>
      </c>
      <c r="B432" s="3" t="s">
        <v>3533</v>
      </c>
      <c r="C432" s="3" t="s">
        <v>1220</v>
      </c>
      <c r="D432" s="3" t="s">
        <v>19</v>
      </c>
      <c r="E432" s="3">
        <v>109538</v>
      </c>
      <c r="F432" s="3">
        <v>14295635310</v>
      </c>
      <c r="G432" s="3">
        <v>495621129</v>
      </c>
      <c r="H432" s="8" t="s">
        <v>3534</v>
      </c>
      <c r="I432" s="8" t="s">
        <v>3534</v>
      </c>
      <c r="J432" s="8"/>
      <c r="L432" s="37" t="s">
        <v>25</v>
      </c>
    </row>
    <row r="433" spans="1:12">
      <c r="A433" s="3">
        <v>9632</v>
      </c>
      <c r="C433" s="3" t="s">
        <v>1220</v>
      </c>
      <c r="H433" s="8"/>
      <c r="I433" s="8"/>
      <c r="J433" s="8"/>
    </row>
    <row r="434" spans="1:12">
      <c r="A434" s="3">
        <v>9633</v>
      </c>
      <c r="C434" s="3" t="s">
        <v>1220</v>
      </c>
      <c r="H434" s="8"/>
      <c r="I434" s="8"/>
      <c r="J434" s="8"/>
    </row>
    <row r="435" spans="1:12">
      <c r="A435" s="3">
        <v>9634</v>
      </c>
      <c r="B435" s="3" t="s">
        <v>3538</v>
      </c>
      <c r="C435" s="3" t="s">
        <v>1220</v>
      </c>
      <c r="D435" s="3" t="s">
        <v>19</v>
      </c>
      <c r="E435" s="3">
        <v>111867</v>
      </c>
      <c r="F435" s="3">
        <v>15775465150</v>
      </c>
      <c r="G435" s="3">
        <v>514739835</v>
      </c>
      <c r="H435" s="8" t="s">
        <v>3539</v>
      </c>
      <c r="I435" s="8" t="s">
        <v>3539</v>
      </c>
      <c r="J435" s="8"/>
      <c r="L435" s="37" t="s">
        <v>25</v>
      </c>
    </row>
    <row r="436" spans="1:12">
      <c r="A436" s="3">
        <v>9635</v>
      </c>
      <c r="B436" s="3" t="s">
        <v>3543</v>
      </c>
      <c r="C436" s="3" t="s">
        <v>1220</v>
      </c>
      <c r="D436" s="3" t="s">
        <v>19</v>
      </c>
      <c r="E436" s="3">
        <v>111865</v>
      </c>
      <c r="F436" s="3">
        <v>15775465148</v>
      </c>
      <c r="G436" s="3">
        <v>514739807</v>
      </c>
      <c r="H436" s="8" t="s">
        <v>3544</v>
      </c>
      <c r="I436" s="8" t="s">
        <v>3544</v>
      </c>
      <c r="J436" s="8"/>
      <c r="L436" s="37" t="s">
        <v>25</v>
      </c>
    </row>
    <row r="437" spans="1:12">
      <c r="A437" s="4">
        <v>9636</v>
      </c>
      <c r="C437" s="3" t="s">
        <v>1220</v>
      </c>
      <c r="H437" s="8"/>
      <c r="I437" s="8"/>
      <c r="J437" s="8"/>
    </row>
    <row r="438" spans="1:12">
      <c r="A438" s="3">
        <v>9637</v>
      </c>
      <c r="C438" s="3" t="s">
        <v>1220</v>
      </c>
      <c r="H438" s="8"/>
      <c r="I438" s="8"/>
      <c r="J438" s="8"/>
    </row>
    <row r="439" spans="1:12">
      <c r="A439" s="3">
        <v>9638</v>
      </c>
      <c r="B439" s="3" t="s">
        <v>918</v>
      </c>
      <c r="C439" s="3" t="s">
        <v>1220</v>
      </c>
      <c r="D439" s="3" t="s">
        <v>19</v>
      </c>
      <c r="E439" s="3">
        <v>111856</v>
      </c>
      <c r="F439" s="3">
        <v>15775393963</v>
      </c>
      <c r="G439" s="3">
        <v>514739888</v>
      </c>
      <c r="H439" s="8" t="s">
        <v>3548</v>
      </c>
      <c r="I439" s="8" t="s">
        <v>3548</v>
      </c>
      <c r="J439" s="8"/>
      <c r="L439" s="37" t="s">
        <v>25</v>
      </c>
    </row>
    <row r="440" spans="1:12">
      <c r="A440" s="3">
        <v>9639</v>
      </c>
      <c r="C440" s="3" t="s">
        <v>1220</v>
      </c>
      <c r="H440" s="8"/>
      <c r="I440" s="8"/>
      <c r="J440" s="8"/>
    </row>
    <row r="441" spans="1:12">
      <c r="A441" s="3">
        <v>9640</v>
      </c>
      <c r="C441" s="3" t="s">
        <v>1220</v>
      </c>
      <c r="H441" s="8"/>
      <c r="I441" s="8"/>
      <c r="J441" s="8"/>
    </row>
    <row r="442" spans="1:12">
      <c r="A442" s="4">
        <v>9641</v>
      </c>
      <c r="B442" s="3" t="s">
        <v>1812</v>
      </c>
      <c r="C442" s="3" t="s">
        <v>1220</v>
      </c>
      <c r="D442" s="3" t="s">
        <v>19</v>
      </c>
      <c r="E442" s="3">
        <v>109456</v>
      </c>
      <c r="F442" s="3">
        <v>14295462824</v>
      </c>
      <c r="G442" s="3">
        <v>495621197</v>
      </c>
      <c r="H442" s="8" t="s">
        <v>1813</v>
      </c>
      <c r="I442" s="8" t="s">
        <v>1813</v>
      </c>
      <c r="J442" s="8"/>
      <c r="L442" s="37" t="s">
        <v>25</v>
      </c>
    </row>
    <row r="443" spans="1:12">
      <c r="A443" s="3">
        <v>9642</v>
      </c>
      <c r="B443" s="3" t="s">
        <v>3554</v>
      </c>
      <c r="C443" s="3" t="s">
        <v>1220</v>
      </c>
      <c r="D443" s="3" t="s">
        <v>19</v>
      </c>
      <c r="E443" s="3">
        <v>111788</v>
      </c>
      <c r="F443" s="3">
        <v>15771527066</v>
      </c>
      <c r="G443" s="3">
        <v>514739920</v>
      </c>
      <c r="H443" s="8" t="s">
        <v>3555</v>
      </c>
      <c r="I443" s="8" t="s">
        <v>3555</v>
      </c>
      <c r="J443" s="8"/>
      <c r="L443" s="37" t="s">
        <v>25</v>
      </c>
    </row>
    <row r="444" spans="1:12">
      <c r="A444" s="3">
        <v>9643</v>
      </c>
      <c r="C444" s="3" t="s">
        <v>1220</v>
      </c>
      <c r="H444" s="8"/>
      <c r="I444" s="8"/>
      <c r="J444" s="8"/>
    </row>
    <row r="445" spans="1:12">
      <c r="A445" s="3">
        <v>9644</v>
      </c>
      <c r="B445" s="3" t="s">
        <v>3559</v>
      </c>
      <c r="C445" s="3" t="s">
        <v>1220</v>
      </c>
      <c r="D445" s="3" t="s">
        <v>19</v>
      </c>
      <c r="E445" s="3">
        <v>111720</v>
      </c>
      <c r="F445" s="3">
        <v>15770496210</v>
      </c>
      <c r="G445" s="3">
        <v>514739841</v>
      </c>
      <c r="H445" s="8" t="s">
        <v>3560</v>
      </c>
      <c r="I445" s="8" t="s">
        <v>3560</v>
      </c>
      <c r="J445" s="8"/>
      <c r="L445" s="37" t="s">
        <v>25</v>
      </c>
    </row>
    <row r="446" spans="1:12">
      <c r="A446" s="3">
        <v>9645</v>
      </c>
      <c r="B446" s="3" t="s">
        <v>3564</v>
      </c>
      <c r="C446" s="3" t="s">
        <v>1220</v>
      </c>
      <c r="D446" s="3" t="s">
        <v>19</v>
      </c>
      <c r="E446" s="3">
        <v>111739</v>
      </c>
      <c r="F446" s="3">
        <v>15770501102</v>
      </c>
      <c r="G446" s="3">
        <v>514739766</v>
      </c>
      <c r="H446" s="8" t="s">
        <v>3565</v>
      </c>
      <c r="I446" s="8" t="s">
        <v>3565</v>
      </c>
      <c r="J446" s="8"/>
      <c r="L446" s="37" t="s">
        <v>25</v>
      </c>
    </row>
    <row r="447" spans="1:12">
      <c r="A447" s="4">
        <v>9646</v>
      </c>
      <c r="C447" s="3" t="s">
        <v>1220</v>
      </c>
      <c r="H447" s="8"/>
      <c r="I447" s="8"/>
      <c r="J447" s="8"/>
    </row>
    <row r="448" spans="1:12">
      <c r="A448" s="3">
        <v>9647</v>
      </c>
      <c r="C448" s="3" t="s">
        <v>1220</v>
      </c>
      <c r="H448" s="8"/>
      <c r="I448" s="8"/>
      <c r="J448" s="8"/>
    </row>
    <row r="449" spans="1:12">
      <c r="A449" s="3">
        <v>9648</v>
      </c>
      <c r="B449" s="3" t="s">
        <v>1844</v>
      </c>
      <c r="C449" s="3" t="s">
        <v>1220</v>
      </c>
      <c r="D449" s="3" t="s">
        <v>19</v>
      </c>
      <c r="E449" s="3">
        <v>109451</v>
      </c>
      <c r="F449" s="3">
        <v>14295455121</v>
      </c>
      <c r="G449" s="3">
        <v>495621137</v>
      </c>
      <c r="H449" s="8" t="s">
        <v>1845</v>
      </c>
      <c r="I449" s="8" t="s">
        <v>1845</v>
      </c>
      <c r="J449" s="8"/>
      <c r="L449" s="37" t="s">
        <v>25</v>
      </c>
    </row>
    <row r="450" spans="1:12">
      <c r="A450" s="3">
        <v>9649</v>
      </c>
      <c r="B450" s="3" t="s">
        <v>3571</v>
      </c>
      <c r="C450" s="3" t="s">
        <v>1220</v>
      </c>
      <c r="D450" s="3" t="s">
        <v>19</v>
      </c>
      <c r="E450" s="3">
        <v>109497</v>
      </c>
      <c r="F450" s="3">
        <v>14295552442</v>
      </c>
      <c r="G450" s="3">
        <v>495621166</v>
      </c>
      <c r="H450" s="8" t="s">
        <v>3572</v>
      </c>
      <c r="I450" s="8" t="s">
        <v>3572</v>
      </c>
      <c r="J450" s="8"/>
      <c r="L450" s="37" t="s">
        <v>25</v>
      </c>
    </row>
    <row r="451" spans="1:12">
      <c r="A451" s="3">
        <v>9650</v>
      </c>
      <c r="C451" s="3" t="s">
        <v>1220</v>
      </c>
      <c r="H451" s="8"/>
      <c r="I451" s="8"/>
      <c r="J451" s="8"/>
    </row>
    <row r="452" spans="1:12">
      <c r="A452" s="4">
        <v>9651</v>
      </c>
      <c r="C452" s="3" t="s">
        <v>1220</v>
      </c>
      <c r="H452" s="8"/>
      <c r="I452" s="8"/>
      <c r="J452" s="8"/>
    </row>
    <row r="453" spans="1:12">
      <c r="A453" s="3">
        <v>9652</v>
      </c>
      <c r="C453" s="3" t="s">
        <v>1220</v>
      </c>
      <c r="H453" s="8"/>
      <c r="I453" s="8"/>
      <c r="J453" s="8"/>
    </row>
    <row r="454" spans="1:12">
      <c r="A454" s="3">
        <v>9653</v>
      </c>
      <c r="C454" s="3" t="s">
        <v>1220</v>
      </c>
      <c r="H454" s="8"/>
      <c r="I454" s="8"/>
      <c r="J454" s="8"/>
    </row>
    <row r="455" spans="1:12">
      <c r="A455" s="3">
        <v>9654</v>
      </c>
      <c r="B455" s="3" t="s">
        <v>3576</v>
      </c>
      <c r="C455" s="3" t="s">
        <v>1220</v>
      </c>
      <c r="D455" s="3" t="s">
        <v>19</v>
      </c>
      <c r="E455" s="3">
        <v>109523</v>
      </c>
      <c r="F455" s="3">
        <v>14295603944</v>
      </c>
      <c r="G455" s="3">
        <v>495621212</v>
      </c>
      <c r="H455" s="8" t="s">
        <v>3577</v>
      </c>
      <c r="I455" s="8" t="s">
        <v>3577</v>
      </c>
      <c r="J455" s="8"/>
      <c r="L455" s="37" t="s">
        <v>25</v>
      </c>
    </row>
    <row r="456" spans="1:12">
      <c r="A456" s="3">
        <v>9655</v>
      </c>
      <c r="B456" s="3" t="s">
        <v>3581</v>
      </c>
      <c r="C456" s="3" t="s">
        <v>1220</v>
      </c>
      <c r="D456" s="3" t="s">
        <v>19</v>
      </c>
      <c r="E456" s="3">
        <v>111757</v>
      </c>
      <c r="F456" s="3">
        <v>15770538261</v>
      </c>
      <c r="G456" s="3">
        <v>514739889</v>
      </c>
      <c r="H456" s="8" t="s">
        <v>3582</v>
      </c>
      <c r="I456" s="8" t="s">
        <v>3582</v>
      </c>
      <c r="J456" s="8"/>
      <c r="L456" s="37" t="s">
        <v>25</v>
      </c>
    </row>
    <row r="457" spans="1:12">
      <c r="A457" s="4">
        <v>9656</v>
      </c>
      <c r="B457" s="3" t="s">
        <v>3586</v>
      </c>
      <c r="C457" s="3" t="s">
        <v>1220</v>
      </c>
      <c r="D457" s="3" t="s">
        <v>19</v>
      </c>
      <c r="E457" s="3">
        <v>111725</v>
      </c>
      <c r="F457" s="3">
        <v>15770496215</v>
      </c>
      <c r="G457" s="3">
        <v>514739794</v>
      </c>
      <c r="H457" s="8" t="s">
        <v>3587</v>
      </c>
      <c r="I457" s="8" t="s">
        <v>3587</v>
      </c>
      <c r="J457" s="8"/>
      <c r="L457" s="37" t="s">
        <v>25</v>
      </c>
    </row>
    <row r="458" spans="1:12">
      <c r="A458" s="3">
        <v>9657</v>
      </c>
      <c r="C458" s="3" t="s">
        <v>1220</v>
      </c>
      <c r="H458" s="8"/>
      <c r="I458" s="8"/>
      <c r="J458" s="8"/>
    </row>
    <row r="459" spans="1:12">
      <c r="A459" s="3">
        <v>9658</v>
      </c>
      <c r="C459" s="3" t="s">
        <v>1220</v>
      </c>
      <c r="H459" s="8"/>
      <c r="I459" s="8"/>
      <c r="J459" s="8"/>
    </row>
    <row r="460" spans="1:12">
      <c r="A460" s="3">
        <v>9659</v>
      </c>
      <c r="B460" s="3" t="s">
        <v>963</v>
      </c>
      <c r="C460" s="3" t="s">
        <v>1220</v>
      </c>
      <c r="D460" s="3" t="s">
        <v>19</v>
      </c>
      <c r="E460" s="3">
        <v>111782</v>
      </c>
      <c r="F460" s="3">
        <v>15770547412</v>
      </c>
      <c r="G460" s="3">
        <v>514739817</v>
      </c>
      <c r="H460" s="8" t="s">
        <v>3591</v>
      </c>
      <c r="I460" s="8" t="s">
        <v>3591</v>
      </c>
      <c r="J460" s="8"/>
      <c r="L460" s="37" t="s">
        <v>25</v>
      </c>
    </row>
    <row r="461" spans="1:12">
      <c r="A461" s="3">
        <v>9660</v>
      </c>
      <c r="B461" s="3" t="s">
        <v>394</v>
      </c>
      <c r="C461" s="3" t="s">
        <v>1220</v>
      </c>
      <c r="D461" s="3" t="s">
        <v>19</v>
      </c>
      <c r="E461" s="3">
        <v>111875</v>
      </c>
      <c r="F461" s="3">
        <v>15775498440</v>
      </c>
      <c r="G461" s="3">
        <v>514739934</v>
      </c>
      <c r="H461" s="8" t="s">
        <v>3595</v>
      </c>
      <c r="I461" s="8" t="s">
        <v>3595</v>
      </c>
      <c r="J461" s="8"/>
      <c r="L461" s="37" t="s">
        <v>25</v>
      </c>
    </row>
    <row r="462" spans="1:12">
      <c r="A462" s="4">
        <v>9661</v>
      </c>
      <c r="C462" s="3" t="s">
        <v>1220</v>
      </c>
      <c r="H462" s="8"/>
      <c r="I462" s="8"/>
      <c r="J462" s="8"/>
    </row>
    <row r="463" spans="1:12">
      <c r="A463" s="3">
        <v>9662</v>
      </c>
      <c r="C463" s="3" t="s">
        <v>1220</v>
      </c>
      <c r="H463" s="8"/>
      <c r="I463" s="8"/>
      <c r="J463" s="8"/>
    </row>
    <row r="464" spans="1:12">
      <c r="A464" s="3">
        <v>9663</v>
      </c>
      <c r="B464" s="3" t="s">
        <v>3599</v>
      </c>
      <c r="C464" s="3" t="s">
        <v>1220</v>
      </c>
      <c r="D464" s="3" t="s">
        <v>19</v>
      </c>
      <c r="E464" s="3">
        <v>111864</v>
      </c>
      <c r="F464" s="3">
        <v>15775421058</v>
      </c>
      <c r="G464" s="3">
        <v>514739891</v>
      </c>
      <c r="H464" s="8" t="s">
        <v>3600</v>
      </c>
      <c r="I464" s="8" t="s">
        <v>3600</v>
      </c>
      <c r="J464" s="8"/>
      <c r="L464" s="37" t="s">
        <v>25</v>
      </c>
    </row>
    <row r="465" spans="1:12">
      <c r="A465" s="3">
        <v>9664</v>
      </c>
      <c r="B465" s="3" t="s">
        <v>3604</v>
      </c>
      <c r="C465" s="3" t="s">
        <v>1220</v>
      </c>
      <c r="D465" s="3" t="s">
        <v>19</v>
      </c>
      <c r="E465" s="3">
        <v>111793</v>
      </c>
      <c r="F465" s="3">
        <v>15771527071</v>
      </c>
      <c r="G465" s="3">
        <v>514739774</v>
      </c>
      <c r="H465" s="8" t="s">
        <v>3605</v>
      </c>
      <c r="I465" s="8" t="s">
        <v>3605</v>
      </c>
      <c r="J465" s="8"/>
      <c r="L465" s="37" t="s">
        <v>25</v>
      </c>
    </row>
    <row r="466" spans="1:12">
      <c r="A466" s="3">
        <v>9665</v>
      </c>
      <c r="C466" s="3" t="s">
        <v>1220</v>
      </c>
      <c r="H466" s="8"/>
      <c r="I466" s="8"/>
      <c r="J466" s="8"/>
    </row>
    <row r="467" spans="1:12">
      <c r="A467" s="4">
        <v>9666</v>
      </c>
      <c r="C467" s="3" t="s">
        <v>1220</v>
      </c>
      <c r="H467" s="8"/>
      <c r="I467" s="8"/>
      <c r="J467" s="8"/>
    </row>
    <row r="468" spans="1:12">
      <c r="A468" s="3">
        <v>9667</v>
      </c>
      <c r="B468" s="3" t="s">
        <v>1848</v>
      </c>
      <c r="C468" s="3" t="s">
        <v>1220</v>
      </c>
      <c r="D468" s="3" t="s">
        <v>19</v>
      </c>
      <c r="E468" s="3">
        <v>109492</v>
      </c>
      <c r="F468" s="3">
        <v>14295550206</v>
      </c>
      <c r="G468" s="3">
        <v>495621237</v>
      </c>
      <c r="H468" s="8" t="s">
        <v>1849</v>
      </c>
      <c r="I468" s="8" t="s">
        <v>1849</v>
      </c>
      <c r="J468" s="8"/>
      <c r="L468" s="37" t="s">
        <v>25</v>
      </c>
    </row>
    <row r="469" spans="1:12">
      <c r="A469" s="3">
        <v>9668</v>
      </c>
      <c r="B469" s="3" t="s">
        <v>957</v>
      </c>
      <c r="C469" s="3" t="s">
        <v>1220</v>
      </c>
      <c r="D469" s="3" t="s">
        <v>19</v>
      </c>
      <c r="E469" s="3">
        <v>109501</v>
      </c>
      <c r="F469" s="3">
        <v>14295553714</v>
      </c>
      <c r="G469" s="3">
        <v>495621076</v>
      </c>
      <c r="H469" s="8" t="s">
        <v>1852</v>
      </c>
      <c r="I469" s="8" t="s">
        <v>1852</v>
      </c>
      <c r="J469" s="8"/>
      <c r="L469" s="37" t="s">
        <v>25</v>
      </c>
    </row>
    <row r="470" spans="1:12">
      <c r="A470" s="3">
        <v>9669</v>
      </c>
      <c r="B470" s="3" t="s">
        <v>389</v>
      </c>
      <c r="C470" s="3" t="s">
        <v>1220</v>
      </c>
      <c r="D470" s="3" t="s">
        <v>19</v>
      </c>
      <c r="E470" s="3">
        <v>110075</v>
      </c>
      <c r="F470" s="3">
        <v>14742753021</v>
      </c>
      <c r="G470" s="3">
        <v>501459313</v>
      </c>
      <c r="H470" s="8" t="s">
        <v>3613</v>
      </c>
      <c r="I470" s="8" t="s">
        <v>3613</v>
      </c>
      <c r="J470" s="8"/>
      <c r="L470" s="37" t="s">
        <v>25</v>
      </c>
    </row>
    <row r="471" spans="1:12">
      <c r="A471" s="3">
        <v>9670</v>
      </c>
      <c r="C471" s="3" t="s">
        <v>1220</v>
      </c>
      <c r="H471" s="8"/>
      <c r="I471" s="8"/>
      <c r="J471" s="8"/>
    </row>
    <row r="472" spans="1:12">
      <c r="A472" s="4">
        <v>9671</v>
      </c>
      <c r="C472" s="3" t="s">
        <v>1220</v>
      </c>
      <c r="H472" s="8"/>
      <c r="I472" s="8"/>
      <c r="J472" s="8"/>
    </row>
    <row r="473" spans="1:12">
      <c r="A473" s="3">
        <v>9672</v>
      </c>
      <c r="B473" s="3" t="s">
        <v>3617</v>
      </c>
      <c r="C473" s="3" t="s">
        <v>1220</v>
      </c>
      <c r="D473" s="3" t="s">
        <v>19</v>
      </c>
      <c r="E473" s="3">
        <v>111715</v>
      </c>
      <c r="F473" s="3">
        <v>15770496205</v>
      </c>
      <c r="G473" s="3">
        <v>514739775</v>
      </c>
      <c r="H473" s="8" t="s">
        <v>3618</v>
      </c>
      <c r="I473" s="8" t="s">
        <v>3618</v>
      </c>
      <c r="J473" s="8"/>
      <c r="L473" s="37" t="s">
        <v>25</v>
      </c>
    </row>
    <row r="474" spans="1:12">
      <c r="A474" s="3">
        <v>9673</v>
      </c>
      <c r="C474" s="3" t="s">
        <v>1220</v>
      </c>
      <c r="H474" s="8"/>
      <c r="I474" s="8"/>
      <c r="J474" s="8"/>
    </row>
    <row r="475" spans="1:12">
      <c r="A475" s="3">
        <v>9674</v>
      </c>
      <c r="B475" s="3" t="s">
        <v>3622</v>
      </c>
      <c r="C475" s="3" t="s">
        <v>1220</v>
      </c>
      <c r="D475" s="3" t="s">
        <v>19</v>
      </c>
      <c r="E475" s="3">
        <v>111805</v>
      </c>
      <c r="F475" s="3">
        <v>15771774344</v>
      </c>
      <c r="G475" s="3">
        <v>514739803</v>
      </c>
      <c r="H475" s="8" t="s">
        <v>3623</v>
      </c>
      <c r="I475" s="8" t="s">
        <v>3623</v>
      </c>
      <c r="J475" s="8"/>
      <c r="L475" s="37" t="s">
        <v>25</v>
      </c>
    </row>
    <row r="476" spans="1:12">
      <c r="A476" s="3">
        <v>9675</v>
      </c>
      <c r="B476" s="3" t="s">
        <v>3627</v>
      </c>
      <c r="C476" s="3" t="s">
        <v>1220</v>
      </c>
      <c r="D476" s="3" t="s">
        <v>19</v>
      </c>
      <c r="E476" s="3">
        <v>111750</v>
      </c>
      <c r="F476" s="3">
        <v>15770533479</v>
      </c>
      <c r="G476" s="3">
        <v>514739749</v>
      </c>
      <c r="H476" s="8" t="s">
        <v>3628</v>
      </c>
      <c r="I476" s="8" t="s">
        <v>3628</v>
      </c>
      <c r="J476" s="8"/>
      <c r="L476" s="37" t="s">
        <v>25</v>
      </c>
    </row>
    <row r="477" spans="1:12">
      <c r="A477" s="4">
        <v>9676</v>
      </c>
      <c r="C477" s="3" t="s">
        <v>1220</v>
      </c>
      <c r="H477" s="8"/>
      <c r="I477" s="8"/>
      <c r="J477" s="8"/>
    </row>
    <row r="478" spans="1:12">
      <c r="A478" s="3">
        <v>9677</v>
      </c>
      <c r="C478" s="3" t="s">
        <v>1220</v>
      </c>
      <c r="H478" s="8"/>
      <c r="I478" s="8"/>
      <c r="J478" s="8"/>
    </row>
    <row r="479" spans="1:12">
      <c r="A479" s="3">
        <v>9678</v>
      </c>
      <c r="B479" s="3" t="s">
        <v>3632</v>
      </c>
      <c r="C479" s="3" t="s">
        <v>1220</v>
      </c>
      <c r="D479" s="3" t="s">
        <v>19</v>
      </c>
      <c r="E479" s="3">
        <v>111862</v>
      </c>
      <c r="F479" s="3">
        <v>15775421056</v>
      </c>
      <c r="G479" s="3">
        <v>514739780</v>
      </c>
      <c r="H479" s="8" t="s">
        <v>3633</v>
      </c>
      <c r="I479" s="8" t="s">
        <v>3633</v>
      </c>
      <c r="J479" s="8"/>
      <c r="L479" s="37" t="s">
        <v>25</v>
      </c>
    </row>
    <row r="480" spans="1:12">
      <c r="A480" s="3">
        <v>9679</v>
      </c>
      <c r="B480" s="3" t="s">
        <v>1855</v>
      </c>
      <c r="C480" s="3" t="s">
        <v>1220</v>
      </c>
      <c r="D480" s="3" t="s">
        <v>19</v>
      </c>
      <c r="E480" s="3">
        <v>109481</v>
      </c>
      <c r="F480" s="3">
        <v>14295538710</v>
      </c>
      <c r="G480" s="3">
        <v>495621179</v>
      </c>
      <c r="H480" s="8" t="s">
        <v>1856</v>
      </c>
      <c r="I480" s="8" t="s">
        <v>1856</v>
      </c>
      <c r="J480" s="8"/>
      <c r="L480" s="37" t="s">
        <v>25</v>
      </c>
    </row>
    <row r="481" spans="1:12">
      <c r="A481" s="3">
        <v>9680</v>
      </c>
      <c r="C481" s="3" t="s">
        <v>1220</v>
      </c>
      <c r="H481" s="8"/>
      <c r="I481" s="8"/>
      <c r="J481" s="8"/>
    </row>
    <row r="482" spans="1:12">
      <c r="A482" s="4">
        <v>9681</v>
      </c>
      <c r="C482" s="3" t="s">
        <v>1220</v>
      </c>
      <c r="H482" s="8"/>
      <c r="I482" s="8"/>
      <c r="J482" s="8"/>
    </row>
    <row r="483" spans="1:12">
      <c r="A483" s="3">
        <v>9682</v>
      </c>
      <c r="B483" s="3" t="s">
        <v>1859</v>
      </c>
      <c r="C483" s="3" t="s">
        <v>1220</v>
      </c>
      <c r="D483" s="3" t="s">
        <v>19</v>
      </c>
      <c r="E483" s="3">
        <v>109474</v>
      </c>
      <c r="F483" s="3">
        <v>14295526678</v>
      </c>
      <c r="G483" s="3">
        <v>495621227</v>
      </c>
      <c r="H483" s="8" t="s">
        <v>1860</v>
      </c>
      <c r="I483" s="8" t="s">
        <v>1860</v>
      </c>
      <c r="J483" s="8"/>
      <c r="L483" s="37" t="s">
        <v>25</v>
      </c>
    </row>
    <row r="484" spans="1:12">
      <c r="A484" s="3">
        <v>9683</v>
      </c>
      <c r="B484" s="3" t="s">
        <v>3641</v>
      </c>
      <c r="C484" s="3" t="s">
        <v>1220</v>
      </c>
      <c r="D484" s="3" t="s">
        <v>19</v>
      </c>
      <c r="E484" s="3">
        <v>111770</v>
      </c>
      <c r="F484" s="3">
        <v>15770542858</v>
      </c>
      <c r="G484" s="3">
        <v>514739905</v>
      </c>
      <c r="H484" s="8" t="s">
        <v>3642</v>
      </c>
      <c r="I484" s="8" t="s">
        <v>3642</v>
      </c>
      <c r="J484" s="8"/>
      <c r="L484" s="37" t="s">
        <v>25</v>
      </c>
    </row>
    <row r="485" spans="1:12">
      <c r="A485" s="3">
        <v>9684</v>
      </c>
      <c r="C485" s="3" t="s">
        <v>1220</v>
      </c>
      <c r="H485" s="8"/>
      <c r="I485" s="8"/>
      <c r="J485" s="8"/>
    </row>
    <row r="486" spans="1:12">
      <c r="A486" s="3">
        <v>9685</v>
      </c>
      <c r="B486" s="3" t="s">
        <v>3646</v>
      </c>
      <c r="C486" s="3" t="s">
        <v>1220</v>
      </c>
      <c r="D486" s="3" t="s">
        <v>19</v>
      </c>
      <c r="E486" s="3">
        <v>111798</v>
      </c>
      <c r="F486" s="3">
        <v>15771640295</v>
      </c>
      <c r="G486" s="3">
        <v>514739788</v>
      </c>
      <c r="H486" s="8" t="s">
        <v>3647</v>
      </c>
      <c r="I486" s="8" t="s">
        <v>3647</v>
      </c>
      <c r="J486" s="8"/>
      <c r="L486" s="37" t="s">
        <v>25</v>
      </c>
    </row>
    <row r="487" spans="1:12">
      <c r="A487" s="4">
        <v>9686</v>
      </c>
      <c r="C487" s="3" t="s">
        <v>1220</v>
      </c>
      <c r="H487" s="8"/>
      <c r="I487" s="8"/>
      <c r="J487" s="8"/>
    </row>
    <row r="488" spans="1:12">
      <c r="A488" s="3">
        <v>9687</v>
      </c>
      <c r="C488" s="3" t="s">
        <v>1220</v>
      </c>
      <c r="H488" s="8"/>
      <c r="I488" s="8"/>
      <c r="J488" s="8"/>
    </row>
    <row r="489" spans="1:12">
      <c r="A489" s="3">
        <v>9688</v>
      </c>
      <c r="B489" s="3" t="s">
        <v>1879</v>
      </c>
      <c r="C489" s="3" t="s">
        <v>1220</v>
      </c>
      <c r="D489" s="3" t="s">
        <v>19</v>
      </c>
      <c r="E489" s="3">
        <v>109559</v>
      </c>
      <c r="F489" s="3">
        <v>14295776530</v>
      </c>
      <c r="G489" s="3">
        <v>495621169</v>
      </c>
      <c r="H489" s="8" t="s">
        <v>1880</v>
      </c>
      <c r="I489" s="8" t="s">
        <v>1880</v>
      </c>
      <c r="J489" s="8"/>
      <c r="L489" s="37" t="s">
        <v>25</v>
      </c>
    </row>
    <row r="490" spans="1:12">
      <c r="A490" s="3">
        <v>9689</v>
      </c>
      <c r="C490" s="3" t="s">
        <v>1220</v>
      </c>
      <c r="H490" s="8"/>
      <c r="I490" s="8"/>
      <c r="J490" s="8"/>
    </row>
    <row r="491" spans="1:12">
      <c r="A491" s="3">
        <v>9690</v>
      </c>
      <c r="C491" s="3" t="s">
        <v>1220</v>
      </c>
      <c r="H491" s="8"/>
      <c r="I491" s="8"/>
      <c r="J491" s="8"/>
    </row>
    <row r="492" spans="1:12">
      <c r="A492" s="4">
        <v>9691</v>
      </c>
      <c r="B492" s="3" t="s">
        <v>1883</v>
      </c>
      <c r="C492" s="3" t="s">
        <v>1220</v>
      </c>
      <c r="D492" s="3" t="s">
        <v>19</v>
      </c>
      <c r="E492" s="3">
        <v>109545</v>
      </c>
      <c r="F492" s="3">
        <v>14295675036</v>
      </c>
      <c r="G492" s="3">
        <v>495621118</v>
      </c>
      <c r="H492" s="8" t="s">
        <v>1884</v>
      </c>
      <c r="I492" s="8" t="s">
        <v>1884</v>
      </c>
      <c r="J492" s="8"/>
      <c r="L492" s="37" t="s">
        <v>25</v>
      </c>
    </row>
    <row r="493" spans="1:12">
      <c r="A493" s="3">
        <v>9692</v>
      </c>
      <c r="C493" s="3" t="s">
        <v>1220</v>
      </c>
      <c r="H493" s="8"/>
      <c r="I493" s="8"/>
      <c r="J493" s="8"/>
    </row>
    <row r="494" spans="1:12">
      <c r="A494" s="3">
        <v>9693</v>
      </c>
      <c r="C494" s="3" t="s">
        <v>1220</v>
      </c>
      <c r="H494" s="8"/>
      <c r="I494" s="8"/>
      <c r="J494" s="8"/>
    </row>
    <row r="495" spans="1:12">
      <c r="A495" s="3">
        <v>9694</v>
      </c>
      <c r="B495" s="3" t="s">
        <v>3655</v>
      </c>
      <c r="C495" s="3" t="s">
        <v>1220</v>
      </c>
      <c r="D495" s="3" t="s">
        <v>19</v>
      </c>
      <c r="E495" s="3">
        <v>111706</v>
      </c>
      <c r="F495" s="3">
        <v>15770486675</v>
      </c>
      <c r="G495" s="3">
        <v>514739853</v>
      </c>
      <c r="H495" s="8" t="s">
        <v>3656</v>
      </c>
      <c r="I495" s="8" t="s">
        <v>3656</v>
      </c>
      <c r="J495" s="8"/>
      <c r="L495" s="37" t="s">
        <v>25</v>
      </c>
    </row>
    <row r="496" spans="1:12">
      <c r="A496" s="3">
        <v>9695</v>
      </c>
      <c r="B496" s="3" t="s">
        <v>3660</v>
      </c>
      <c r="C496" s="3" t="s">
        <v>1220</v>
      </c>
      <c r="D496" s="3" t="s">
        <v>19</v>
      </c>
      <c r="E496" s="3">
        <v>111881</v>
      </c>
      <c r="F496" s="3">
        <v>15775513411</v>
      </c>
      <c r="G496" s="3">
        <v>514739898</v>
      </c>
      <c r="H496" s="8" t="s">
        <v>3661</v>
      </c>
      <c r="I496" s="8" t="s">
        <v>3661</v>
      </c>
      <c r="J496" s="8"/>
      <c r="L496" s="37" t="s">
        <v>25</v>
      </c>
    </row>
    <row r="497" spans="1:12">
      <c r="A497" s="4">
        <v>9696</v>
      </c>
      <c r="C497" s="3" t="s">
        <v>1220</v>
      </c>
      <c r="H497" s="8"/>
      <c r="I497" s="8"/>
      <c r="J497" s="8"/>
    </row>
    <row r="498" spans="1:12">
      <c r="A498" s="3">
        <v>9697</v>
      </c>
      <c r="C498" s="3" t="s">
        <v>1220</v>
      </c>
      <c r="H498" s="8"/>
      <c r="I498" s="8"/>
      <c r="J498" s="8"/>
    </row>
    <row r="499" spans="1:12">
      <c r="A499" s="3">
        <v>9698</v>
      </c>
      <c r="B499" s="3" t="s">
        <v>1919</v>
      </c>
      <c r="C499" s="3" t="s">
        <v>1220</v>
      </c>
      <c r="D499" s="3" t="s">
        <v>19</v>
      </c>
      <c r="E499" s="3">
        <v>111799</v>
      </c>
      <c r="F499" s="3">
        <v>15771668227</v>
      </c>
      <c r="G499" s="3">
        <v>514739738</v>
      </c>
      <c r="H499" s="8" t="s">
        <v>3665</v>
      </c>
      <c r="I499" s="8" t="s">
        <v>3665</v>
      </c>
      <c r="J499" s="8"/>
      <c r="L499" s="37" t="s">
        <v>25</v>
      </c>
    </row>
    <row r="500" spans="1:12">
      <c r="A500" s="3">
        <v>9699</v>
      </c>
      <c r="C500" s="3" t="s">
        <v>1220</v>
      </c>
      <c r="H500" s="8"/>
      <c r="I500" s="8"/>
      <c r="J500" s="8"/>
    </row>
    <row r="501" spans="1:12">
      <c r="A501" s="3">
        <v>9700</v>
      </c>
      <c r="C501" s="3" t="s">
        <v>1220</v>
      </c>
      <c r="H501" s="8"/>
      <c r="I501" s="8"/>
      <c r="J501" s="8"/>
    </row>
    <row r="502" spans="1:12">
      <c r="A502" s="4">
        <v>9701</v>
      </c>
      <c r="B502" s="3" t="s">
        <v>3669</v>
      </c>
      <c r="C502" s="3" t="s">
        <v>1220</v>
      </c>
      <c r="D502" s="3" t="s">
        <v>19</v>
      </c>
      <c r="E502" s="3">
        <v>111789</v>
      </c>
      <c r="F502" s="3">
        <v>15771527067</v>
      </c>
      <c r="G502" s="3">
        <v>514739755</v>
      </c>
      <c r="H502" s="8" t="s">
        <v>3670</v>
      </c>
      <c r="I502" s="8" t="s">
        <v>3670</v>
      </c>
      <c r="J502" s="8"/>
      <c r="L502" s="37" t="s">
        <v>25</v>
      </c>
    </row>
    <row r="503" spans="1:12">
      <c r="A503" s="3">
        <v>9702</v>
      </c>
      <c r="B503" s="3" t="s">
        <v>3674</v>
      </c>
      <c r="C503" s="3" t="s">
        <v>1220</v>
      </c>
      <c r="D503" s="3" t="s">
        <v>19</v>
      </c>
      <c r="E503" s="3">
        <v>111897</v>
      </c>
      <c r="F503" s="3">
        <v>15775623972</v>
      </c>
      <c r="G503" s="3">
        <v>514739883</v>
      </c>
      <c r="H503" s="8" t="s">
        <v>3675</v>
      </c>
      <c r="I503" s="8" t="s">
        <v>3675</v>
      </c>
      <c r="J503" s="8"/>
      <c r="L503" s="37" t="s">
        <v>25</v>
      </c>
    </row>
    <row r="504" spans="1:12">
      <c r="A504" s="3">
        <v>9703</v>
      </c>
      <c r="B504" s="3" t="s">
        <v>3679</v>
      </c>
      <c r="C504" s="3" t="s">
        <v>1220</v>
      </c>
      <c r="D504" s="3" t="s">
        <v>19</v>
      </c>
      <c r="E504" s="3">
        <v>103054</v>
      </c>
      <c r="F504" s="3">
        <v>10611435985</v>
      </c>
      <c r="G504" s="3">
        <v>485537774</v>
      </c>
      <c r="H504" s="8" t="s">
        <v>3680</v>
      </c>
      <c r="I504" s="8" t="s">
        <v>3680</v>
      </c>
      <c r="J504" s="8"/>
      <c r="L504" s="37" t="s">
        <v>25</v>
      </c>
    </row>
    <row r="505" spans="1:12">
      <c r="A505" s="3">
        <v>9704</v>
      </c>
      <c r="C505" s="3" t="s">
        <v>1220</v>
      </c>
      <c r="H505" s="8"/>
      <c r="I505" s="8"/>
      <c r="J505" s="8"/>
    </row>
    <row r="506" spans="1:12">
      <c r="A506" s="3">
        <v>9705</v>
      </c>
      <c r="C506" s="3" t="s">
        <v>1220</v>
      </c>
      <c r="H506" s="8"/>
      <c r="I506" s="8"/>
      <c r="J506" s="8"/>
    </row>
    <row r="507" spans="1:12">
      <c r="A507" s="4">
        <v>9706</v>
      </c>
      <c r="B507" s="3" t="s">
        <v>3684</v>
      </c>
      <c r="C507" s="3" t="s">
        <v>1220</v>
      </c>
      <c r="D507" s="3" t="s">
        <v>19</v>
      </c>
      <c r="E507" s="3">
        <v>111827</v>
      </c>
      <c r="F507" s="3">
        <v>15775300219</v>
      </c>
      <c r="G507" s="3">
        <v>514739731</v>
      </c>
      <c r="H507" s="8" t="s">
        <v>3685</v>
      </c>
      <c r="I507" s="8" t="s">
        <v>3685</v>
      </c>
      <c r="J507" s="8"/>
      <c r="L507" s="37" t="s">
        <v>25</v>
      </c>
    </row>
    <row r="508" spans="1:12">
      <c r="A508" s="3">
        <v>9707</v>
      </c>
      <c r="B508" s="3" t="s">
        <v>3689</v>
      </c>
      <c r="C508" s="3" t="s">
        <v>1220</v>
      </c>
      <c r="D508" s="3" t="s">
        <v>19</v>
      </c>
      <c r="E508" s="3">
        <v>111748</v>
      </c>
      <c r="F508" s="3">
        <v>15770533236</v>
      </c>
      <c r="G508" s="3">
        <v>514739743</v>
      </c>
      <c r="H508" s="8" t="s">
        <v>3690</v>
      </c>
      <c r="I508" s="8" t="s">
        <v>3690</v>
      </c>
      <c r="J508" s="8"/>
      <c r="L508" s="37" t="s">
        <v>25</v>
      </c>
    </row>
    <row r="509" spans="1:12">
      <c r="A509" s="3">
        <v>9708</v>
      </c>
      <c r="B509" s="3" t="s">
        <v>3694</v>
      </c>
      <c r="C509" s="3" t="s">
        <v>1220</v>
      </c>
      <c r="D509" s="3" t="s">
        <v>19</v>
      </c>
      <c r="E509" s="3">
        <v>111891</v>
      </c>
      <c r="F509" s="3">
        <v>15775598834</v>
      </c>
      <c r="G509" s="3">
        <v>514739850</v>
      </c>
      <c r="H509" s="8" t="s">
        <v>3695</v>
      </c>
      <c r="I509" s="8" t="s">
        <v>3695</v>
      </c>
      <c r="J509" s="8"/>
      <c r="L509" s="37" t="s">
        <v>25</v>
      </c>
    </row>
    <row r="510" spans="1:12">
      <c r="A510" s="3">
        <v>9709</v>
      </c>
      <c r="B510" s="3" t="s">
        <v>1887</v>
      </c>
      <c r="C510" s="3" t="s">
        <v>1220</v>
      </c>
      <c r="D510" s="3" t="s">
        <v>19</v>
      </c>
      <c r="E510" s="3">
        <v>109578</v>
      </c>
      <c r="F510" s="3">
        <v>14299386168</v>
      </c>
      <c r="G510" s="3">
        <v>495621067</v>
      </c>
      <c r="H510" s="8" t="s">
        <v>3699</v>
      </c>
      <c r="I510" s="8" t="s">
        <v>3699</v>
      </c>
      <c r="J510" s="8"/>
      <c r="L510" s="37" t="s">
        <v>25</v>
      </c>
    </row>
    <row r="511" spans="1:12">
      <c r="A511" s="3">
        <v>9710</v>
      </c>
      <c r="C511" s="3" t="s">
        <v>1220</v>
      </c>
      <c r="H511" s="8"/>
      <c r="I511" s="8"/>
      <c r="J511" s="8"/>
    </row>
    <row r="512" spans="1:12">
      <c r="A512" s="4">
        <v>9711</v>
      </c>
      <c r="C512" s="3" t="s">
        <v>1220</v>
      </c>
      <c r="H512" s="8"/>
      <c r="I512" s="8"/>
      <c r="J512" s="8"/>
    </row>
    <row r="513" spans="1:12">
      <c r="A513" s="3">
        <v>9712</v>
      </c>
      <c r="B513" s="3" t="s">
        <v>895</v>
      </c>
      <c r="C513" s="3" t="s">
        <v>1220</v>
      </c>
      <c r="D513" s="3" t="s">
        <v>19</v>
      </c>
      <c r="E513" s="3">
        <v>111870</v>
      </c>
      <c r="F513" s="3">
        <v>15775472845</v>
      </c>
      <c r="G513" s="3">
        <v>514739910</v>
      </c>
      <c r="H513" s="8" t="s">
        <v>3702</v>
      </c>
      <c r="I513" s="8" t="s">
        <v>3702</v>
      </c>
      <c r="J513" s="8"/>
      <c r="L513" s="37" t="s">
        <v>25</v>
      </c>
    </row>
    <row r="514" spans="1:12">
      <c r="A514" s="3">
        <v>9713</v>
      </c>
      <c r="C514" s="3" t="s">
        <v>1220</v>
      </c>
      <c r="H514" s="8"/>
      <c r="I514" s="8"/>
      <c r="J514" s="8"/>
    </row>
    <row r="515" spans="1:12">
      <c r="A515" s="3">
        <v>9714</v>
      </c>
      <c r="C515" s="3" t="s">
        <v>1220</v>
      </c>
      <c r="H515" s="8"/>
      <c r="I515" s="8"/>
      <c r="J515" s="8"/>
    </row>
    <row r="516" spans="1:12">
      <c r="A516" s="3">
        <v>9715</v>
      </c>
      <c r="C516" s="3" t="s">
        <v>1220</v>
      </c>
      <c r="H516" s="8"/>
      <c r="I516" s="8"/>
      <c r="J516" s="8"/>
    </row>
    <row r="517" spans="1:12">
      <c r="A517" s="4">
        <v>9716</v>
      </c>
      <c r="B517" s="3" t="s">
        <v>1907</v>
      </c>
      <c r="C517" s="3" t="s">
        <v>1220</v>
      </c>
      <c r="D517" s="3" t="s">
        <v>19</v>
      </c>
      <c r="E517" s="3">
        <v>109465</v>
      </c>
      <c r="F517" s="3">
        <v>14295518264</v>
      </c>
      <c r="G517" s="3">
        <v>495621126</v>
      </c>
      <c r="H517" s="8" t="s">
        <v>1908</v>
      </c>
      <c r="I517" s="8" t="s">
        <v>1908</v>
      </c>
      <c r="J517" s="8"/>
      <c r="L517" s="37" t="s">
        <v>25</v>
      </c>
    </row>
    <row r="518" spans="1:12">
      <c r="A518" s="3">
        <v>9717</v>
      </c>
      <c r="B518" s="3" t="s">
        <v>1911</v>
      </c>
      <c r="C518" s="3" t="s">
        <v>1220</v>
      </c>
      <c r="D518" s="3" t="s">
        <v>19</v>
      </c>
      <c r="E518" s="3">
        <v>109584</v>
      </c>
      <c r="F518" s="3">
        <v>14299667363</v>
      </c>
      <c r="G518" s="3">
        <v>495621138</v>
      </c>
      <c r="H518" s="8" t="s">
        <v>1912</v>
      </c>
      <c r="I518" s="8" t="s">
        <v>1912</v>
      </c>
      <c r="J518" s="8"/>
      <c r="L518" s="37" t="s">
        <v>25</v>
      </c>
    </row>
    <row r="519" spans="1:12">
      <c r="A519" s="3">
        <v>9718</v>
      </c>
      <c r="B519" s="3" t="s">
        <v>3710</v>
      </c>
      <c r="C519" s="3" t="s">
        <v>1220</v>
      </c>
      <c r="D519" s="3" t="s">
        <v>19</v>
      </c>
      <c r="E519" s="3">
        <v>111772</v>
      </c>
      <c r="F519" s="3">
        <v>15770542860</v>
      </c>
      <c r="G519" s="3">
        <v>514739924</v>
      </c>
      <c r="H519" s="8" t="s">
        <v>3711</v>
      </c>
      <c r="I519" s="8" t="s">
        <v>3711</v>
      </c>
      <c r="J519" s="8"/>
      <c r="L519" s="37" t="s">
        <v>25</v>
      </c>
    </row>
    <row r="520" spans="1:12">
      <c r="A520" s="3">
        <v>9719</v>
      </c>
      <c r="C520" s="3" t="s">
        <v>1220</v>
      </c>
      <c r="H520" s="8"/>
      <c r="I520" s="8"/>
      <c r="J520" s="8"/>
    </row>
    <row r="521" spans="1:12">
      <c r="A521" s="3">
        <v>9720</v>
      </c>
      <c r="C521" s="3" t="s">
        <v>1220</v>
      </c>
      <c r="H521" s="8"/>
      <c r="I521" s="8"/>
      <c r="J521" s="8"/>
    </row>
    <row r="522" spans="1:12">
      <c r="A522" s="4">
        <v>9721</v>
      </c>
      <c r="B522" s="3" t="s">
        <v>1931</v>
      </c>
      <c r="C522" s="3" t="s">
        <v>1220</v>
      </c>
      <c r="D522" s="3" t="s">
        <v>19</v>
      </c>
      <c r="E522" s="3">
        <v>109452</v>
      </c>
      <c r="F522" s="3">
        <v>14295455739</v>
      </c>
      <c r="G522" s="3">
        <v>495621062</v>
      </c>
      <c r="H522" s="8" t="s">
        <v>1932</v>
      </c>
      <c r="I522" s="8" t="s">
        <v>1932</v>
      </c>
      <c r="J522" s="8"/>
      <c r="L522" s="37" t="s">
        <v>25</v>
      </c>
    </row>
    <row r="523" spans="1:12">
      <c r="A523" s="3">
        <v>9722</v>
      </c>
      <c r="C523" s="3" t="s">
        <v>1220</v>
      </c>
      <c r="H523" s="8"/>
      <c r="I523" s="8"/>
      <c r="J523" s="8"/>
    </row>
    <row r="524" spans="1:12">
      <c r="A524" s="3">
        <v>9723</v>
      </c>
      <c r="C524" s="3" t="s">
        <v>1220</v>
      </c>
      <c r="H524" s="8"/>
      <c r="I524" s="8"/>
      <c r="J524" s="8"/>
    </row>
    <row r="525" spans="1:12">
      <c r="A525" s="3">
        <v>9724</v>
      </c>
      <c r="B525" s="3" t="s">
        <v>3717</v>
      </c>
      <c r="C525" s="3" t="s">
        <v>1220</v>
      </c>
      <c r="D525" s="3" t="s">
        <v>19</v>
      </c>
      <c r="E525" s="3">
        <v>111806</v>
      </c>
      <c r="F525" s="3">
        <v>15771774345</v>
      </c>
      <c r="G525" s="3">
        <v>514739757</v>
      </c>
      <c r="H525" s="8" t="s">
        <v>3718</v>
      </c>
      <c r="I525" s="8" t="s">
        <v>3718</v>
      </c>
      <c r="J525" s="8"/>
      <c r="L525" s="37" t="s">
        <v>25</v>
      </c>
    </row>
    <row r="526" spans="1:12">
      <c r="A526" s="3">
        <v>9725</v>
      </c>
      <c r="B526" s="3" t="s">
        <v>4180</v>
      </c>
      <c r="C526" s="3" t="s">
        <v>1220</v>
      </c>
      <c r="D526" s="3" t="s">
        <v>19</v>
      </c>
      <c r="E526" s="3">
        <v>109510</v>
      </c>
      <c r="F526" s="3">
        <v>14295560335</v>
      </c>
      <c r="G526" s="3">
        <v>495621246</v>
      </c>
      <c r="H526" s="8" t="s">
        <v>1936</v>
      </c>
      <c r="I526" s="8" t="s">
        <v>1936</v>
      </c>
      <c r="J526" s="8"/>
      <c r="L526" s="37" t="s">
        <v>25</v>
      </c>
    </row>
    <row r="527" spans="1:12">
      <c r="A527" s="4">
        <v>9726</v>
      </c>
      <c r="B527" s="3" t="s">
        <v>1939</v>
      </c>
      <c r="C527" s="3" t="s">
        <v>1220</v>
      </c>
      <c r="D527" s="3" t="s">
        <v>19</v>
      </c>
      <c r="E527" s="3">
        <v>109511</v>
      </c>
      <c r="F527" s="3">
        <v>14295564806</v>
      </c>
      <c r="G527" s="3">
        <v>495621204</v>
      </c>
      <c r="H527" s="8" t="s">
        <v>1940</v>
      </c>
      <c r="I527" s="8" t="s">
        <v>1940</v>
      </c>
      <c r="J527" s="8"/>
      <c r="L527" s="37" t="s">
        <v>25</v>
      </c>
    </row>
    <row r="528" spans="1:12">
      <c r="A528" s="3">
        <v>9727</v>
      </c>
      <c r="B528" s="3" t="s">
        <v>3726</v>
      </c>
      <c r="C528" s="3" t="s">
        <v>1220</v>
      </c>
      <c r="D528" s="3" t="s">
        <v>19</v>
      </c>
      <c r="E528" s="3">
        <v>109507</v>
      </c>
      <c r="F528" s="3">
        <v>14295557310</v>
      </c>
      <c r="G528" s="3">
        <v>495621211</v>
      </c>
      <c r="H528" s="8" t="s">
        <v>3727</v>
      </c>
      <c r="I528" s="8" t="s">
        <v>3727</v>
      </c>
      <c r="J528" s="8"/>
      <c r="L528" s="37" t="s">
        <v>25</v>
      </c>
    </row>
    <row r="529" spans="1:12">
      <c r="A529" s="3">
        <v>9728</v>
      </c>
      <c r="B529" s="3" t="s">
        <v>3731</v>
      </c>
      <c r="C529" s="3" t="s">
        <v>1220</v>
      </c>
      <c r="D529" s="3" t="s">
        <v>19</v>
      </c>
      <c r="E529" s="3">
        <v>111804</v>
      </c>
      <c r="F529" s="3">
        <v>15771774343</v>
      </c>
      <c r="G529" s="3">
        <v>514739787</v>
      </c>
      <c r="H529" s="8" t="s">
        <v>3732</v>
      </c>
      <c r="I529" s="8" t="s">
        <v>3732</v>
      </c>
      <c r="J529" s="8"/>
      <c r="L529" s="37" t="s">
        <v>25</v>
      </c>
    </row>
    <row r="530" spans="1:12">
      <c r="A530" s="3">
        <v>9729</v>
      </c>
      <c r="C530" s="3" t="s">
        <v>1220</v>
      </c>
      <c r="H530" s="8"/>
      <c r="I530" s="8"/>
      <c r="J530" s="8"/>
    </row>
    <row r="531" spans="1:12">
      <c r="A531" s="3">
        <v>9730</v>
      </c>
      <c r="C531" s="3" t="s">
        <v>1220</v>
      </c>
      <c r="H531" s="8"/>
      <c r="I531" s="8"/>
      <c r="J531" s="8"/>
    </row>
    <row r="532" spans="1:12">
      <c r="A532" s="4">
        <v>9731</v>
      </c>
      <c r="B532" s="3" t="s">
        <v>1943</v>
      </c>
      <c r="C532" s="3" t="s">
        <v>1220</v>
      </c>
      <c r="D532" s="3" t="s">
        <v>19</v>
      </c>
      <c r="E532" s="3">
        <v>109436</v>
      </c>
      <c r="F532" s="3">
        <v>14294931470</v>
      </c>
      <c r="G532" s="3">
        <v>495621127</v>
      </c>
      <c r="H532" s="8" t="s">
        <v>1944</v>
      </c>
      <c r="I532" s="8" t="s">
        <v>1944</v>
      </c>
      <c r="J532" s="8"/>
      <c r="L532" s="37" t="s">
        <v>25</v>
      </c>
    </row>
    <row r="533" spans="1:12">
      <c r="A533" s="3">
        <v>9732</v>
      </c>
      <c r="B533" s="3" t="s">
        <v>1947</v>
      </c>
      <c r="C533" s="3" t="s">
        <v>1220</v>
      </c>
      <c r="D533" s="3" t="s">
        <v>19</v>
      </c>
      <c r="E533" s="3">
        <v>109560</v>
      </c>
      <c r="F533" s="3">
        <v>14295776531</v>
      </c>
      <c r="G533" s="3">
        <v>495621093</v>
      </c>
      <c r="H533" s="8" t="s">
        <v>1948</v>
      </c>
      <c r="I533" s="8" t="s">
        <v>1948</v>
      </c>
      <c r="J533" s="8"/>
      <c r="L533" s="37" t="s">
        <v>25</v>
      </c>
    </row>
    <row r="534" spans="1:12">
      <c r="A534" s="3">
        <v>9733</v>
      </c>
      <c r="B534" s="3" t="s">
        <v>1951</v>
      </c>
      <c r="C534" s="3" t="s">
        <v>1220</v>
      </c>
      <c r="D534" s="3" t="s">
        <v>19</v>
      </c>
      <c r="E534" s="3">
        <v>109666</v>
      </c>
      <c r="F534" s="3">
        <v>14507298048</v>
      </c>
      <c r="G534" s="3">
        <v>498373747</v>
      </c>
      <c r="H534" s="8" t="s">
        <v>1952</v>
      </c>
      <c r="I534" s="8" t="s">
        <v>1952</v>
      </c>
      <c r="J534" s="8"/>
      <c r="L534" s="37" t="s">
        <v>25</v>
      </c>
    </row>
    <row r="535" spans="1:12">
      <c r="A535" s="3">
        <v>9734</v>
      </c>
      <c r="B535" s="3" t="s">
        <v>3742</v>
      </c>
      <c r="C535" s="3" t="s">
        <v>1220</v>
      </c>
      <c r="D535" s="3" t="s">
        <v>19</v>
      </c>
      <c r="E535" s="3">
        <v>111817</v>
      </c>
      <c r="F535" s="3">
        <v>15775241686</v>
      </c>
      <c r="G535" s="3">
        <v>514739793</v>
      </c>
      <c r="H535" s="8" t="s">
        <v>3743</v>
      </c>
      <c r="I535" s="8" t="s">
        <v>3743</v>
      </c>
      <c r="J535" s="8"/>
      <c r="L535" s="37" t="s">
        <v>25</v>
      </c>
    </row>
    <row r="536" spans="1:12">
      <c r="A536" s="3">
        <v>9735</v>
      </c>
      <c r="C536" s="3" t="s">
        <v>1220</v>
      </c>
      <c r="H536" s="8"/>
      <c r="I536" s="8"/>
      <c r="J536" s="8"/>
    </row>
    <row r="537" spans="1:12">
      <c r="A537" s="4">
        <v>9736</v>
      </c>
      <c r="C537" s="3" t="s">
        <v>1220</v>
      </c>
      <c r="H537" s="8"/>
      <c r="I537" s="8"/>
      <c r="J537" s="8"/>
    </row>
    <row r="538" spans="1:12">
      <c r="A538" s="3">
        <v>9737</v>
      </c>
      <c r="C538" s="3" t="s">
        <v>1220</v>
      </c>
      <c r="H538" s="8"/>
      <c r="I538" s="8"/>
      <c r="J538" s="8"/>
    </row>
    <row r="539" spans="1:12">
      <c r="A539" s="3">
        <v>9738</v>
      </c>
      <c r="C539" s="3" t="s">
        <v>1220</v>
      </c>
      <c r="H539" s="8"/>
      <c r="I539" s="8"/>
      <c r="J539" s="8"/>
    </row>
    <row r="540" spans="1:12">
      <c r="A540" s="3">
        <v>9739</v>
      </c>
      <c r="B540" s="3" t="s">
        <v>1971</v>
      </c>
      <c r="C540" s="3" t="s">
        <v>1220</v>
      </c>
      <c r="D540" s="3" t="s">
        <v>19</v>
      </c>
      <c r="E540" s="3">
        <v>111751</v>
      </c>
      <c r="F540" s="3">
        <v>15770533480</v>
      </c>
      <c r="G540" s="3">
        <v>514739737</v>
      </c>
      <c r="H540" s="8" t="s">
        <v>3746</v>
      </c>
      <c r="I540" s="8" t="s">
        <v>3746</v>
      </c>
      <c r="J540" s="8"/>
      <c r="L540" s="37" t="s">
        <v>25</v>
      </c>
    </row>
    <row r="541" spans="1:12">
      <c r="A541" s="3">
        <v>9740</v>
      </c>
      <c r="B541" s="3" t="s">
        <v>1028</v>
      </c>
      <c r="C541" s="3" t="s">
        <v>1220</v>
      </c>
      <c r="D541" s="3" t="s">
        <v>19</v>
      </c>
      <c r="E541" s="3">
        <v>104604</v>
      </c>
      <c r="F541" s="3">
        <v>11052384418</v>
      </c>
      <c r="G541" s="3">
        <v>453875850</v>
      </c>
      <c r="H541" s="8" t="s">
        <v>3749</v>
      </c>
      <c r="I541" s="8" t="s">
        <v>3749</v>
      </c>
      <c r="J541" s="8"/>
      <c r="L541" s="37" t="s">
        <v>25</v>
      </c>
    </row>
    <row r="542" spans="1:12">
      <c r="A542" s="4">
        <v>9741</v>
      </c>
      <c r="B542" s="3" t="s">
        <v>3753</v>
      </c>
      <c r="C542" s="3" t="s">
        <v>1220</v>
      </c>
      <c r="D542" s="3" t="s">
        <v>19</v>
      </c>
      <c r="E542" s="3">
        <v>110090</v>
      </c>
      <c r="F542" s="3">
        <v>14742926837</v>
      </c>
      <c r="G542" s="3">
        <v>501459309</v>
      </c>
      <c r="H542" s="8" t="s">
        <v>3754</v>
      </c>
      <c r="I542" s="8" t="s">
        <v>3754</v>
      </c>
      <c r="J542" s="8"/>
      <c r="L542" s="37" t="s">
        <v>25</v>
      </c>
    </row>
    <row r="543" spans="1:12">
      <c r="A543" s="3">
        <v>9742</v>
      </c>
      <c r="C543" s="3" t="s">
        <v>1220</v>
      </c>
      <c r="H543" s="8"/>
      <c r="I543" s="8"/>
      <c r="J543" s="8"/>
    </row>
    <row r="544" spans="1:12">
      <c r="A544" s="3">
        <v>9743</v>
      </c>
      <c r="C544" s="3" t="s">
        <v>1220</v>
      </c>
      <c r="H544" s="8"/>
      <c r="I544" s="8"/>
      <c r="J544" s="8"/>
    </row>
    <row r="545" spans="1:12">
      <c r="A545" s="3">
        <v>9744</v>
      </c>
      <c r="C545" s="3" t="s">
        <v>1220</v>
      </c>
      <c r="H545" s="8"/>
      <c r="I545" s="8"/>
      <c r="J545" s="8"/>
    </row>
    <row r="546" spans="1:12">
      <c r="A546" s="3">
        <v>9745</v>
      </c>
      <c r="B546" s="3" t="s">
        <v>3758</v>
      </c>
      <c r="C546" s="3" t="s">
        <v>1220</v>
      </c>
      <c r="D546" s="3" t="s">
        <v>19</v>
      </c>
      <c r="E546" s="3">
        <v>111860</v>
      </c>
      <c r="F546" s="3">
        <v>15775421054</v>
      </c>
      <c r="G546" s="3">
        <v>514739801</v>
      </c>
      <c r="H546" s="8" t="s">
        <v>3759</v>
      </c>
      <c r="I546" s="8" t="s">
        <v>3759</v>
      </c>
      <c r="J546" s="8"/>
      <c r="L546" s="37" t="s">
        <v>25</v>
      </c>
    </row>
    <row r="547" spans="1:12">
      <c r="A547" s="4">
        <v>9746</v>
      </c>
      <c r="B547" s="3" t="s">
        <v>2011</v>
      </c>
      <c r="C547" s="3" t="s">
        <v>1220</v>
      </c>
      <c r="D547" s="3" t="s">
        <v>19</v>
      </c>
      <c r="E547" s="3">
        <v>109505</v>
      </c>
      <c r="F547" s="3">
        <v>14295555616</v>
      </c>
      <c r="G547" s="3">
        <v>495621086</v>
      </c>
      <c r="H547" s="8" t="s">
        <v>2012</v>
      </c>
      <c r="I547" s="8" t="s">
        <v>2012</v>
      </c>
      <c r="J547" s="8"/>
      <c r="L547" s="37" t="s">
        <v>25</v>
      </c>
    </row>
    <row r="548" spans="1:12">
      <c r="A548" s="3">
        <v>9747</v>
      </c>
      <c r="B548" s="3" t="s">
        <v>2015</v>
      </c>
      <c r="C548" s="3" t="s">
        <v>1220</v>
      </c>
      <c r="D548" s="3" t="s">
        <v>19</v>
      </c>
      <c r="E548" s="3">
        <v>109458</v>
      </c>
      <c r="F548" s="3">
        <v>14295464068</v>
      </c>
      <c r="G548" s="3">
        <v>495621158</v>
      </c>
      <c r="H548" s="8" t="s">
        <v>2016</v>
      </c>
      <c r="I548" s="8" t="s">
        <v>2016</v>
      </c>
      <c r="J548" s="8"/>
      <c r="L548" s="37" t="s">
        <v>25</v>
      </c>
    </row>
    <row r="549" spans="1:12">
      <c r="A549" s="4">
        <v>9748</v>
      </c>
      <c r="B549" s="3" t="s">
        <v>3767</v>
      </c>
      <c r="C549" s="3" t="s">
        <v>1220</v>
      </c>
      <c r="D549" s="3" t="s">
        <v>19</v>
      </c>
      <c r="E549" s="3">
        <v>111736</v>
      </c>
      <c r="F549" s="3">
        <v>15770500334</v>
      </c>
      <c r="G549" s="3">
        <v>514739813</v>
      </c>
      <c r="H549" s="8" t="s">
        <v>3768</v>
      </c>
      <c r="I549" s="8" t="s">
        <v>3768</v>
      </c>
      <c r="J549" s="8"/>
      <c r="L549" s="37" t="s">
        <v>25</v>
      </c>
    </row>
    <row r="550" spans="1:12">
      <c r="A550" s="3">
        <v>9749</v>
      </c>
      <c r="C550" s="3" t="s">
        <v>1220</v>
      </c>
      <c r="H550" s="8"/>
      <c r="I550" s="8"/>
      <c r="J550" s="8"/>
    </row>
    <row r="551" spans="1:12">
      <c r="A551" s="3">
        <v>9750</v>
      </c>
      <c r="B551" s="3" t="s">
        <v>1959</v>
      </c>
      <c r="C551" s="3" t="s">
        <v>1220</v>
      </c>
      <c r="D551" s="3" t="s">
        <v>19</v>
      </c>
      <c r="E551" s="3">
        <v>104603</v>
      </c>
      <c r="F551" s="3">
        <v>11052366091</v>
      </c>
      <c r="G551" s="3">
        <v>453875853</v>
      </c>
      <c r="H551" s="8" t="s">
        <v>1960</v>
      </c>
      <c r="I551" s="8" t="s">
        <v>1960</v>
      </c>
      <c r="J551" s="8"/>
      <c r="L551" s="37" t="s">
        <v>25</v>
      </c>
    </row>
    <row r="552" spans="1:12">
      <c r="A552" s="3">
        <v>9751</v>
      </c>
      <c r="B552" s="3" t="s">
        <v>1963</v>
      </c>
      <c r="C552" s="3" t="s">
        <v>1220</v>
      </c>
      <c r="D552" s="3" t="s">
        <v>19</v>
      </c>
      <c r="E552" s="3">
        <v>109579</v>
      </c>
      <c r="F552" s="3">
        <v>14299420867</v>
      </c>
      <c r="G552" s="3">
        <v>495621153</v>
      </c>
      <c r="H552" s="8" t="s">
        <v>1964</v>
      </c>
      <c r="I552" s="8" t="s">
        <v>1964</v>
      </c>
      <c r="J552" s="8"/>
      <c r="L552" s="37" t="s">
        <v>25</v>
      </c>
    </row>
    <row r="553" spans="1:12">
      <c r="A553" s="3">
        <v>9752</v>
      </c>
      <c r="C553" s="3" t="s">
        <v>1220</v>
      </c>
      <c r="H553" s="8"/>
      <c r="I553" s="8"/>
      <c r="J553" s="8"/>
    </row>
    <row r="554" spans="1:12">
      <c r="A554" s="4">
        <v>9753</v>
      </c>
      <c r="C554" s="3" t="s">
        <v>1220</v>
      </c>
      <c r="H554" s="8"/>
      <c r="I554" s="8"/>
      <c r="J554" s="8"/>
    </row>
    <row r="555" spans="1:12">
      <c r="A555" s="3">
        <v>9754</v>
      </c>
      <c r="B555" s="3" t="s">
        <v>2062</v>
      </c>
      <c r="C555" s="3" t="s">
        <v>1220</v>
      </c>
      <c r="D555" s="3" t="s">
        <v>19</v>
      </c>
      <c r="E555" s="3">
        <v>111846</v>
      </c>
      <c r="F555" s="3">
        <v>15775357189</v>
      </c>
      <c r="G555" s="3">
        <v>514739779</v>
      </c>
      <c r="H555" s="8" t="s">
        <v>3776</v>
      </c>
      <c r="I555" s="8" t="s">
        <v>3776</v>
      </c>
      <c r="J555" s="8"/>
      <c r="L555" s="37" t="s">
        <v>25</v>
      </c>
    </row>
    <row r="556" spans="1:12">
      <c r="A556" s="3">
        <v>9755</v>
      </c>
      <c r="B556" s="3" t="s">
        <v>1987</v>
      </c>
      <c r="C556" s="3" t="s">
        <v>1220</v>
      </c>
      <c r="D556" s="3" t="s">
        <v>19</v>
      </c>
      <c r="E556" s="3">
        <v>109576</v>
      </c>
      <c r="F556" s="3">
        <v>14299386166</v>
      </c>
      <c r="G556" s="3">
        <v>495621168</v>
      </c>
      <c r="H556" s="8" t="s">
        <v>1988</v>
      </c>
      <c r="I556" s="8" t="s">
        <v>1988</v>
      </c>
      <c r="J556" s="8"/>
      <c r="L556" s="37" t="s">
        <v>25</v>
      </c>
    </row>
    <row r="557" spans="1:12">
      <c r="A557" s="3">
        <v>9756</v>
      </c>
      <c r="B557" s="3" t="s">
        <v>3782</v>
      </c>
      <c r="C557" s="3" t="s">
        <v>1220</v>
      </c>
      <c r="D557" s="3" t="s">
        <v>19</v>
      </c>
      <c r="E557" s="3">
        <v>111883</v>
      </c>
      <c r="F557" s="3">
        <v>15775548101</v>
      </c>
      <c r="G557" s="3">
        <v>514739903</v>
      </c>
      <c r="H557" s="8" t="s">
        <v>3783</v>
      </c>
      <c r="I557" s="8" t="s">
        <v>3783</v>
      </c>
      <c r="J557" s="8"/>
      <c r="L557" s="37" t="s">
        <v>25</v>
      </c>
    </row>
    <row r="558" spans="1:12">
      <c r="A558" s="3">
        <v>9757</v>
      </c>
      <c r="B558" s="3" t="s">
        <v>1999</v>
      </c>
      <c r="C558" s="3" t="s">
        <v>1220</v>
      </c>
      <c r="D558" s="3" t="s">
        <v>19</v>
      </c>
      <c r="E558" s="3">
        <v>109525</v>
      </c>
      <c r="F558" s="3">
        <v>14295605065</v>
      </c>
      <c r="G558" s="3">
        <v>495621230</v>
      </c>
      <c r="H558" s="8" t="s">
        <v>2000</v>
      </c>
      <c r="I558" s="8" t="s">
        <v>2000</v>
      </c>
      <c r="J558" s="8"/>
      <c r="L558" s="37" t="s">
        <v>25</v>
      </c>
    </row>
    <row r="559" spans="1:12">
      <c r="A559" s="4">
        <v>9758</v>
      </c>
      <c r="C559" s="3" t="s">
        <v>1220</v>
      </c>
      <c r="H559" s="8"/>
      <c r="I559" s="8"/>
      <c r="J559" s="8"/>
    </row>
    <row r="560" spans="1:12">
      <c r="A560" s="3">
        <v>9759</v>
      </c>
      <c r="C560" s="3" t="s">
        <v>1220</v>
      </c>
      <c r="H560" s="8"/>
      <c r="I560" s="8"/>
      <c r="J560" s="8"/>
    </row>
    <row r="561" spans="1:12">
      <c r="A561" s="3">
        <v>9760</v>
      </c>
      <c r="B561" s="3" t="s">
        <v>2023</v>
      </c>
      <c r="C561" s="3" t="s">
        <v>1220</v>
      </c>
      <c r="D561" s="3" t="s">
        <v>19</v>
      </c>
      <c r="E561" s="3">
        <v>111884</v>
      </c>
      <c r="F561" s="3">
        <v>15775565268</v>
      </c>
      <c r="G561" s="3">
        <v>514739810</v>
      </c>
      <c r="H561" s="8" t="s">
        <v>3789</v>
      </c>
      <c r="I561" s="8" t="s">
        <v>3789</v>
      </c>
      <c r="J561" s="8"/>
      <c r="L561" s="37" t="s">
        <v>25</v>
      </c>
    </row>
    <row r="562" spans="1:12">
      <c r="A562" s="3">
        <v>9761</v>
      </c>
      <c r="B562" s="3" t="s">
        <v>1034</v>
      </c>
      <c r="C562" s="3" t="s">
        <v>1220</v>
      </c>
      <c r="D562" s="3" t="s">
        <v>19</v>
      </c>
      <c r="E562" s="3">
        <v>109517</v>
      </c>
      <c r="F562" s="3">
        <v>14295568030</v>
      </c>
      <c r="G562" s="3">
        <v>495621216</v>
      </c>
      <c r="H562" s="8" t="s">
        <v>3793</v>
      </c>
      <c r="I562" s="8" t="s">
        <v>3793</v>
      </c>
      <c r="J562" s="8"/>
      <c r="L562" s="37" t="s">
        <v>25</v>
      </c>
    </row>
    <row r="563" spans="1:12">
      <c r="A563" s="3">
        <v>9762</v>
      </c>
      <c r="C563" s="3" t="s">
        <v>1220</v>
      </c>
      <c r="H563" s="8"/>
      <c r="I563" s="8"/>
      <c r="J563" s="8"/>
    </row>
    <row r="564" spans="1:12">
      <c r="A564" s="4">
        <v>9763</v>
      </c>
      <c r="C564" s="3" t="s">
        <v>1220</v>
      </c>
      <c r="H564" s="8"/>
      <c r="I564" s="8"/>
      <c r="J564" s="8"/>
    </row>
    <row r="565" spans="1:12">
      <c r="A565" s="4">
        <v>9764</v>
      </c>
      <c r="B565" s="3" t="s">
        <v>3797</v>
      </c>
      <c r="C565" s="3" t="s">
        <v>1220</v>
      </c>
      <c r="D565" s="3" t="s">
        <v>19</v>
      </c>
      <c r="E565" s="3">
        <v>111756</v>
      </c>
      <c r="F565" s="3">
        <v>15770534675</v>
      </c>
      <c r="G565" s="3">
        <v>514739911</v>
      </c>
      <c r="H565" s="8" t="s">
        <v>3798</v>
      </c>
      <c r="I565" s="8" t="s">
        <v>3798</v>
      </c>
      <c r="J565" s="8"/>
      <c r="L565" s="37" t="s">
        <v>25</v>
      </c>
    </row>
    <row r="566" spans="1:12">
      <c r="A566" s="3">
        <v>9765</v>
      </c>
      <c r="B566" s="3" t="s">
        <v>3802</v>
      </c>
      <c r="C566" s="3" t="s">
        <v>1220</v>
      </c>
      <c r="D566" s="3" t="s">
        <v>19</v>
      </c>
      <c r="E566" s="3">
        <v>111717</v>
      </c>
      <c r="F566" s="3">
        <v>15770496207</v>
      </c>
      <c r="G566" s="3">
        <v>514739863</v>
      </c>
      <c r="H566" s="8" t="s">
        <v>3803</v>
      </c>
      <c r="I566" s="8" t="s">
        <v>3803</v>
      </c>
      <c r="J566" s="8"/>
      <c r="L566" s="37" t="s">
        <v>25</v>
      </c>
    </row>
    <row r="567" spans="1:12">
      <c r="A567" s="3">
        <v>9766</v>
      </c>
      <c r="B567" s="3" t="s">
        <v>3807</v>
      </c>
      <c r="C567" s="3" t="s">
        <v>1220</v>
      </c>
      <c r="D567" s="3" t="s">
        <v>19</v>
      </c>
      <c r="E567" s="3">
        <v>111771</v>
      </c>
      <c r="F567" s="3">
        <v>15770542859</v>
      </c>
      <c r="G567" s="3">
        <v>514739838</v>
      </c>
      <c r="H567" s="8" t="s">
        <v>3808</v>
      </c>
      <c r="I567" s="8" t="s">
        <v>3808</v>
      </c>
      <c r="J567" s="8"/>
      <c r="L567" s="37" t="s">
        <v>25</v>
      </c>
    </row>
    <row r="568" spans="1:12">
      <c r="A568" s="3">
        <v>9767</v>
      </c>
      <c r="C568" s="3" t="s">
        <v>1220</v>
      </c>
      <c r="H568" s="8"/>
      <c r="I568" s="8"/>
      <c r="J568" s="8"/>
    </row>
    <row r="569" spans="1:12">
      <c r="A569" s="3">
        <v>9768</v>
      </c>
      <c r="C569" s="3" t="s">
        <v>1220</v>
      </c>
      <c r="H569" s="8"/>
      <c r="I569" s="8"/>
      <c r="J569" s="8"/>
    </row>
    <row r="570" spans="1:12">
      <c r="A570" s="4">
        <v>9769</v>
      </c>
      <c r="B570" s="3" t="s">
        <v>3812</v>
      </c>
      <c r="C570" s="3" t="s">
        <v>1220</v>
      </c>
      <c r="D570" s="3" t="s">
        <v>19</v>
      </c>
      <c r="E570" s="3">
        <v>111777</v>
      </c>
      <c r="F570" s="3">
        <v>15770544850</v>
      </c>
      <c r="G570" s="3">
        <v>514739852</v>
      </c>
      <c r="H570" s="8" t="s">
        <v>3813</v>
      </c>
      <c r="I570" s="8" t="s">
        <v>3813</v>
      </c>
      <c r="J570" s="8"/>
      <c r="L570" s="37" t="s">
        <v>25</v>
      </c>
    </row>
    <row r="571" spans="1:12">
      <c r="A571" s="3">
        <v>9770</v>
      </c>
      <c r="B571" s="3" t="s">
        <v>3817</v>
      </c>
      <c r="C571" s="3" t="s">
        <v>1220</v>
      </c>
      <c r="D571" s="3" t="s">
        <v>19</v>
      </c>
      <c r="E571" s="3">
        <v>111823</v>
      </c>
      <c r="F571" s="3">
        <v>15775262347</v>
      </c>
      <c r="G571" s="3">
        <v>514739861</v>
      </c>
      <c r="H571" s="8" t="s">
        <v>3818</v>
      </c>
      <c r="I571" s="8" t="s">
        <v>3818</v>
      </c>
      <c r="J571" s="8"/>
      <c r="L571" s="37" t="s">
        <v>25</v>
      </c>
    </row>
    <row r="572" spans="1:12">
      <c r="A572" s="3">
        <v>9771</v>
      </c>
      <c r="B572" s="3" t="s">
        <v>3822</v>
      </c>
      <c r="C572" s="3" t="s">
        <v>1220</v>
      </c>
      <c r="D572" s="3" t="s">
        <v>19</v>
      </c>
      <c r="E572" s="3">
        <v>111723</v>
      </c>
      <c r="F572" s="3">
        <v>15770496213</v>
      </c>
      <c r="G572" s="3">
        <v>514739767</v>
      </c>
      <c r="H572" s="8" t="s">
        <v>3823</v>
      </c>
      <c r="I572" s="8" t="s">
        <v>3823</v>
      </c>
      <c r="J572" s="8"/>
      <c r="L572" s="37" t="s">
        <v>25</v>
      </c>
    </row>
    <row r="573" spans="1:12">
      <c r="A573" s="3">
        <v>9772</v>
      </c>
      <c r="B573" s="3" t="s">
        <v>3827</v>
      </c>
      <c r="C573" s="3" t="s">
        <v>1220</v>
      </c>
      <c r="D573" s="3" t="s">
        <v>19</v>
      </c>
      <c r="E573" s="3">
        <v>111894</v>
      </c>
      <c r="F573" s="3">
        <v>15775598837</v>
      </c>
      <c r="G573" s="3">
        <v>514739901</v>
      </c>
      <c r="H573" s="8" t="s">
        <v>3828</v>
      </c>
      <c r="I573" s="8" t="s">
        <v>3828</v>
      </c>
      <c r="J573" s="8"/>
      <c r="L573" s="37" t="s">
        <v>25</v>
      </c>
    </row>
    <row r="574" spans="1:12">
      <c r="A574" s="3">
        <v>9773</v>
      </c>
      <c r="C574" s="3" t="s">
        <v>1220</v>
      </c>
      <c r="H574" s="8"/>
      <c r="I574" s="8"/>
      <c r="J574" s="8"/>
    </row>
    <row r="575" spans="1:12">
      <c r="A575" s="4">
        <v>9774</v>
      </c>
      <c r="C575" s="3" t="s">
        <v>1220</v>
      </c>
      <c r="H575" s="8"/>
      <c r="I575" s="8"/>
      <c r="J575" s="8"/>
    </row>
    <row r="576" spans="1:12">
      <c r="A576" s="3">
        <v>9775</v>
      </c>
      <c r="B576" s="3" t="s">
        <v>3832</v>
      </c>
      <c r="C576" s="3" t="s">
        <v>1220</v>
      </c>
      <c r="D576" s="3" t="s">
        <v>19</v>
      </c>
      <c r="E576" s="3">
        <v>110091</v>
      </c>
      <c r="F576" s="3">
        <v>14742926838</v>
      </c>
      <c r="G576" s="3">
        <v>501459321</v>
      </c>
      <c r="H576" s="8" t="s">
        <v>3833</v>
      </c>
      <c r="I576" s="8" t="s">
        <v>3833</v>
      </c>
      <c r="J576" s="8"/>
      <c r="L576" s="37" t="s">
        <v>25</v>
      </c>
    </row>
    <row r="577" spans="1:12">
      <c r="A577" s="3">
        <v>9776</v>
      </c>
      <c r="B577" s="3" t="s">
        <v>1979</v>
      </c>
      <c r="C577" s="3" t="s">
        <v>1220</v>
      </c>
      <c r="D577" s="3" t="s">
        <v>19</v>
      </c>
      <c r="E577" s="3">
        <v>109472</v>
      </c>
      <c r="F577" s="3">
        <v>14295524490</v>
      </c>
      <c r="G577" s="3">
        <v>495621063</v>
      </c>
      <c r="H577" s="8" t="s">
        <v>1980</v>
      </c>
      <c r="I577" s="8" t="s">
        <v>1980</v>
      </c>
      <c r="J577" s="8"/>
      <c r="L577" s="37" t="s">
        <v>25</v>
      </c>
    </row>
    <row r="578" spans="1:12">
      <c r="A578" s="3">
        <v>9777</v>
      </c>
      <c r="B578" s="3" t="s">
        <v>3839</v>
      </c>
      <c r="C578" s="3" t="s">
        <v>1220</v>
      </c>
      <c r="D578" s="3" t="s">
        <v>19</v>
      </c>
      <c r="E578" s="3">
        <v>111764</v>
      </c>
      <c r="F578" s="3">
        <v>15770540343</v>
      </c>
      <c r="G578" s="3">
        <v>514739917</v>
      </c>
      <c r="H578" s="8" t="s">
        <v>3840</v>
      </c>
      <c r="I578" s="8" t="s">
        <v>3840</v>
      </c>
      <c r="J578" s="8"/>
      <c r="L578" s="37" t="s">
        <v>25</v>
      </c>
    </row>
    <row r="579" spans="1:12">
      <c r="A579" s="3">
        <v>9778</v>
      </c>
      <c r="B579" s="3" t="s">
        <v>2026</v>
      </c>
      <c r="C579" s="3" t="s">
        <v>1220</v>
      </c>
      <c r="D579" s="3" t="s">
        <v>19</v>
      </c>
      <c r="E579" s="3">
        <v>111765</v>
      </c>
      <c r="F579" s="3">
        <v>15770540527</v>
      </c>
      <c r="G579" s="3">
        <v>514739735</v>
      </c>
      <c r="H579" s="8" t="s">
        <v>3844</v>
      </c>
      <c r="I579" s="8" t="s">
        <v>3844</v>
      </c>
      <c r="J579" s="8"/>
      <c r="L579" s="37" t="s">
        <v>25</v>
      </c>
    </row>
    <row r="580" spans="1:12">
      <c r="A580" s="4">
        <v>9779</v>
      </c>
      <c r="C580" s="3" t="s">
        <v>1220</v>
      </c>
      <c r="H580" s="8"/>
      <c r="I580" s="8"/>
      <c r="J580" s="8"/>
    </row>
    <row r="581" spans="1:12">
      <c r="A581" s="3">
        <v>9780</v>
      </c>
      <c r="C581" s="3" t="s">
        <v>1220</v>
      </c>
      <c r="H581" s="8"/>
      <c r="I581" s="8"/>
      <c r="J581" s="8"/>
    </row>
    <row r="582" spans="1:12">
      <c r="A582" s="3">
        <v>9781</v>
      </c>
      <c r="B582" s="3" t="s">
        <v>2030</v>
      </c>
      <c r="C582" s="3" t="s">
        <v>1220</v>
      </c>
      <c r="D582" s="3" t="s">
        <v>19</v>
      </c>
      <c r="E582" s="3">
        <v>109547</v>
      </c>
      <c r="F582" s="3">
        <v>14295682280</v>
      </c>
      <c r="G582" s="3">
        <v>495621139</v>
      </c>
      <c r="H582" s="8" t="s">
        <v>2031</v>
      </c>
      <c r="I582" s="8" t="s">
        <v>2031</v>
      </c>
      <c r="J582" s="8"/>
      <c r="L582" s="37" t="s">
        <v>25</v>
      </c>
    </row>
    <row r="583" spans="1:12">
      <c r="A583" s="3">
        <v>9782</v>
      </c>
      <c r="B583" s="3" t="s">
        <v>2040</v>
      </c>
      <c r="C583" s="3" t="s">
        <v>1220</v>
      </c>
      <c r="D583" s="3" t="s">
        <v>19</v>
      </c>
      <c r="E583" s="3">
        <v>109591</v>
      </c>
      <c r="F583" s="3">
        <v>14299667370</v>
      </c>
      <c r="G583" s="3">
        <v>495621073</v>
      </c>
      <c r="H583" s="8" t="s">
        <v>2039</v>
      </c>
      <c r="I583" s="8" t="s">
        <v>2039</v>
      </c>
      <c r="J583" s="8"/>
      <c r="L583" s="37" t="s">
        <v>25</v>
      </c>
    </row>
    <row r="584" spans="1:12">
      <c r="A584" s="3">
        <v>9783</v>
      </c>
      <c r="B584" s="3" t="s">
        <v>3851</v>
      </c>
      <c r="C584" s="3" t="s">
        <v>1220</v>
      </c>
      <c r="D584" s="3" t="s">
        <v>19</v>
      </c>
      <c r="E584" s="3">
        <v>111794</v>
      </c>
      <c r="F584" s="3">
        <v>15771527072</v>
      </c>
      <c r="G584" s="3">
        <v>514739745</v>
      </c>
      <c r="H584" s="8" t="s">
        <v>3852</v>
      </c>
      <c r="I584" s="8" t="s">
        <v>3852</v>
      </c>
      <c r="J584" s="8"/>
      <c r="L584" s="37" t="s">
        <v>25</v>
      </c>
    </row>
    <row r="585" spans="1:12">
      <c r="A585" s="4">
        <v>9784</v>
      </c>
      <c r="C585" s="3" t="s">
        <v>1220</v>
      </c>
      <c r="H585" s="8"/>
      <c r="I585" s="8"/>
      <c r="J585" s="8"/>
    </row>
    <row r="586" spans="1:12">
      <c r="A586" s="3">
        <v>9785</v>
      </c>
      <c r="C586" s="3" t="s">
        <v>1220</v>
      </c>
      <c r="H586" s="8"/>
      <c r="I586" s="8"/>
      <c r="J586" s="8"/>
    </row>
    <row r="587" spans="1:12">
      <c r="A587" s="3">
        <v>9786</v>
      </c>
      <c r="B587" s="3" t="s">
        <v>2019</v>
      </c>
      <c r="C587" s="3" t="s">
        <v>1220</v>
      </c>
      <c r="D587" s="3" t="s">
        <v>19</v>
      </c>
      <c r="E587" s="3">
        <v>109530</v>
      </c>
      <c r="F587" s="3">
        <v>14295608426</v>
      </c>
      <c r="G587" s="3">
        <v>495621140</v>
      </c>
      <c r="H587" s="8" t="s">
        <v>2020</v>
      </c>
      <c r="I587" s="8" t="s">
        <v>2020</v>
      </c>
      <c r="J587" s="8"/>
      <c r="L587" s="37" t="s">
        <v>25</v>
      </c>
    </row>
    <row r="588" spans="1:12">
      <c r="A588" s="3">
        <v>9787</v>
      </c>
      <c r="B588" s="3" t="s">
        <v>3858</v>
      </c>
      <c r="C588" s="3" t="s">
        <v>1220</v>
      </c>
      <c r="D588" s="3" t="s">
        <v>19</v>
      </c>
      <c r="E588" s="3">
        <v>111898</v>
      </c>
      <c r="F588" s="3">
        <v>15775623973</v>
      </c>
      <c r="G588" s="3">
        <v>514739927</v>
      </c>
      <c r="H588" s="8" t="s">
        <v>3859</v>
      </c>
      <c r="I588" s="8" t="s">
        <v>3859</v>
      </c>
      <c r="J588" s="8"/>
      <c r="L588" s="37" t="s">
        <v>25</v>
      </c>
    </row>
    <row r="589" spans="1:12">
      <c r="A589" s="3">
        <v>9788</v>
      </c>
      <c r="B589" s="3" t="s">
        <v>3862</v>
      </c>
      <c r="C589" s="3" t="s">
        <v>1220</v>
      </c>
      <c r="D589" s="3" t="s">
        <v>19</v>
      </c>
      <c r="E589" s="3">
        <v>111825</v>
      </c>
      <c r="F589" s="3">
        <v>15775284107</v>
      </c>
      <c r="G589" s="3">
        <v>514739928</v>
      </c>
      <c r="H589" s="8" t="s">
        <v>3863</v>
      </c>
      <c r="I589" s="8" t="s">
        <v>3863</v>
      </c>
      <c r="J589" s="8"/>
      <c r="L589" s="37" t="s">
        <v>25</v>
      </c>
    </row>
    <row r="590" spans="1:12">
      <c r="A590" s="4">
        <v>9789</v>
      </c>
      <c r="B590" s="3" t="s">
        <v>3867</v>
      </c>
      <c r="C590" s="3" t="s">
        <v>1220</v>
      </c>
      <c r="D590" s="3" t="s">
        <v>19</v>
      </c>
      <c r="E590" s="3">
        <v>111820</v>
      </c>
      <c r="F590" s="3">
        <v>15775251693</v>
      </c>
      <c r="G590" s="3">
        <v>514739867</v>
      </c>
      <c r="H590" s="8" t="s">
        <v>3868</v>
      </c>
      <c r="I590" s="8" t="s">
        <v>3868</v>
      </c>
      <c r="J590" s="8"/>
      <c r="L590" s="37" t="s">
        <v>25</v>
      </c>
    </row>
    <row r="591" spans="1:12">
      <c r="A591" s="3">
        <v>9790</v>
      </c>
      <c r="B591" s="3" t="s">
        <v>3872</v>
      </c>
      <c r="C591" s="3" t="s">
        <v>1220</v>
      </c>
      <c r="D591" s="3" t="s">
        <v>19</v>
      </c>
      <c r="E591" s="3">
        <v>111829</v>
      </c>
      <c r="F591" s="3">
        <v>15775300221</v>
      </c>
      <c r="G591" s="3">
        <v>514739762</v>
      </c>
      <c r="H591" s="8" t="s">
        <v>3873</v>
      </c>
      <c r="I591" s="8" t="s">
        <v>3873</v>
      </c>
      <c r="J591" s="8"/>
      <c r="L591" s="37" t="s">
        <v>25</v>
      </c>
    </row>
    <row r="592" spans="1:12">
      <c r="A592" s="3">
        <v>9791</v>
      </c>
      <c r="B592" s="3" t="s">
        <v>3877</v>
      </c>
      <c r="C592" s="3" t="s">
        <v>1220</v>
      </c>
      <c r="D592" s="3" t="s">
        <v>19</v>
      </c>
      <c r="E592" s="3">
        <v>111885</v>
      </c>
      <c r="F592" s="3">
        <v>15775565269</v>
      </c>
      <c r="G592" s="3">
        <v>514739773</v>
      </c>
      <c r="H592" s="8" t="s">
        <v>3878</v>
      </c>
      <c r="I592" s="8" t="s">
        <v>3878</v>
      </c>
      <c r="J592" s="8"/>
      <c r="L592" s="37" t="s">
        <v>25</v>
      </c>
    </row>
    <row r="593" spans="1:12">
      <c r="A593" s="3">
        <v>9792</v>
      </c>
      <c r="B593" s="3" t="s">
        <v>3882</v>
      </c>
      <c r="C593" s="3" t="s">
        <v>1220</v>
      </c>
      <c r="D593" s="3" t="s">
        <v>19</v>
      </c>
      <c r="E593" s="3">
        <v>111712</v>
      </c>
      <c r="F593" s="3">
        <v>15770487608</v>
      </c>
      <c r="G593" s="3">
        <v>514739893</v>
      </c>
      <c r="H593" s="8" t="s">
        <v>3883</v>
      </c>
      <c r="I593" s="8" t="s">
        <v>3883</v>
      </c>
      <c r="J593" s="8"/>
      <c r="L593" s="37" t="s">
        <v>25</v>
      </c>
    </row>
    <row r="594" spans="1:12">
      <c r="A594" s="3">
        <v>9793</v>
      </c>
      <c r="C594" s="3" t="s">
        <v>1220</v>
      </c>
      <c r="H594" s="8"/>
      <c r="I594" s="8"/>
      <c r="J594" s="8"/>
    </row>
    <row r="595" spans="1:12">
      <c r="A595" s="4">
        <v>9794</v>
      </c>
      <c r="C595" s="3" t="s">
        <v>1220</v>
      </c>
      <c r="H595" s="8"/>
      <c r="I595" s="8"/>
      <c r="J595" s="8"/>
    </row>
    <row r="596" spans="1:12">
      <c r="A596" s="3">
        <v>9795</v>
      </c>
      <c r="C596" s="3" t="s">
        <v>1220</v>
      </c>
      <c r="H596" s="8"/>
      <c r="I596" s="8"/>
      <c r="J596" s="8"/>
    </row>
    <row r="597" spans="1:12">
      <c r="A597" s="3">
        <v>9796</v>
      </c>
      <c r="C597" s="3" t="s">
        <v>1220</v>
      </c>
      <c r="H597" s="8"/>
      <c r="I597" s="8"/>
      <c r="J597" s="8"/>
    </row>
    <row r="598" spans="1:12">
      <c r="A598" s="3">
        <v>9797</v>
      </c>
      <c r="B598" s="3" t="s">
        <v>2074</v>
      </c>
      <c r="C598" s="3" t="s">
        <v>1220</v>
      </c>
      <c r="D598" s="3" t="s">
        <v>19</v>
      </c>
      <c r="E598" s="3">
        <v>109558</v>
      </c>
      <c r="F598" s="3">
        <v>14295774168</v>
      </c>
      <c r="G598" s="3">
        <v>495621061</v>
      </c>
      <c r="H598" s="8" t="s">
        <v>2075</v>
      </c>
      <c r="I598" s="8" t="s">
        <v>2075</v>
      </c>
      <c r="J598" s="8"/>
      <c r="L598" s="37" t="s">
        <v>25</v>
      </c>
    </row>
    <row r="599" spans="1:12">
      <c r="A599" s="3">
        <v>9798</v>
      </c>
      <c r="B599" s="3" t="s">
        <v>3889</v>
      </c>
      <c r="C599" s="3" t="s">
        <v>1220</v>
      </c>
      <c r="D599" s="3" t="s">
        <v>19</v>
      </c>
      <c r="E599" s="3">
        <v>111699</v>
      </c>
      <c r="F599" s="3">
        <v>15770479226</v>
      </c>
      <c r="G599" s="3">
        <v>514739896</v>
      </c>
      <c r="H599" s="8" t="s">
        <v>3890</v>
      </c>
      <c r="I599" s="8" t="s">
        <v>3890</v>
      </c>
      <c r="J599" s="8"/>
      <c r="L599" s="37" t="s">
        <v>25</v>
      </c>
    </row>
    <row r="600" spans="1:12">
      <c r="A600" s="4">
        <v>9799</v>
      </c>
      <c r="C600" s="3" t="s">
        <v>1220</v>
      </c>
      <c r="H600" s="8"/>
      <c r="I600" s="8"/>
      <c r="J600" s="8"/>
    </row>
    <row r="601" spans="1:12">
      <c r="A601" s="3">
        <v>9800</v>
      </c>
      <c r="C601" s="3" t="s">
        <v>1220</v>
      </c>
      <c r="H601" s="8"/>
      <c r="I601" s="8"/>
      <c r="J601" s="8"/>
    </row>
    <row r="602" spans="1:12">
      <c r="A602" s="3">
        <v>9801</v>
      </c>
      <c r="B602" s="3" t="s">
        <v>3894</v>
      </c>
      <c r="C602" s="3" t="s">
        <v>1220</v>
      </c>
      <c r="D602" s="3" t="s">
        <v>19</v>
      </c>
      <c r="E602" s="3">
        <v>111741</v>
      </c>
      <c r="F602" s="3">
        <v>15770523149</v>
      </c>
      <c r="G602" s="3">
        <v>514739864</v>
      </c>
      <c r="H602" s="8" t="s">
        <v>3895</v>
      </c>
      <c r="I602" s="8" t="s">
        <v>3895</v>
      </c>
      <c r="J602" s="8"/>
      <c r="L602" s="37" t="s">
        <v>25</v>
      </c>
    </row>
    <row r="603" spans="1:12">
      <c r="A603" s="3">
        <v>9802</v>
      </c>
      <c r="C603" s="3" t="s">
        <v>1220</v>
      </c>
      <c r="H603" s="8"/>
      <c r="I603" s="8"/>
      <c r="J603" s="8"/>
    </row>
    <row r="604" spans="1:12">
      <c r="A604" s="3">
        <v>9803</v>
      </c>
      <c r="C604" s="3" t="s">
        <v>1220</v>
      </c>
      <c r="H604" s="8"/>
      <c r="I604" s="8"/>
      <c r="J604" s="8"/>
    </row>
    <row r="605" spans="1:12">
      <c r="A605" s="4">
        <v>9804</v>
      </c>
      <c r="C605" s="3" t="s">
        <v>1220</v>
      </c>
      <c r="H605" s="8"/>
      <c r="I605" s="8"/>
      <c r="J605" s="8"/>
    </row>
    <row r="606" spans="1:12">
      <c r="A606" s="3">
        <v>9805</v>
      </c>
      <c r="C606" s="3" t="s">
        <v>1220</v>
      </c>
      <c r="H606" s="8"/>
      <c r="I606" s="8"/>
      <c r="J606" s="8"/>
    </row>
    <row r="607" spans="1:12">
      <c r="A607" s="3">
        <v>9806</v>
      </c>
      <c r="C607" s="3" t="s">
        <v>1220</v>
      </c>
      <c r="H607" s="8"/>
      <c r="I607" s="8"/>
      <c r="J607" s="8"/>
    </row>
    <row r="608" spans="1:12">
      <c r="A608" s="3">
        <v>9807</v>
      </c>
      <c r="B608" s="3" t="s">
        <v>2142</v>
      </c>
      <c r="C608" s="3" t="s">
        <v>1220</v>
      </c>
      <c r="D608" s="3" t="s">
        <v>19</v>
      </c>
      <c r="E608" s="3">
        <v>108977</v>
      </c>
      <c r="F608" s="3">
        <v>13818431583</v>
      </c>
      <c r="G608" s="3">
        <v>489011246</v>
      </c>
      <c r="H608" s="8" t="s">
        <v>2143</v>
      </c>
      <c r="I608" s="8" t="s">
        <v>2143</v>
      </c>
      <c r="J608" s="8"/>
      <c r="L608" s="37" t="s">
        <v>25</v>
      </c>
    </row>
    <row r="609" spans="1:12">
      <c r="A609" s="3">
        <v>9808</v>
      </c>
      <c r="B609" s="3" t="s">
        <v>3901</v>
      </c>
      <c r="C609" s="3" t="s">
        <v>1220</v>
      </c>
      <c r="D609" s="3" t="s">
        <v>19</v>
      </c>
      <c r="E609" s="3">
        <v>108972</v>
      </c>
      <c r="F609" s="3">
        <v>13818385759</v>
      </c>
      <c r="G609" s="3">
        <v>489011251</v>
      </c>
      <c r="H609" s="8" t="s">
        <v>2139</v>
      </c>
      <c r="I609" s="8" t="s">
        <v>2139</v>
      </c>
      <c r="J609" s="8"/>
      <c r="L609" s="37" t="s">
        <v>25</v>
      </c>
    </row>
    <row r="610" spans="1:12">
      <c r="A610" s="4">
        <v>9809</v>
      </c>
      <c r="C610" s="3" t="s">
        <v>1220</v>
      </c>
      <c r="H610" s="8"/>
      <c r="I610" s="8"/>
      <c r="J610" s="8"/>
    </row>
    <row r="611" spans="1:12">
      <c r="A611" s="3">
        <v>9810</v>
      </c>
      <c r="C611" s="3" t="s">
        <v>1220</v>
      </c>
      <c r="H611" s="8"/>
      <c r="I611" s="8"/>
      <c r="J611" s="8"/>
    </row>
    <row r="612" spans="1:12">
      <c r="A612" s="3">
        <v>9811</v>
      </c>
      <c r="C612" s="3" t="s">
        <v>1220</v>
      </c>
      <c r="H612" s="8"/>
      <c r="I612" s="8"/>
      <c r="J612" s="8"/>
    </row>
    <row r="613" spans="1:12">
      <c r="A613" s="3">
        <v>9812</v>
      </c>
      <c r="B613" s="3" t="s">
        <v>2110</v>
      </c>
      <c r="C613" s="3" t="s">
        <v>1220</v>
      </c>
      <c r="D613" s="3" t="s">
        <v>19</v>
      </c>
      <c r="E613" s="3">
        <v>108971</v>
      </c>
      <c r="F613" s="3">
        <v>13818369240</v>
      </c>
      <c r="G613" s="3">
        <v>489011247</v>
      </c>
      <c r="H613" s="8" t="s">
        <v>2111</v>
      </c>
      <c r="I613" s="8" t="s">
        <v>2111</v>
      </c>
      <c r="J613" s="8"/>
      <c r="L613" s="37" t="s">
        <v>25</v>
      </c>
    </row>
    <row r="614" spans="1:12">
      <c r="A614" s="3">
        <v>9813</v>
      </c>
      <c r="B614" s="3" t="s">
        <v>2102</v>
      </c>
      <c r="C614" s="3" t="s">
        <v>1220</v>
      </c>
      <c r="D614" s="3" t="s">
        <v>19</v>
      </c>
      <c r="E614" s="3">
        <v>109526</v>
      </c>
      <c r="F614" s="3">
        <v>14295604746</v>
      </c>
      <c r="G614" s="3">
        <v>495621074</v>
      </c>
      <c r="H614" s="8" t="s">
        <v>2103</v>
      </c>
      <c r="I614" s="8" t="s">
        <v>2103</v>
      </c>
      <c r="J614" s="8"/>
      <c r="L614" s="37" t="s">
        <v>25</v>
      </c>
    </row>
    <row r="615" spans="1:12">
      <c r="A615" s="4">
        <v>9814</v>
      </c>
      <c r="B615" s="3" t="s">
        <v>2106</v>
      </c>
      <c r="C615" s="3" t="s">
        <v>1220</v>
      </c>
      <c r="D615" s="3" t="s">
        <v>19</v>
      </c>
      <c r="E615" s="3">
        <v>108973</v>
      </c>
      <c r="F615" s="3">
        <v>13818403734</v>
      </c>
      <c r="G615" s="3">
        <v>489011250</v>
      </c>
      <c r="H615" s="8" t="s">
        <v>2107</v>
      </c>
      <c r="I615" s="8" t="s">
        <v>2107</v>
      </c>
      <c r="J615" s="8"/>
      <c r="L615" s="37" t="s">
        <v>25</v>
      </c>
    </row>
    <row r="616" spans="1:12">
      <c r="A616" s="3">
        <v>9815</v>
      </c>
      <c r="B616" s="3" t="s">
        <v>3910</v>
      </c>
      <c r="C616" s="3" t="s">
        <v>1220</v>
      </c>
      <c r="D616" s="3" t="s">
        <v>19</v>
      </c>
      <c r="E616" s="3">
        <v>111843</v>
      </c>
      <c r="F616" s="3">
        <v>15775357186</v>
      </c>
      <c r="G616" s="3">
        <v>514739741</v>
      </c>
      <c r="H616" s="8" t="s">
        <v>3911</v>
      </c>
      <c r="I616" s="8" t="s">
        <v>3911</v>
      </c>
      <c r="J616" s="8"/>
      <c r="L616" s="37" t="s">
        <v>25</v>
      </c>
    </row>
    <row r="617" spans="1:12">
      <c r="A617" s="3">
        <v>9816</v>
      </c>
      <c r="B617" s="3" t="s">
        <v>3915</v>
      </c>
      <c r="C617" s="3" t="s">
        <v>1220</v>
      </c>
      <c r="D617" s="3" t="s">
        <v>19</v>
      </c>
      <c r="E617" s="3">
        <v>111854</v>
      </c>
      <c r="F617" s="3">
        <v>15775393961</v>
      </c>
      <c r="G617" s="3">
        <v>514739831</v>
      </c>
      <c r="H617" s="8" t="s">
        <v>3916</v>
      </c>
      <c r="I617" s="8" t="s">
        <v>3916</v>
      </c>
      <c r="J617" s="8"/>
      <c r="L617" s="37" t="s">
        <v>25</v>
      </c>
    </row>
    <row r="618" spans="1:12">
      <c r="A618" s="3">
        <v>9817</v>
      </c>
      <c r="B618" s="3" t="s">
        <v>3920</v>
      </c>
      <c r="C618" s="3" t="s">
        <v>1220</v>
      </c>
      <c r="D618" s="3" t="s">
        <v>19</v>
      </c>
      <c r="E618" s="3">
        <v>111859</v>
      </c>
      <c r="F618" s="3">
        <v>15775421053</v>
      </c>
      <c r="G618" s="3">
        <v>514739856</v>
      </c>
      <c r="H618" s="8" t="s">
        <v>3921</v>
      </c>
      <c r="I618" s="8" t="s">
        <v>3921</v>
      </c>
      <c r="J618" s="8"/>
      <c r="L618" s="37" t="s">
        <v>25</v>
      </c>
    </row>
    <row r="619" spans="1:12">
      <c r="A619" s="3">
        <v>9818</v>
      </c>
      <c r="C619" s="3" t="s">
        <v>1220</v>
      </c>
      <c r="H619" s="8"/>
      <c r="I619" s="8"/>
      <c r="J619" s="8"/>
    </row>
    <row r="620" spans="1:12">
      <c r="A620" s="4">
        <v>9819</v>
      </c>
      <c r="C620" s="3" t="s">
        <v>1220</v>
      </c>
      <c r="H620" s="8"/>
      <c r="I620" s="8"/>
      <c r="J620" s="8"/>
    </row>
    <row r="621" spans="1:12">
      <c r="A621" s="3">
        <v>9820</v>
      </c>
      <c r="B621" s="3" t="s">
        <v>3925</v>
      </c>
      <c r="C621" s="3" t="s">
        <v>1220</v>
      </c>
      <c r="D621" s="3" t="s">
        <v>19</v>
      </c>
      <c r="E621" s="3">
        <v>108974</v>
      </c>
      <c r="F621" s="3">
        <v>13818413479</v>
      </c>
      <c r="G621" s="3">
        <v>489011253</v>
      </c>
      <c r="H621" s="8" t="s">
        <v>2135</v>
      </c>
      <c r="I621" s="8" t="s">
        <v>2135</v>
      </c>
      <c r="J621" s="8"/>
      <c r="L621" s="37" t="s">
        <v>25</v>
      </c>
    </row>
    <row r="622" spans="1:12">
      <c r="A622" s="3">
        <v>9821</v>
      </c>
      <c r="B622" s="3" t="s">
        <v>2126</v>
      </c>
      <c r="C622" s="3" t="s">
        <v>1220</v>
      </c>
      <c r="D622" s="3" t="s">
        <v>19</v>
      </c>
      <c r="E622" s="3">
        <v>108976</v>
      </c>
      <c r="F622" s="3">
        <v>13818427018</v>
      </c>
      <c r="G622" s="3">
        <v>489011259</v>
      </c>
      <c r="H622" s="8" t="s">
        <v>2127</v>
      </c>
      <c r="I622" s="8" t="s">
        <v>2127</v>
      </c>
      <c r="J622" s="8"/>
      <c r="L622" s="37" t="s">
        <v>25</v>
      </c>
    </row>
    <row r="623" spans="1:12">
      <c r="A623" s="3">
        <v>9822</v>
      </c>
      <c r="B623" s="3" t="s">
        <v>2158</v>
      </c>
      <c r="C623" s="3" t="s">
        <v>1220</v>
      </c>
      <c r="D623" s="3" t="s">
        <v>19</v>
      </c>
      <c r="E623" s="3">
        <v>111861</v>
      </c>
      <c r="F623" s="3">
        <v>15775421055</v>
      </c>
      <c r="G623" s="3">
        <v>514739845</v>
      </c>
      <c r="H623" s="8" t="s">
        <v>3930</v>
      </c>
      <c r="I623" s="8" t="s">
        <v>3930</v>
      </c>
      <c r="J623" s="8"/>
      <c r="L623" s="37" t="s">
        <v>25</v>
      </c>
    </row>
    <row r="624" spans="1:12">
      <c r="A624" s="3">
        <v>9823</v>
      </c>
      <c r="B624" s="3" t="s">
        <v>3934</v>
      </c>
      <c r="C624" s="3" t="s">
        <v>1220</v>
      </c>
      <c r="D624" s="3" t="s">
        <v>19</v>
      </c>
      <c r="E624" s="3">
        <v>111810</v>
      </c>
      <c r="F624" s="3">
        <v>15771909876</v>
      </c>
      <c r="G624" s="3">
        <v>514739820</v>
      </c>
      <c r="H624" s="8" t="s">
        <v>3935</v>
      </c>
      <c r="I624" s="8" t="s">
        <v>3935</v>
      </c>
      <c r="J624" s="8"/>
      <c r="L624" s="37" t="s">
        <v>25</v>
      </c>
    </row>
    <row r="625" spans="1:12">
      <c r="A625" s="4">
        <v>9824</v>
      </c>
      <c r="B625" s="3" t="s">
        <v>3939</v>
      </c>
      <c r="C625" s="3" t="s">
        <v>1220</v>
      </c>
      <c r="D625" s="3" t="s">
        <v>19</v>
      </c>
      <c r="E625" s="3">
        <v>111711</v>
      </c>
      <c r="F625" s="3">
        <v>15770486921</v>
      </c>
      <c r="G625" s="3">
        <v>514739812</v>
      </c>
      <c r="H625" s="8" t="s">
        <v>3940</v>
      </c>
      <c r="I625" s="8" t="s">
        <v>3940</v>
      </c>
      <c r="J625" s="8"/>
      <c r="L625" s="37" t="s">
        <v>25</v>
      </c>
    </row>
    <row r="626" spans="1:12">
      <c r="A626" s="3">
        <v>9825</v>
      </c>
      <c r="C626" s="3" t="s">
        <v>1220</v>
      </c>
      <c r="H626" s="8"/>
      <c r="I626" s="8"/>
      <c r="J626" s="8"/>
    </row>
    <row r="627" spans="1:12">
      <c r="A627" s="3">
        <v>9826</v>
      </c>
      <c r="C627" s="3" t="s">
        <v>1220</v>
      </c>
      <c r="H627" s="8"/>
      <c r="I627" s="8"/>
      <c r="J627" s="8"/>
    </row>
    <row r="628" spans="1:12">
      <c r="A628" s="3">
        <v>9827</v>
      </c>
      <c r="B628" s="3" t="s">
        <v>3944</v>
      </c>
      <c r="C628" s="3" t="s">
        <v>1220</v>
      </c>
      <c r="D628" s="3" t="s">
        <v>19</v>
      </c>
      <c r="E628" s="3">
        <v>111695</v>
      </c>
      <c r="F628" s="3">
        <v>15770479111</v>
      </c>
      <c r="G628" s="3">
        <v>514739874</v>
      </c>
      <c r="H628" s="8" t="s">
        <v>3945</v>
      </c>
      <c r="I628" s="8" t="s">
        <v>3945</v>
      </c>
      <c r="J628" s="8"/>
      <c r="L628" s="37" t="s">
        <v>25</v>
      </c>
    </row>
    <row r="629" spans="1:12">
      <c r="A629" s="3">
        <v>9828</v>
      </c>
      <c r="B629" s="3" t="s">
        <v>3948</v>
      </c>
      <c r="C629" s="3" t="s">
        <v>1220</v>
      </c>
      <c r="D629" s="3" t="s">
        <v>19</v>
      </c>
      <c r="E629" s="3">
        <v>111707</v>
      </c>
      <c r="F629" s="3">
        <v>15770486676</v>
      </c>
      <c r="G629" s="3">
        <v>514739805</v>
      </c>
      <c r="H629" s="8" t="s">
        <v>3949</v>
      </c>
      <c r="I629" s="8" t="s">
        <v>3949</v>
      </c>
      <c r="J629" s="8"/>
      <c r="L629" s="37" t="s">
        <v>25</v>
      </c>
    </row>
    <row r="630" spans="1:12">
      <c r="A630" s="4">
        <v>9829</v>
      </c>
      <c r="B630" s="3" t="s">
        <v>2154</v>
      </c>
      <c r="C630" s="3" t="s">
        <v>1220</v>
      </c>
      <c r="D630" s="3" t="s">
        <v>19</v>
      </c>
      <c r="E630" s="3">
        <v>111742</v>
      </c>
      <c r="F630" s="3">
        <v>15770532899</v>
      </c>
      <c r="G630" s="3">
        <v>514739887</v>
      </c>
      <c r="H630" s="8" t="s">
        <v>3953</v>
      </c>
      <c r="I630" s="8" t="s">
        <v>3953</v>
      </c>
      <c r="J630" s="8"/>
      <c r="L630" s="37" t="s">
        <v>25</v>
      </c>
    </row>
    <row r="631" spans="1:12">
      <c r="A631" s="3">
        <v>9830</v>
      </c>
      <c r="B631" s="3" t="s">
        <v>3957</v>
      </c>
      <c r="C631" s="3" t="s">
        <v>1220</v>
      </c>
      <c r="D631" s="3" t="s">
        <v>19</v>
      </c>
      <c r="E631" s="3">
        <v>111818</v>
      </c>
      <c r="F631" s="3">
        <v>15775251691</v>
      </c>
      <c r="G631" s="3">
        <v>514739798</v>
      </c>
      <c r="H631" s="8" t="s">
        <v>3958</v>
      </c>
      <c r="I631" s="8" t="s">
        <v>3958</v>
      </c>
      <c r="J631" s="8"/>
      <c r="L631" s="37" t="s">
        <v>25</v>
      </c>
    </row>
    <row r="632" spans="1:12">
      <c r="A632" s="3">
        <v>9831</v>
      </c>
      <c r="B632" s="3" t="s">
        <v>2162</v>
      </c>
      <c r="C632" s="3" t="s">
        <v>1220</v>
      </c>
      <c r="D632" s="3" t="s">
        <v>19</v>
      </c>
      <c r="E632" s="3">
        <v>108978</v>
      </c>
      <c r="F632" s="3">
        <v>13818433356</v>
      </c>
      <c r="G632" s="3">
        <v>489011248</v>
      </c>
      <c r="H632" s="8" t="s">
        <v>2163</v>
      </c>
      <c r="I632" s="8" t="s">
        <v>2163</v>
      </c>
      <c r="J632" s="8"/>
      <c r="L632" s="37" t="s">
        <v>25</v>
      </c>
    </row>
    <row r="633" spans="1:12">
      <c r="A633" s="3">
        <v>9832</v>
      </c>
      <c r="B633" s="3" t="s">
        <v>3964</v>
      </c>
      <c r="C633" s="3" t="s">
        <v>1220</v>
      </c>
      <c r="D633" s="3" t="s">
        <v>19</v>
      </c>
      <c r="E633" s="3">
        <v>108975</v>
      </c>
      <c r="F633" s="3">
        <v>13818416843</v>
      </c>
      <c r="G633" s="3">
        <v>489011254</v>
      </c>
      <c r="H633" s="8" t="s">
        <v>3965</v>
      </c>
      <c r="I633" s="8" t="s">
        <v>3965</v>
      </c>
      <c r="J633" s="8"/>
      <c r="L633" s="37" t="s">
        <v>25</v>
      </c>
    </row>
    <row r="634" spans="1:12">
      <c r="A634" s="3">
        <v>9833</v>
      </c>
      <c r="B634" s="3" t="s">
        <v>2150</v>
      </c>
      <c r="C634" s="3" t="s">
        <v>1220</v>
      </c>
      <c r="D634" s="3" t="s">
        <v>19</v>
      </c>
      <c r="E634" s="3">
        <v>111842</v>
      </c>
      <c r="F634" s="3">
        <v>15775357185</v>
      </c>
      <c r="G634" s="3">
        <v>514739791</v>
      </c>
      <c r="H634" s="8" t="s">
        <v>3969</v>
      </c>
      <c r="I634" s="8" t="s">
        <v>3969</v>
      </c>
      <c r="J634" s="8"/>
      <c r="L634" s="37" t="s">
        <v>25</v>
      </c>
    </row>
    <row r="635" spans="1:12">
      <c r="A635" s="4">
        <v>9834</v>
      </c>
      <c r="B635" s="3" t="s">
        <v>2130</v>
      </c>
      <c r="C635" s="3" t="s">
        <v>1220</v>
      </c>
      <c r="D635" s="3" t="s">
        <v>19</v>
      </c>
      <c r="E635" s="3">
        <v>109553</v>
      </c>
      <c r="F635" s="3">
        <v>14295760150</v>
      </c>
      <c r="G635" s="3">
        <v>495621253</v>
      </c>
      <c r="H635" s="8" t="s">
        <v>3973</v>
      </c>
      <c r="I635" s="8" t="s">
        <v>3973</v>
      </c>
      <c r="J635" s="8"/>
      <c r="L635" s="37" t="s">
        <v>25</v>
      </c>
    </row>
    <row r="636" spans="1:12">
      <c r="A636" s="3">
        <v>9835</v>
      </c>
      <c r="C636" s="3" t="s">
        <v>1220</v>
      </c>
      <c r="H636" s="8"/>
      <c r="I636" s="8"/>
      <c r="J636" s="8"/>
    </row>
    <row r="637" spans="1:12">
      <c r="A637" s="3">
        <v>9836</v>
      </c>
      <c r="C637" s="3" t="s">
        <v>1220</v>
      </c>
      <c r="H637" s="8"/>
      <c r="I637" s="8"/>
      <c r="J637" s="8"/>
    </row>
    <row r="638" spans="1:12">
      <c r="A638" s="3">
        <v>9837</v>
      </c>
      <c r="C638" s="3" t="s">
        <v>1220</v>
      </c>
      <c r="H638" s="8"/>
      <c r="I638" s="8"/>
      <c r="J638" s="8"/>
    </row>
    <row r="639" spans="1:12">
      <c r="A639" s="3">
        <v>9838</v>
      </c>
      <c r="C639" s="3" t="s">
        <v>1220</v>
      </c>
      <c r="H639" s="8"/>
      <c r="I639" s="8"/>
      <c r="J639" s="8"/>
    </row>
    <row r="640" spans="1:12">
      <c r="A640" s="4">
        <v>9839</v>
      </c>
      <c r="B640" s="3" t="s">
        <v>3977</v>
      </c>
      <c r="C640" s="3" t="s">
        <v>1220</v>
      </c>
      <c r="D640" s="3" t="s">
        <v>19</v>
      </c>
      <c r="E640" s="3">
        <v>111821</v>
      </c>
      <c r="F640" s="3">
        <v>15775262345</v>
      </c>
      <c r="G640" s="3">
        <v>514739894</v>
      </c>
      <c r="H640" s="8" t="s">
        <v>3978</v>
      </c>
      <c r="I640" s="8" t="s">
        <v>3978</v>
      </c>
      <c r="J640" s="8"/>
      <c r="L640" s="37" t="s">
        <v>25</v>
      </c>
    </row>
    <row r="641" spans="1:12">
      <c r="A641" s="3">
        <v>9840</v>
      </c>
      <c r="B641" s="3" t="s">
        <v>3982</v>
      </c>
      <c r="C641" s="3" t="s">
        <v>1220</v>
      </c>
      <c r="D641" s="3" t="s">
        <v>19</v>
      </c>
      <c r="E641" s="3">
        <v>111710</v>
      </c>
      <c r="F641" s="3">
        <v>15770486920</v>
      </c>
      <c r="G641" s="3">
        <v>514739748</v>
      </c>
      <c r="H641" s="8" t="s">
        <v>3983</v>
      </c>
      <c r="I641" s="8" t="s">
        <v>3983</v>
      </c>
      <c r="J641" s="8"/>
      <c r="L641" s="37" t="s">
        <v>25</v>
      </c>
    </row>
    <row r="642" spans="1:12">
      <c r="A642" s="3">
        <v>9841</v>
      </c>
      <c r="B642" s="3" t="s">
        <v>3987</v>
      </c>
      <c r="C642" s="3" t="s">
        <v>1220</v>
      </c>
      <c r="D642" s="3" t="s">
        <v>19</v>
      </c>
      <c r="E642" s="3">
        <v>111791</v>
      </c>
      <c r="F642" s="3">
        <v>15771527069</v>
      </c>
      <c r="G642" s="3">
        <v>514739908</v>
      </c>
      <c r="H642" s="8" t="s">
        <v>3988</v>
      </c>
      <c r="I642" s="8" t="s">
        <v>3988</v>
      </c>
      <c r="J642" s="8"/>
      <c r="L642" s="37" t="s">
        <v>25</v>
      </c>
    </row>
    <row r="643" spans="1:12">
      <c r="A643" s="3">
        <v>9842</v>
      </c>
      <c r="B643" s="3" t="s">
        <v>3992</v>
      </c>
      <c r="C643" s="3" t="s">
        <v>1220</v>
      </c>
      <c r="D643" s="3" t="s">
        <v>19</v>
      </c>
      <c r="E643" s="3">
        <v>111745</v>
      </c>
      <c r="F643" s="3">
        <v>15770532902</v>
      </c>
      <c r="G643" s="3">
        <v>514739728</v>
      </c>
      <c r="H643" s="8" t="s">
        <v>3993</v>
      </c>
      <c r="I643" s="8" t="s">
        <v>3993</v>
      </c>
      <c r="J643" s="8"/>
      <c r="L643" s="37" t="s">
        <v>25</v>
      </c>
    </row>
    <row r="644" spans="1:12">
      <c r="A644" s="3">
        <v>9843</v>
      </c>
      <c r="C644" s="3" t="s">
        <v>1220</v>
      </c>
      <c r="H644" s="8"/>
      <c r="I644" s="8"/>
      <c r="J644" s="8"/>
    </row>
    <row r="645" spans="1:12">
      <c r="A645" s="4">
        <v>9844</v>
      </c>
      <c r="C645" s="3" t="s">
        <v>1220</v>
      </c>
      <c r="H645" s="8"/>
      <c r="I645" s="8"/>
      <c r="J645" s="8"/>
    </row>
    <row r="646" spans="1:12">
      <c r="A646" s="3">
        <v>9845</v>
      </c>
      <c r="B646" s="3" t="s">
        <v>2249</v>
      </c>
      <c r="C646" s="3" t="s">
        <v>1220</v>
      </c>
      <c r="D646" s="3" t="s">
        <v>19</v>
      </c>
      <c r="E646" s="3">
        <v>109682</v>
      </c>
      <c r="F646" s="3">
        <v>14507339012</v>
      </c>
      <c r="G646" s="3">
        <v>498373754</v>
      </c>
      <c r="H646" s="8" t="s">
        <v>2250</v>
      </c>
      <c r="I646" s="8" t="s">
        <v>2250</v>
      </c>
      <c r="J646" s="8"/>
      <c r="L646" s="37" t="s">
        <v>25</v>
      </c>
    </row>
    <row r="647" spans="1:12">
      <c r="A647" s="3">
        <v>9846</v>
      </c>
      <c r="B647" s="3" t="s">
        <v>2376</v>
      </c>
      <c r="C647" s="3" t="s">
        <v>1220</v>
      </c>
      <c r="D647" s="3" t="s">
        <v>19</v>
      </c>
      <c r="E647" s="3">
        <v>109446</v>
      </c>
      <c r="F647" s="3">
        <v>14295412063</v>
      </c>
      <c r="G647" s="3">
        <v>495621106</v>
      </c>
      <c r="H647" s="8" t="s">
        <v>2377</v>
      </c>
      <c r="I647" s="8" t="s">
        <v>2377</v>
      </c>
      <c r="J647" s="8"/>
      <c r="L647" s="37" t="s">
        <v>25</v>
      </c>
    </row>
    <row r="648" spans="1:12">
      <c r="A648" s="3">
        <v>9847</v>
      </c>
      <c r="B648" s="3" t="s">
        <v>2380</v>
      </c>
      <c r="C648" s="3" t="s">
        <v>1220</v>
      </c>
      <c r="D648" s="3" t="s">
        <v>19</v>
      </c>
      <c r="E648" s="3">
        <v>109589</v>
      </c>
      <c r="F648" s="3">
        <v>14299667368</v>
      </c>
      <c r="G648" s="3">
        <v>495621149</v>
      </c>
      <c r="H648" s="8" t="s">
        <v>2381</v>
      </c>
      <c r="I648" s="8" t="s">
        <v>2381</v>
      </c>
      <c r="J648" s="8"/>
      <c r="L648" s="37" t="s">
        <v>25</v>
      </c>
    </row>
    <row r="649" spans="1:12">
      <c r="A649" s="3">
        <v>9848</v>
      </c>
      <c r="B649" s="3" t="s">
        <v>2372</v>
      </c>
      <c r="C649" s="3" t="s">
        <v>1220</v>
      </c>
      <c r="D649" s="3" t="s">
        <v>19</v>
      </c>
      <c r="E649" s="3">
        <v>109556</v>
      </c>
      <c r="F649" s="3">
        <v>14295772091</v>
      </c>
      <c r="G649" s="3">
        <v>495621240</v>
      </c>
      <c r="H649" s="8" t="s">
        <v>2373</v>
      </c>
      <c r="I649" s="8" t="s">
        <v>2373</v>
      </c>
      <c r="J649" s="8"/>
      <c r="L649" s="37" t="s">
        <v>25</v>
      </c>
    </row>
    <row r="650" spans="1:12">
      <c r="A650" s="4">
        <v>9849</v>
      </c>
      <c r="B650" s="3" t="s">
        <v>4005</v>
      </c>
      <c r="C650" s="3" t="s">
        <v>1220</v>
      </c>
      <c r="D650" s="3" t="s">
        <v>19</v>
      </c>
      <c r="E650" s="3">
        <v>111709</v>
      </c>
      <c r="F650" s="3">
        <v>15770486919</v>
      </c>
      <c r="G650" s="3">
        <v>514739769</v>
      </c>
      <c r="H650" s="8" t="s">
        <v>4006</v>
      </c>
      <c r="I650" s="8" t="s">
        <v>4006</v>
      </c>
      <c r="J650" s="8"/>
      <c r="L650" s="37" t="s">
        <v>25</v>
      </c>
    </row>
    <row r="651" spans="1:12">
      <c r="A651" s="3">
        <v>9850</v>
      </c>
      <c r="B651" s="3" t="s">
        <v>4010</v>
      </c>
      <c r="C651" s="3" t="s">
        <v>1220</v>
      </c>
      <c r="D651" s="3" t="s">
        <v>19</v>
      </c>
      <c r="E651" s="3">
        <v>111702</v>
      </c>
      <c r="F651" s="3">
        <v>15770479304</v>
      </c>
      <c r="G651" s="3">
        <v>514739868</v>
      </c>
      <c r="H651" s="8" t="s">
        <v>4011</v>
      </c>
      <c r="I651" s="8" t="s">
        <v>4011</v>
      </c>
      <c r="J651" s="8"/>
      <c r="L651" s="37" t="s">
        <v>25</v>
      </c>
    </row>
    <row r="652" spans="1:12">
      <c r="A652" s="3">
        <v>9851</v>
      </c>
      <c r="B652" s="3" t="s">
        <v>4015</v>
      </c>
      <c r="C652" s="3" t="s">
        <v>1220</v>
      </c>
      <c r="D652" s="3" t="s">
        <v>19</v>
      </c>
      <c r="E652" s="3">
        <v>111874</v>
      </c>
      <c r="F652" s="3">
        <v>15775498439</v>
      </c>
      <c r="G652" s="3">
        <v>514739923</v>
      </c>
      <c r="H652" s="8" t="s">
        <v>4016</v>
      </c>
      <c r="I652" s="8" t="s">
        <v>4016</v>
      </c>
      <c r="J652" s="8"/>
      <c r="L652" s="37" t="s">
        <v>25</v>
      </c>
    </row>
    <row r="653" spans="1:12">
      <c r="A653" s="3">
        <v>9852</v>
      </c>
      <c r="C653" s="3" t="s">
        <v>1220</v>
      </c>
      <c r="H653" s="8"/>
      <c r="I653" s="8"/>
      <c r="J653" s="8"/>
    </row>
    <row r="654" spans="1:12">
      <c r="A654" s="3">
        <v>9853</v>
      </c>
      <c r="C654" s="3" t="s">
        <v>1220</v>
      </c>
      <c r="H654" s="8"/>
      <c r="I654" s="8"/>
      <c r="J654" s="8"/>
    </row>
    <row r="655" spans="1:12">
      <c r="A655" s="4">
        <v>9854</v>
      </c>
      <c r="B655" s="3" t="s">
        <v>4020</v>
      </c>
      <c r="C655" s="3" t="s">
        <v>1220</v>
      </c>
      <c r="D655" s="3" t="s">
        <v>19</v>
      </c>
      <c r="E655" s="3">
        <v>111786</v>
      </c>
      <c r="F655" s="3">
        <v>15771527064</v>
      </c>
      <c r="G655" s="3">
        <v>514739729</v>
      </c>
      <c r="H655" s="8" t="s">
        <v>4021</v>
      </c>
      <c r="I655" s="8" t="s">
        <v>4021</v>
      </c>
      <c r="J655" s="8"/>
      <c r="L655" s="37" t="s">
        <v>25</v>
      </c>
    </row>
    <row r="656" spans="1:12">
      <c r="A656" s="3">
        <v>9855</v>
      </c>
      <c r="B656" s="3" t="s">
        <v>4025</v>
      </c>
      <c r="C656" s="3" t="s">
        <v>1220</v>
      </c>
      <c r="D656" s="3" t="s">
        <v>19</v>
      </c>
      <c r="E656" s="3">
        <v>111828</v>
      </c>
      <c r="F656" s="3">
        <v>15775300220</v>
      </c>
      <c r="G656" s="3">
        <v>514739899</v>
      </c>
      <c r="H656" s="8" t="s">
        <v>4026</v>
      </c>
      <c r="I656" s="8" t="s">
        <v>4026</v>
      </c>
      <c r="J656" s="8"/>
      <c r="L656" s="37" t="s">
        <v>25</v>
      </c>
    </row>
    <row r="657" spans="1:12">
      <c r="A657" s="3">
        <v>9856</v>
      </c>
      <c r="B657" s="3" t="s">
        <v>2471</v>
      </c>
      <c r="C657" s="3" t="s">
        <v>1220</v>
      </c>
      <c r="D657" s="3" t="s">
        <v>19</v>
      </c>
      <c r="E657" s="3">
        <v>109512</v>
      </c>
      <c r="F657" s="3">
        <v>14295564807</v>
      </c>
      <c r="G657" s="3">
        <v>495621128</v>
      </c>
      <c r="H657" s="8" t="s">
        <v>2472</v>
      </c>
      <c r="I657" s="8" t="s">
        <v>2472</v>
      </c>
      <c r="J657" s="8"/>
      <c r="L657" s="37" t="s">
        <v>25</v>
      </c>
    </row>
    <row r="658" spans="1:12">
      <c r="A658" s="3">
        <v>9857</v>
      </c>
      <c r="B658" s="3" t="s">
        <v>2475</v>
      </c>
      <c r="C658" s="3" t="s">
        <v>1220</v>
      </c>
      <c r="D658" s="3" t="s">
        <v>19</v>
      </c>
      <c r="E658" s="3">
        <v>109449</v>
      </c>
      <c r="F658" s="3">
        <v>14295434813</v>
      </c>
      <c r="G658" s="3">
        <v>495621172</v>
      </c>
      <c r="H658" s="8" t="s">
        <v>2476</v>
      </c>
      <c r="I658" s="8" t="s">
        <v>2476</v>
      </c>
      <c r="J658" s="8"/>
      <c r="L658" s="37" t="s">
        <v>25</v>
      </c>
    </row>
    <row r="659" spans="1:12">
      <c r="A659" s="3">
        <v>9858</v>
      </c>
      <c r="B659" s="3" t="s">
        <v>4034</v>
      </c>
      <c r="C659" s="3" t="s">
        <v>1220</v>
      </c>
      <c r="D659" s="3" t="s">
        <v>19</v>
      </c>
      <c r="E659" s="3">
        <v>111902</v>
      </c>
      <c r="F659" s="3">
        <v>15775628882</v>
      </c>
      <c r="G659" s="3">
        <v>514739926</v>
      </c>
      <c r="H659" s="8" t="s">
        <v>4035</v>
      </c>
      <c r="I659" s="8" t="s">
        <v>4035</v>
      </c>
      <c r="J659" s="8"/>
      <c r="L659" s="37" t="s">
        <v>25</v>
      </c>
    </row>
    <row r="660" spans="1:12">
      <c r="A660" s="4">
        <v>9859</v>
      </c>
      <c r="C660" s="3" t="s">
        <v>1220</v>
      </c>
      <c r="H660" s="8"/>
      <c r="I660" s="8"/>
      <c r="J660" s="8"/>
    </row>
    <row r="661" spans="1:12">
      <c r="A661" s="3">
        <v>9860</v>
      </c>
      <c r="C661" s="3" t="s">
        <v>1220</v>
      </c>
      <c r="H661" s="8"/>
      <c r="I661" s="8"/>
      <c r="J661" s="8"/>
    </row>
    <row r="662" spans="1:12">
      <c r="A662" s="3">
        <v>9861</v>
      </c>
      <c r="B662" s="3" t="s">
        <v>4039</v>
      </c>
      <c r="C662" s="3" t="s">
        <v>1220</v>
      </c>
      <c r="D662" s="3" t="s">
        <v>19</v>
      </c>
      <c r="E662" s="3">
        <v>111836</v>
      </c>
      <c r="F662" s="3">
        <v>15775328387</v>
      </c>
      <c r="G662" s="3">
        <v>514739727</v>
      </c>
      <c r="H662" s="8" t="s">
        <v>4040</v>
      </c>
      <c r="I662" s="8" t="s">
        <v>4040</v>
      </c>
      <c r="J662" s="8"/>
      <c r="L662" s="37" t="s">
        <v>25</v>
      </c>
    </row>
    <row r="663" spans="1:12">
      <c r="A663" s="3">
        <v>9862</v>
      </c>
      <c r="C663" s="3" t="s">
        <v>1220</v>
      </c>
      <c r="H663" s="8"/>
      <c r="I663" s="8"/>
      <c r="J663" s="8"/>
    </row>
    <row r="664" spans="1:12">
      <c r="A664" s="3">
        <v>9863</v>
      </c>
      <c r="C664" s="3" t="s">
        <v>1220</v>
      </c>
      <c r="H664" s="8"/>
      <c r="I664" s="8"/>
      <c r="J664" s="8"/>
    </row>
    <row r="665" spans="1:12">
      <c r="A665" s="4">
        <v>9864</v>
      </c>
      <c r="B665" s="3" t="s">
        <v>2443</v>
      </c>
      <c r="C665" s="3" t="s">
        <v>1220</v>
      </c>
      <c r="D665" s="3" t="s">
        <v>19</v>
      </c>
      <c r="E665" s="3">
        <v>109461</v>
      </c>
      <c r="F665" s="3">
        <v>14295509124</v>
      </c>
      <c r="G665" s="3">
        <v>495621079</v>
      </c>
      <c r="H665" s="8" t="s">
        <v>2444</v>
      </c>
      <c r="I665" s="8" t="s">
        <v>2444</v>
      </c>
      <c r="J665" s="8"/>
      <c r="L665" s="37" t="s">
        <v>25</v>
      </c>
    </row>
    <row r="666" spans="1:12">
      <c r="A666" s="3">
        <v>9865</v>
      </c>
      <c r="B666" s="3" t="s">
        <v>4046</v>
      </c>
      <c r="C666" s="3" t="s">
        <v>1220</v>
      </c>
      <c r="D666" s="3" t="s">
        <v>19</v>
      </c>
      <c r="E666" s="3">
        <v>111822</v>
      </c>
      <c r="F666" s="3">
        <v>15775262346</v>
      </c>
      <c r="G666" s="3">
        <v>514739851</v>
      </c>
      <c r="H666" s="8" t="s">
        <v>4047</v>
      </c>
      <c r="I666" s="8" t="s">
        <v>4047</v>
      </c>
      <c r="J666" s="8"/>
      <c r="L666" s="37" t="s">
        <v>25</v>
      </c>
    </row>
    <row r="667" spans="1:12">
      <c r="A667" s="3">
        <v>9866</v>
      </c>
      <c r="C667" s="3" t="s">
        <v>1220</v>
      </c>
      <c r="H667" s="8"/>
      <c r="I667" s="8"/>
      <c r="J667" s="8"/>
    </row>
    <row r="668" spans="1:12">
      <c r="A668" s="3">
        <v>9867</v>
      </c>
      <c r="C668" s="3" t="s">
        <v>1220</v>
      </c>
      <c r="H668" s="8"/>
      <c r="I668" s="8"/>
      <c r="J668" s="8"/>
    </row>
    <row r="669" spans="1:12">
      <c r="A669" s="3">
        <v>9868</v>
      </c>
      <c r="B669" s="3" t="s">
        <v>4051</v>
      </c>
      <c r="C669" s="3" t="s">
        <v>1220</v>
      </c>
      <c r="D669" s="3" t="s">
        <v>19</v>
      </c>
      <c r="E669" s="3">
        <v>111814</v>
      </c>
      <c r="F669" s="3">
        <v>15775218699</v>
      </c>
      <c r="G669" s="3">
        <v>514739733</v>
      </c>
      <c r="H669" s="8" t="s">
        <v>4052</v>
      </c>
      <c r="I669" s="8" t="s">
        <v>4052</v>
      </c>
      <c r="J669" s="8"/>
      <c r="L669" s="37" t="s">
        <v>25</v>
      </c>
    </row>
    <row r="670" spans="1:12">
      <c r="A670" s="4">
        <v>9869</v>
      </c>
      <c r="B670" s="3" t="s">
        <v>2447</v>
      </c>
      <c r="C670" s="3" t="s">
        <v>1220</v>
      </c>
      <c r="D670" s="3" t="s">
        <v>19</v>
      </c>
      <c r="E670" s="3">
        <v>109434</v>
      </c>
      <c r="F670" s="3">
        <v>14294527003</v>
      </c>
      <c r="G670" s="3">
        <v>495621177</v>
      </c>
      <c r="H670" s="8" t="s">
        <v>2448</v>
      </c>
      <c r="I670" s="8" t="s">
        <v>2448</v>
      </c>
      <c r="J670" s="8"/>
      <c r="L670" s="37" t="s">
        <v>25</v>
      </c>
    </row>
    <row r="671" spans="1:12">
      <c r="A671" s="3">
        <v>9870</v>
      </c>
      <c r="B671" s="3" t="s">
        <v>2451</v>
      </c>
      <c r="C671" s="3" t="s">
        <v>1220</v>
      </c>
      <c r="D671" s="3" t="s">
        <v>19</v>
      </c>
      <c r="E671" s="3">
        <v>109535</v>
      </c>
      <c r="F671" s="3">
        <v>14295611407</v>
      </c>
      <c r="G671" s="3">
        <v>495621083</v>
      </c>
      <c r="H671" s="8" t="s">
        <v>2452</v>
      </c>
      <c r="I671" s="8" t="s">
        <v>2452</v>
      </c>
      <c r="J671" s="8"/>
      <c r="L671" s="37" t="s">
        <v>25</v>
      </c>
    </row>
    <row r="672" spans="1:12">
      <c r="A672" s="3">
        <v>9871</v>
      </c>
      <c r="B672" s="3" t="s">
        <v>2459</v>
      </c>
      <c r="C672" s="3" t="s">
        <v>1220</v>
      </c>
      <c r="D672" s="3" t="s">
        <v>19</v>
      </c>
      <c r="E672" s="3">
        <v>109435</v>
      </c>
      <c r="F672" s="3">
        <v>14294598514</v>
      </c>
      <c r="G672" s="3">
        <v>495621248</v>
      </c>
      <c r="H672" s="8" t="s">
        <v>2460</v>
      </c>
      <c r="I672" s="8" t="s">
        <v>2460</v>
      </c>
      <c r="J672" s="8"/>
      <c r="L672" s="37" t="s">
        <v>25</v>
      </c>
    </row>
    <row r="673" spans="1:12">
      <c r="A673" s="3">
        <v>9872</v>
      </c>
      <c r="B673" s="3" t="s">
        <v>4062</v>
      </c>
      <c r="C673" s="3" t="s">
        <v>1220</v>
      </c>
      <c r="D673" s="3" t="s">
        <v>19</v>
      </c>
      <c r="E673" s="3">
        <v>111808</v>
      </c>
      <c r="F673" s="3">
        <v>15771909874</v>
      </c>
      <c r="G673" s="3">
        <v>514739782</v>
      </c>
      <c r="H673" s="8" t="s">
        <v>4063</v>
      </c>
      <c r="I673" s="8" t="s">
        <v>4063</v>
      </c>
      <c r="J673" s="8"/>
      <c r="L673" s="37" t="s">
        <v>25</v>
      </c>
    </row>
    <row r="674" spans="1:12">
      <c r="A674" s="3">
        <v>9873</v>
      </c>
      <c r="B674" s="3" t="s">
        <v>4067</v>
      </c>
      <c r="C674" s="3" t="s">
        <v>1220</v>
      </c>
      <c r="D674" s="3" t="s">
        <v>19</v>
      </c>
      <c r="E674" s="3">
        <v>109585</v>
      </c>
      <c r="F674" s="3">
        <v>14299667364</v>
      </c>
      <c r="G674" s="3">
        <v>495621094</v>
      </c>
      <c r="H674" s="8" t="s">
        <v>2464</v>
      </c>
      <c r="I674" s="8" t="s">
        <v>2464</v>
      </c>
      <c r="J674" s="8"/>
      <c r="L674" s="37" t="s">
        <v>25</v>
      </c>
    </row>
    <row r="675" spans="1:12">
      <c r="A675" s="4">
        <v>9874</v>
      </c>
      <c r="B675" s="3" t="s">
        <v>2467</v>
      </c>
      <c r="C675" s="3" t="s">
        <v>1220</v>
      </c>
      <c r="D675" s="3" t="s">
        <v>19</v>
      </c>
      <c r="E675" s="3">
        <v>109457</v>
      </c>
      <c r="F675" s="3">
        <v>14295463085</v>
      </c>
      <c r="G675" s="3">
        <v>495621111</v>
      </c>
      <c r="H675" s="8" t="s">
        <v>2468</v>
      </c>
      <c r="I675" s="8" t="s">
        <v>2468</v>
      </c>
      <c r="J675" s="8"/>
      <c r="L675" s="37" t="s">
        <v>25</v>
      </c>
    </row>
    <row r="676" spans="1:12">
      <c r="A676" s="3">
        <v>9875</v>
      </c>
      <c r="B676" s="3" t="s">
        <v>4072</v>
      </c>
      <c r="C676" s="3" t="s">
        <v>1220</v>
      </c>
      <c r="D676" s="3" t="s">
        <v>19</v>
      </c>
      <c r="E676" s="3">
        <v>111886</v>
      </c>
      <c r="F676" s="3">
        <v>15775565270</v>
      </c>
      <c r="G676" s="3">
        <v>514739914</v>
      </c>
      <c r="H676" s="8" t="s">
        <v>4073</v>
      </c>
      <c r="I676" s="8" t="s">
        <v>4073</v>
      </c>
      <c r="J676" s="8"/>
      <c r="L676" s="37" t="s">
        <v>25</v>
      </c>
    </row>
    <row r="677" spans="1:12">
      <c r="A677" s="3">
        <v>9876</v>
      </c>
      <c r="B677" s="3" t="s">
        <v>4077</v>
      </c>
      <c r="C677" s="3" t="s">
        <v>1220</v>
      </c>
      <c r="D677" s="3" t="s">
        <v>19</v>
      </c>
      <c r="E677" s="3">
        <v>111800</v>
      </c>
      <c r="F677" s="3">
        <v>15771694466</v>
      </c>
      <c r="G677" s="3">
        <v>514739785</v>
      </c>
      <c r="H677" s="8" t="s">
        <v>4078</v>
      </c>
      <c r="I677" s="8" t="s">
        <v>4078</v>
      </c>
      <c r="J677" s="8"/>
      <c r="L677" s="37" t="s">
        <v>25</v>
      </c>
    </row>
    <row r="678" spans="1:12">
      <c r="A678" s="3">
        <v>9877</v>
      </c>
      <c r="B678" s="3" t="s">
        <v>4082</v>
      </c>
      <c r="C678" s="3" t="s">
        <v>1220</v>
      </c>
      <c r="D678" s="3" t="s">
        <v>19</v>
      </c>
      <c r="E678" s="3">
        <v>111744</v>
      </c>
      <c r="F678" s="3">
        <v>15770532901</v>
      </c>
      <c r="G678" s="3">
        <v>514739730</v>
      </c>
      <c r="H678" s="8" t="s">
        <v>4083</v>
      </c>
      <c r="I678" s="8" t="s">
        <v>4083</v>
      </c>
      <c r="J678" s="8"/>
      <c r="L678" s="37" t="s">
        <v>25</v>
      </c>
    </row>
    <row r="679" spans="1:12">
      <c r="A679" s="3">
        <v>9878</v>
      </c>
      <c r="B679" s="3" t="s">
        <v>4087</v>
      </c>
      <c r="C679" s="3" t="s">
        <v>1220</v>
      </c>
      <c r="D679" s="3" t="s">
        <v>19</v>
      </c>
      <c r="E679" s="3">
        <v>111746</v>
      </c>
      <c r="F679" s="3">
        <v>15770533017</v>
      </c>
      <c r="G679" s="3">
        <v>514739752</v>
      </c>
      <c r="H679" s="8" t="s">
        <v>4088</v>
      </c>
      <c r="I679" s="8" t="s">
        <v>4088</v>
      </c>
      <c r="J679" s="8"/>
      <c r="L679" s="37" t="s">
        <v>25</v>
      </c>
    </row>
    <row r="680" spans="1:12">
      <c r="A680" s="4">
        <v>9879</v>
      </c>
      <c r="B680" s="3" t="s">
        <v>4092</v>
      </c>
      <c r="C680" s="3" t="s">
        <v>1220</v>
      </c>
      <c r="D680" s="3" t="s">
        <v>19</v>
      </c>
      <c r="E680" s="3">
        <v>111747</v>
      </c>
      <c r="F680" s="3">
        <v>15770533235</v>
      </c>
      <c r="G680" s="3">
        <v>514739781</v>
      </c>
      <c r="H680" s="8" t="s">
        <v>4093</v>
      </c>
      <c r="I680" s="8" t="s">
        <v>4093</v>
      </c>
      <c r="J680" s="8"/>
      <c r="L680" s="37" t="s">
        <v>25</v>
      </c>
    </row>
    <row r="681" spans="1:12">
      <c r="A681" s="3">
        <v>9880</v>
      </c>
      <c r="C681" s="3" t="s">
        <v>1220</v>
      </c>
      <c r="H681" s="8"/>
      <c r="I681" s="8"/>
      <c r="J681" s="8"/>
    </row>
    <row r="682" spans="1:12">
      <c r="A682" s="3">
        <v>9881</v>
      </c>
      <c r="C682" s="3" t="s">
        <v>1220</v>
      </c>
      <c r="H682" s="8"/>
      <c r="I682" s="8"/>
      <c r="J682" s="8"/>
    </row>
    <row r="683" spans="1:12">
      <c r="A683" s="3">
        <v>9882</v>
      </c>
      <c r="C683" s="3" t="s">
        <v>1220</v>
      </c>
      <c r="H683" s="8"/>
      <c r="I683" s="8"/>
      <c r="J683" s="8"/>
    </row>
    <row r="684" spans="1:12">
      <c r="A684" s="3">
        <v>9883</v>
      </c>
      <c r="C684" s="3" t="s">
        <v>1220</v>
      </c>
      <c r="H684" s="8"/>
      <c r="I684" s="8"/>
      <c r="J684" s="8"/>
    </row>
    <row r="685" spans="1:12">
      <c r="A685" s="4">
        <v>9884</v>
      </c>
      <c r="B685" s="3" t="s">
        <v>4097</v>
      </c>
      <c r="C685" s="3" t="s">
        <v>1220</v>
      </c>
      <c r="D685" s="3" t="s">
        <v>19</v>
      </c>
      <c r="E685" s="3">
        <v>111701</v>
      </c>
      <c r="F685" s="3">
        <v>15770479303</v>
      </c>
      <c r="G685" s="3">
        <v>514739876</v>
      </c>
      <c r="H685" s="8" t="s">
        <v>4098</v>
      </c>
      <c r="I685" s="8" t="s">
        <v>4098</v>
      </c>
      <c r="J685" s="8"/>
      <c r="L685" s="37" t="s">
        <v>25</v>
      </c>
    </row>
    <row r="686" spans="1:12">
      <c r="A686" s="3">
        <v>9885</v>
      </c>
      <c r="C686" s="3" t="s">
        <v>1220</v>
      </c>
      <c r="H686" s="8"/>
      <c r="I686" s="8"/>
      <c r="J686" s="8"/>
    </row>
    <row r="687" spans="1:12">
      <c r="A687" s="3">
        <v>9886</v>
      </c>
      <c r="C687" s="3" t="s">
        <v>1220</v>
      </c>
      <c r="H687" s="8"/>
      <c r="I687" s="8"/>
      <c r="J687" s="8"/>
    </row>
    <row r="688" spans="1:12">
      <c r="A688" s="3">
        <v>9887</v>
      </c>
      <c r="C688" s="3" t="s">
        <v>1220</v>
      </c>
      <c r="H688" s="8"/>
      <c r="I688" s="8"/>
      <c r="J688" s="8"/>
    </row>
    <row r="689" spans="1:12">
      <c r="A689" s="3">
        <v>9888</v>
      </c>
      <c r="C689" s="3" t="s">
        <v>1220</v>
      </c>
      <c r="H689" s="8"/>
      <c r="I689" s="8"/>
      <c r="J689" s="8"/>
    </row>
    <row r="690" spans="1:12">
      <c r="A690" s="4">
        <v>9889</v>
      </c>
      <c r="B690" s="3" t="s">
        <v>2479</v>
      </c>
      <c r="C690" s="3" t="s">
        <v>1220</v>
      </c>
      <c r="D690" s="3" t="s">
        <v>19</v>
      </c>
      <c r="E690" s="3">
        <v>109590</v>
      </c>
      <c r="F690" s="3">
        <v>14299667369</v>
      </c>
      <c r="G690" s="3">
        <v>495621060</v>
      </c>
      <c r="H690" s="8" t="s">
        <v>2480</v>
      </c>
      <c r="I690" s="8" t="s">
        <v>2480</v>
      </c>
      <c r="J690" s="8"/>
      <c r="L690" s="37" t="s">
        <v>25</v>
      </c>
    </row>
    <row r="691" spans="1:12">
      <c r="A691" s="3">
        <v>9890</v>
      </c>
      <c r="B691" s="3" t="s">
        <v>2483</v>
      </c>
      <c r="C691" s="3" t="s">
        <v>1220</v>
      </c>
      <c r="D691" s="3" t="s">
        <v>19</v>
      </c>
      <c r="E691" s="3">
        <v>109580</v>
      </c>
      <c r="F691" s="3">
        <v>14299420868</v>
      </c>
      <c r="G691" s="3">
        <v>495621173</v>
      </c>
      <c r="H691" s="8" t="s">
        <v>2484</v>
      </c>
      <c r="I691" s="8" t="s">
        <v>2484</v>
      </c>
      <c r="J691" s="8"/>
      <c r="L691" s="37" t="s">
        <v>25</v>
      </c>
    </row>
    <row r="692" spans="1:12">
      <c r="A692" s="3">
        <v>9891</v>
      </c>
      <c r="C692" s="3" t="s">
        <v>1220</v>
      </c>
      <c r="H692" s="8"/>
      <c r="I692" s="8"/>
      <c r="J692" s="8"/>
    </row>
    <row r="693" spans="1:12">
      <c r="A693" s="3">
        <v>9892</v>
      </c>
      <c r="C693" s="3" t="s">
        <v>1220</v>
      </c>
      <c r="H693" s="8"/>
      <c r="I693" s="8"/>
      <c r="J693" s="8"/>
    </row>
    <row r="694" spans="1:12">
      <c r="A694" s="3">
        <v>9893</v>
      </c>
      <c r="B694" s="3" t="s">
        <v>4105</v>
      </c>
      <c r="C694" s="3" t="s">
        <v>1220</v>
      </c>
      <c r="D694" s="3" t="s">
        <v>19</v>
      </c>
      <c r="E694" s="3">
        <v>111879</v>
      </c>
      <c r="F694" s="3">
        <v>15775513409</v>
      </c>
      <c r="G694" s="3">
        <v>514739804</v>
      </c>
      <c r="H694" s="8" t="s">
        <v>4106</v>
      </c>
      <c r="I694" s="8" t="s">
        <v>4106</v>
      </c>
      <c r="J694" s="8"/>
      <c r="L694" s="37" t="s">
        <v>25</v>
      </c>
    </row>
    <row r="695" spans="1:12">
      <c r="A695" s="4">
        <v>9894</v>
      </c>
      <c r="B695" s="3" t="s">
        <v>2490</v>
      </c>
      <c r="C695" s="3" t="s">
        <v>1220</v>
      </c>
      <c r="D695" s="3" t="s">
        <v>19</v>
      </c>
      <c r="E695" s="3">
        <v>109608</v>
      </c>
      <c r="F695" s="3">
        <v>14351324489</v>
      </c>
      <c r="G695" s="3">
        <v>496287338</v>
      </c>
      <c r="H695" s="8" t="s">
        <v>2491</v>
      </c>
      <c r="I695" s="8" t="s">
        <v>2491</v>
      </c>
      <c r="J695" s="8"/>
      <c r="L695" s="37" t="s">
        <v>25</v>
      </c>
    </row>
    <row r="696" spans="1:12">
      <c r="A696" s="3">
        <v>9895</v>
      </c>
      <c r="B696" s="3" t="s">
        <v>2494</v>
      </c>
      <c r="C696" s="3" t="s">
        <v>1220</v>
      </c>
      <c r="D696" s="3" t="s">
        <v>19</v>
      </c>
      <c r="E696" s="3">
        <v>109478</v>
      </c>
      <c r="F696" s="3">
        <v>14295534349</v>
      </c>
      <c r="G696" s="3">
        <v>495621097</v>
      </c>
      <c r="H696" s="8" t="s">
        <v>2495</v>
      </c>
      <c r="I696" s="8" t="s">
        <v>2495</v>
      </c>
      <c r="J696" s="8"/>
      <c r="L696" s="37" t="s">
        <v>25</v>
      </c>
    </row>
    <row r="697" spans="1:12">
      <c r="A697" s="3">
        <v>9896</v>
      </c>
      <c r="B697" s="3" t="s">
        <v>2498</v>
      </c>
      <c r="C697" s="3" t="s">
        <v>1220</v>
      </c>
      <c r="D697" s="3" t="s">
        <v>19</v>
      </c>
      <c r="E697" s="3">
        <v>109471</v>
      </c>
      <c r="F697" s="3">
        <v>14295524489</v>
      </c>
      <c r="G697" s="3">
        <v>495621244</v>
      </c>
      <c r="H697" s="8" t="s">
        <v>2499</v>
      </c>
      <c r="I697" s="8" t="s">
        <v>2499</v>
      </c>
      <c r="J697" s="8"/>
      <c r="L697" s="37" t="s">
        <v>25</v>
      </c>
    </row>
    <row r="698" spans="1:12">
      <c r="A698" s="3">
        <v>9897</v>
      </c>
      <c r="B698" s="3" t="s">
        <v>4116</v>
      </c>
      <c r="C698" s="3" t="s">
        <v>1220</v>
      </c>
      <c r="D698" s="3" t="s">
        <v>19</v>
      </c>
      <c r="E698" s="3">
        <v>111815</v>
      </c>
      <c r="F698" s="3">
        <v>15775230943</v>
      </c>
      <c r="G698" s="3">
        <v>514739931</v>
      </c>
      <c r="H698" s="8" t="s">
        <v>4117</v>
      </c>
      <c r="I698" s="8" t="s">
        <v>4117</v>
      </c>
      <c r="J698" s="8"/>
      <c r="L698" s="37" t="s">
        <v>25</v>
      </c>
    </row>
    <row r="699" spans="1:12">
      <c r="A699" s="3">
        <v>9898</v>
      </c>
      <c r="B699" s="3" t="s">
        <v>4121</v>
      </c>
      <c r="C699" s="3" t="s">
        <v>1220</v>
      </c>
      <c r="D699" s="3" t="s">
        <v>19</v>
      </c>
      <c r="E699" s="3">
        <v>111900</v>
      </c>
      <c r="F699" s="3">
        <v>15775623975</v>
      </c>
      <c r="G699" s="3">
        <v>514739747</v>
      </c>
      <c r="H699" s="8" t="s">
        <v>4122</v>
      </c>
      <c r="I699" s="8" t="s">
        <v>4122</v>
      </c>
      <c r="J699" s="8"/>
      <c r="L699" s="37" t="s">
        <v>25</v>
      </c>
    </row>
    <row r="700" spans="1:12">
      <c r="A700" s="4">
        <v>9899</v>
      </c>
      <c r="B700" s="3" t="s">
        <v>4125</v>
      </c>
      <c r="C700" s="3" t="s">
        <v>1220</v>
      </c>
      <c r="D700" s="3" t="s">
        <v>19</v>
      </c>
      <c r="E700" s="3">
        <v>111826</v>
      </c>
      <c r="F700" s="3">
        <v>15775284108</v>
      </c>
      <c r="G700" s="3">
        <v>514739846</v>
      </c>
      <c r="H700" s="8" t="s">
        <v>4126</v>
      </c>
      <c r="I700" s="8" t="s">
        <v>4126</v>
      </c>
      <c r="J700" s="8"/>
      <c r="L700" s="37" t="s">
        <v>25</v>
      </c>
    </row>
    <row r="701" spans="1:12" s="6" customFormat="1" ht="15.75" thickBot="1">
      <c r="A701" s="6">
        <v>9900</v>
      </c>
      <c r="B701" s="6" t="s">
        <v>4130</v>
      </c>
      <c r="C701" s="6" t="s">
        <v>1220</v>
      </c>
      <c r="D701" s="6" t="s">
        <v>19</v>
      </c>
      <c r="E701" s="6">
        <v>111835</v>
      </c>
      <c r="F701" s="6">
        <v>15775328386</v>
      </c>
      <c r="G701" s="6">
        <v>514739826</v>
      </c>
      <c r="H701" s="9" t="s">
        <v>4131</v>
      </c>
      <c r="I701" s="9" t="s">
        <v>4131</v>
      </c>
      <c r="J701" s="9"/>
      <c r="L701" s="44" t="s">
        <v>25</v>
      </c>
    </row>
    <row r="702" spans="1:12" s="4" customFormat="1">
      <c r="G702" s="32"/>
      <c r="H702" s="33"/>
      <c r="I702" s="33"/>
      <c r="J702" s="33"/>
    </row>
    <row r="703" spans="1:12">
      <c r="G703" s="32"/>
    </row>
    <row r="704" spans="1:12">
      <c r="G704" s="32"/>
    </row>
    <row r="705" spans="7:7">
      <c r="G705" s="32"/>
    </row>
    <row r="706" spans="7:7">
      <c r="G706" s="32"/>
    </row>
    <row r="707" spans="7:7">
      <c r="G707" s="32"/>
    </row>
    <row r="708" spans="7:7">
      <c r="G708" s="32"/>
    </row>
    <row r="709" spans="7:7">
      <c r="G709" s="32"/>
    </row>
    <row r="710" spans="7:7">
      <c r="G710" s="32"/>
    </row>
    <row r="711" spans="7:7">
      <c r="G711" s="32"/>
    </row>
    <row r="712" spans="7:7">
      <c r="G712" s="32"/>
    </row>
    <row r="713" spans="7:7">
      <c r="G713" s="32"/>
    </row>
    <row r="714" spans="7:7">
      <c r="G714" s="32"/>
    </row>
    <row r="715" spans="7:7">
      <c r="G715" s="32"/>
    </row>
    <row r="716" spans="7:7">
      <c r="G716" s="32"/>
    </row>
    <row r="717" spans="7:7">
      <c r="G717" s="32"/>
    </row>
    <row r="718" spans="7:7">
      <c r="G718" s="32"/>
    </row>
    <row r="719" spans="7:7">
      <c r="G719" s="32"/>
    </row>
    <row r="720" spans="7:7">
      <c r="G720" s="32"/>
    </row>
    <row r="721" spans="7:7">
      <c r="G721" s="32"/>
    </row>
    <row r="722" spans="7:7">
      <c r="G722" s="32"/>
    </row>
    <row r="723" spans="7:7">
      <c r="G723" s="32"/>
    </row>
    <row r="724" spans="7:7">
      <c r="G724" s="32"/>
    </row>
    <row r="725" spans="7:7">
      <c r="G725" s="32"/>
    </row>
    <row r="726" spans="7:7">
      <c r="G726" s="32"/>
    </row>
    <row r="727" spans="7:7">
      <c r="G727" s="32"/>
    </row>
    <row r="728" spans="7:7">
      <c r="G728" s="32"/>
    </row>
  </sheetData>
  <autoFilter ref="A1:M728" xr:uid="{274CA405-6AB4-4A2E-B6D9-79056CCE6E30}"/>
  <conditionalFormatting sqref="G1:G701 G729:G1048576">
    <cfRule type="duplicateValues" dxfId="29"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9227-A74C-406B-97A1-5C7F62BA3AF1}">
  <dimension ref="A1:L27"/>
  <sheetViews>
    <sheetView workbookViewId="0">
      <selection activeCell="E3" sqref="E3"/>
    </sheetView>
  </sheetViews>
  <sheetFormatPr defaultRowHeight="15"/>
  <cols>
    <col min="1" max="1" width="23.28515625" customWidth="1"/>
    <col min="2" max="2" width="11.42578125" bestFit="1" customWidth="1"/>
    <col min="3" max="3" width="6.7109375" bestFit="1" customWidth="1"/>
    <col min="4" max="4" width="13.42578125" bestFit="1" customWidth="1"/>
    <col min="5" max="5" width="18.85546875" bestFit="1" customWidth="1"/>
    <col min="6" max="6" width="10.7109375" bestFit="1" customWidth="1"/>
    <col min="7" max="7" width="15.5703125" bestFit="1" customWidth="1"/>
    <col min="8" max="8" width="12.7109375" bestFit="1" customWidth="1"/>
    <col min="9" max="9" width="11.5703125" bestFit="1" customWidth="1"/>
    <col min="10" max="10" width="10.42578125" bestFit="1" customWidth="1"/>
    <col min="11" max="11" width="15.42578125" bestFit="1" customWidth="1"/>
  </cols>
  <sheetData>
    <row r="1" spans="1:12" s="74" customFormat="1">
      <c r="A1" s="74" t="s">
        <v>4181</v>
      </c>
      <c r="B1" s="74" t="s">
        <v>4182</v>
      </c>
      <c r="C1" s="74" t="s">
        <v>4183</v>
      </c>
      <c r="D1" s="74" t="s">
        <v>4184</v>
      </c>
      <c r="E1" s="74" t="s">
        <v>4185</v>
      </c>
      <c r="F1" s="74" t="s">
        <v>4186</v>
      </c>
      <c r="G1" s="74" t="s">
        <v>4187</v>
      </c>
      <c r="H1" s="74" t="s">
        <v>4188</v>
      </c>
      <c r="I1" s="74" t="s">
        <v>4189</v>
      </c>
      <c r="J1" s="74" t="s">
        <v>4190</v>
      </c>
      <c r="K1" s="74" t="s">
        <v>4191</v>
      </c>
      <c r="L1" s="74" t="s">
        <v>4192</v>
      </c>
    </row>
    <row r="2" spans="1:12">
      <c r="A2" t="s">
        <v>4193</v>
      </c>
      <c r="B2" t="s">
        <v>4194</v>
      </c>
      <c r="C2" t="s">
        <v>4195</v>
      </c>
      <c r="D2">
        <v>2500</v>
      </c>
      <c r="E2">
        <v>400</v>
      </c>
      <c r="F2">
        <v>1400</v>
      </c>
      <c r="G2">
        <v>1007769</v>
      </c>
      <c r="I2">
        <v>2901</v>
      </c>
      <c r="J2">
        <v>3201</v>
      </c>
    </row>
    <row r="3" spans="1:12">
      <c r="A3" t="s">
        <v>4196</v>
      </c>
      <c r="B3" t="s">
        <v>4197</v>
      </c>
      <c r="C3" t="s">
        <v>4198</v>
      </c>
      <c r="D3">
        <v>3101</v>
      </c>
      <c r="E3">
        <v>100</v>
      </c>
      <c r="F3">
        <v>1400</v>
      </c>
      <c r="G3">
        <v>1007720</v>
      </c>
      <c r="H3">
        <v>3201</v>
      </c>
      <c r="I3">
        <v>3502</v>
      </c>
      <c r="J3">
        <v>3802</v>
      </c>
    </row>
    <row r="4" spans="1:12">
      <c r="A4" t="s">
        <v>4199</v>
      </c>
      <c r="B4" t="s">
        <v>4200</v>
      </c>
      <c r="C4" t="s">
        <v>4198</v>
      </c>
      <c r="D4">
        <v>1056</v>
      </c>
      <c r="E4">
        <v>100</v>
      </c>
      <c r="F4">
        <v>1400</v>
      </c>
      <c r="G4">
        <v>1007713</v>
      </c>
      <c r="H4">
        <v>1157</v>
      </c>
      <c r="I4">
        <v>1457</v>
      </c>
      <c r="J4">
        <v>1757</v>
      </c>
    </row>
    <row r="5" spans="1:12">
      <c r="A5" t="s">
        <v>4201</v>
      </c>
      <c r="B5" t="s">
        <v>4202</v>
      </c>
      <c r="C5" t="s">
        <v>4198</v>
      </c>
      <c r="D5">
        <v>2000</v>
      </c>
      <c r="E5">
        <v>100</v>
      </c>
      <c r="F5">
        <v>1400</v>
      </c>
      <c r="G5">
        <v>1007767</v>
      </c>
      <c r="H5">
        <v>2101</v>
      </c>
      <c r="I5">
        <v>2401</v>
      </c>
      <c r="J5">
        <v>2701</v>
      </c>
    </row>
    <row r="6" spans="1:12">
      <c r="A6" t="s">
        <v>4203</v>
      </c>
      <c r="B6" t="s">
        <v>4204</v>
      </c>
      <c r="C6" t="s">
        <v>4198</v>
      </c>
      <c r="D6">
        <v>1000</v>
      </c>
      <c r="E6">
        <v>100</v>
      </c>
      <c r="F6">
        <v>1400</v>
      </c>
      <c r="G6">
        <v>1007707</v>
      </c>
      <c r="H6">
        <v>1101</v>
      </c>
      <c r="I6">
        <v>1401</v>
      </c>
      <c r="J6">
        <v>1701</v>
      </c>
      <c r="L6" t="s">
        <v>4205</v>
      </c>
    </row>
    <row r="7" spans="1:12">
      <c r="A7" t="s">
        <v>4206</v>
      </c>
      <c r="B7" t="s">
        <v>4207</v>
      </c>
      <c r="C7" t="s">
        <v>4198</v>
      </c>
      <c r="D7">
        <v>1000</v>
      </c>
      <c r="E7">
        <v>100</v>
      </c>
      <c r="F7">
        <v>1400</v>
      </c>
      <c r="G7">
        <v>1007706</v>
      </c>
      <c r="H7">
        <v>1101</v>
      </c>
      <c r="I7">
        <v>1401</v>
      </c>
      <c r="J7">
        <v>1701</v>
      </c>
      <c r="L7" t="s">
        <v>4205</v>
      </c>
    </row>
    <row r="8" spans="1:12">
      <c r="A8" t="s">
        <v>4208</v>
      </c>
      <c r="B8" t="s">
        <v>4209</v>
      </c>
      <c r="C8" t="s">
        <v>4198</v>
      </c>
      <c r="D8">
        <v>1056</v>
      </c>
      <c r="E8">
        <v>100</v>
      </c>
      <c r="F8">
        <v>1400</v>
      </c>
      <c r="G8">
        <v>1007712</v>
      </c>
      <c r="H8">
        <v>1157</v>
      </c>
      <c r="I8">
        <v>1457</v>
      </c>
      <c r="J8">
        <v>1757</v>
      </c>
    </row>
    <row r="9" spans="1:12">
      <c r="A9" t="s">
        <v>4210</v>
      </c>
      <c r="B9" t="s">
        <v>4211</v>
      </c>
      <c r="C9" t="s">
        <v>4198</v>
      </c>
      <c r="D9">
        <v>2000</v>
      </c>
      <c r="E9">
        <v>100</v>
      </c>
      <c r="F9">
        <v>1400</v>
      </c>
      <c r="G9">
        <v>1007725</v>
      </c>
      <c r="H9">
        <v>2101</v>
      </c>
      <c r="I9">
        <v>2401</v>
      </c>
      <c r="J9">
        <v>2701</v>
      </c>
      <c r="L9" t="s">
        <v>4212</v>
      </c>
    </row>
    <row r="10" spans="1:12">
      <c r="A10" t="s">
        <v>4213</v>
      </c>
      <c r="B10" t="s">
        <v>4214</v>
      </c>
      <c r="C10" t="s">
        <v>4198</v>
      </c>
      <c r="D10">
        <v>1000</v>
      </c>
      <c r="E10">
        <v>100</v>
      </c>
      <c r="F10">
        <v>1400</v>
      </c>
      <c r="G10">
        <v>1007705</v>
      </c>
      <c r="H10">
        <v>1101</v>
      </c>
      <c r="I10">
        <v>1401</v>
      </c>
      <c r="J10">
        <v>1701</v>
      </c>
    </row>
    <row r="11" spans="1:12">
      <c r="A11" t="s">
        <v>4215</v>
      </c>
      <c r="B11" t="s">
        <v>4216</v>
      </c>
      <c r="C11" t="s">
        <v>4198</v>
      </c>
      <c r="D11">
        <v>1000</v>
      </c>
      <c r="E11">
        <v>100</v>
      </c>
      <c r="F11">
        <v>1400</v>
      </c>
      <c r="G11">
        <v>1007704</v>
      </c>
      <c r="H11">
        <v>1101</v>
      </c>
      <c r="I11">
        <v>1401</v>
      </c>
      <c r="J11">
        <v>1701</v>
      </c>
    </row>
    <row r="12" spans="1:12">
      <c r="A12" t="s">
        <v>4217</v>
      </c>
      <c r="B12" t="s">
        <v>4218</v>
      </c>
      <c r="C12" t="s">
        <v>4198</v>
      </c>
      <c r="D12">
        <v>1000</v>
      </c>
      <c r="E12">
        <v>100</v>
      </c>
      <c r="F12">
        <v>1400</v>
      </c>
      <c r="G12">
        <v>1007768</v>
      </c>
      <c r="H12">
        <v>1101</v>
      </c>
      <c r="I12">
        <v>1401</v>
      </c>
      <c r="J12">
        <v>1701</v>
      </c>
    </row>
    <row r="13" spans="1:12">
      <c r="A13" t="s">
        <v>4219</v>
      </c>
      <c r="B13" t="s">
        <v>4220</v>
      </c>
      <c r="C13" t="s">
        <v>4198</v>
      </c>
      <c r="D13">
        <v>3000</v>
      </c>
      <c r="E13">
        <v>100</v>
      </c>
      <c r="F13">
        <v>1400</v>
      </c>
      <c r="G13">
        <v>1007163</v>
      </c>
      <c r="H13">
        <v>3101</v>
      </c>
      <c r="I13">
        <v>3401</v>
      </c>
      <c r="J13">
        <v>3701</v>
      </c>
    </row>
    <row r="14" spans="1:12">
      <c r="A14" t="s">
        <v>4221</v>
      </c>
      <c r="B14" t="s">
        <v>4222</v>
      </c>
      <c r="C14" t="s">
        <v>4198</v>
      </c>
      <c r="D14">
        <v>10000</v>
      </c>
      <c r="E14">
        <v>100</v>
      </c>
      <c r="F14">
        <v>1400</v>
      </c>
      <c r="G14">
        <v>1007709</v>
      </c>
      <c r="H14">
        <v>10101</v>
      </c>
      <c r="I14">
        <v>10401</v>
      </c>
      <c r="J14">
        <v>10701</v>
      </c>
    </row>
    <row r="15" spans="1:12">
      <c r="A15" t="s">
        <v>4223</v>
      </c>
      <c r="B15" t="s">
        <v>4224</v>
      </c>
      <c r="C15" t="s">
        <v>4198</v>
      </c>
      <c r="D15">
        <v>2000</v>
      </c>
      <c r="E15">
        <v>100</v>
      </c>
      <c r="F15">
        <v>1400</v>
      </c>
      <c r="G15">
        <v>1007703</v>
      </c>
      <c r="H15">
        <v>2101</v>
      </c>
      <c r="I15">
        <v>2401</v>
      </c>
    </row>
    <row r="16" spans="1:12">
      <c r="A16" t="s">
        <v>4225</v>
      </c>
      <c r="B16" t="s">
        <v>4226</v>
      </c>
      <c r="C16" t="s">
        <v>4198</v>
      </c>
      <c r="D16">
        <v>10000</v>
      </c>
      <c r="E16">
        <v>100</v>
      </c>
      <c r="F16">
        <v>1400</v>
      </c>
      <c r="G16">
        <v>1007714</v>
      </c>
      <c r="H16">
        <v>10101</v>
      </c>
      <c r="I16">
        <v>10401</v>
      </c>
      <c r="J16">
        <v>10701</v>
      </c>
    </row>
    <row r="17" spans="1:12">
      <c r="A17" t="s">
        <v>4227</v>
      </c>
      <c r="B17" t="s">
        <v>4228</v>
      </c>
      <c r="C17" t="s">
        <v>4198</v>
      </c>
      <c r="D17">
        <v>2000</v>
      </c>
      <c r="E17">
        <v>100</v>
      </c>
      <c r="F17">
        <v>1400</v>
      </c>
      <c r="G17">
        <v>1007776</v>
      </c>
      <c r="H17">
        <v>2101</v>
      </c>
      <c r="I17">
        <v>2401</v>
      </c>
      <c r="J17">
        <v>2701</v>
      </c>
    </row>
    <row r="18" spans="1:12">
      <c r="A18" t="s">
        <v>4229</v>
      </c>
      <c r="B18" t="s">
        <v>4230</v>
      </c>
      <c r="C18" t="s">
        <v>4198</v>
      </c>
      <c r="D18">
        <v>3101</v>
      </c>
      <c r="E18">
        <v>100</v>
      </c>
      <c r="F18">
        <v>1400</v>
      </c>
      <c r="G18">
        <v>1007721</v>
      </c>
      <c r="H18">
        <v>3202</v>
      </c>
      <c r="I18">
        <v>3502</v>
      </c>
      <c r="J18">
        <v>3802</v>
      </c>
    </row>
    <row r="19" spans="1:12">
      <c r="A19" t="s">
        <v>4231</v>
      </c>
      <c r="B19" t="s">
        <v>4232</v>
      </c>
      <c r="C19" t="s">
        <v>4198</v>
      </c>
      <c r="D19">
        <v>1000</v>
      </c>
      <c r="E19">
        <v>100</v>
      </c>
      <c r="F19">
        <v>1400</v>
      </c>
      <c r="G19">
        <v>1007769</v>
      </c>
      <c r="H19">
        <v>1101</v>
      </c>
      <c r="I19">
        <v>1401</v>
      </c>
      <c r="J19">
        <v>1701</v>
      </c>
    </row>
    <row r="20" spans="1:12">
      <c r="A20" t="s">
        <v>4233</v>
      </c>
      <c r="B20" t="s">
        <v>4234</v>
      </c>
      <c r="C20" t="s">
        <v>4198</v>
      </c>
      <c r="D20">
        <v>11400</v>
      </c>
      <c r="E20">
        <v>100</v>
      </c>
      <c r="F20">
        <v>1400</v>
      </c>
      <c r="G20">
        <v>1007998</v>
      </c>
      <c r="H20">
        <v>11501</v>
      </c>
      <c r="I20">
        <v>11801</v>
      </c>
      <c r="J20">
        <v>12101</v>
      </c>
    </row>
    <row r="21" spans="1:12">
      <c r="A21" t="s">
        <v>4235</v>
      </c>
      <c r="C21" t="s">
        <v>4198</v>
      </c>
      <c r="E21">
        <v>100</v>
      </c>
      <c r="F21">
        <v>1400</v>
      </c>
    </row>
    <row r="22" spans="1:12">
      <c r="A22" t="s">
        <v>4236</v>
      </c>
      <c r="C22" t="s">
        <v>4198</v>
      </c>
      <c r="E22">
        <v>100</v>
      </c>
      <c r="F22">
        <v>1400</v>
      </c>
    </row>
    <row r="23" spans="1:12">
      <c r="A23" t="s">
        <v>4237</v>
      </c>
      <c r="C23" t="s">
        <v>4198</v>
      </c>
      <c r="E23">
        <v>100</v>
      </c>
      <c r="F23">
        <v>1400</v>
      </c>
    </row>
    <row r="24" spans="1:12">
      <c r="A24" t="s">
        <v>4238</v>
      </c>
      <c r="C24" t="s">
        <v>4195</v>
      </c>
      <c r="E24">
        <v>100</v>
      </c>
      <c r="F24">
        <v>1400</v>
      </c>
    </row>
    <row r="25" spans="1:12">
      <c r="A25" t="s">
        <v>4239</v>
      </c>
      <c r="C25" t="s">
        <v>4198</v>
      </c>
      <c r="E25">
        <v>100</v>
      </c>
      <c r="F25">
        <v>1400</v>
      </c>
      <c r="L25" t="s">
        <v>4212</v>
      </c>
    </row>
    <row r="26" spans="1:12">
      <c r="A26" t="s">
        <v>4240</v>
      </c>
      <c r="B26" t="s">
        <v>4241</v>
      </c>
      <c r="C26" t="s">
        <v>4198</v>
      </c>
      <c r="D26">
        <v>8000</v>
      </c>
      <c r="E26">
        <v>100</v>
      </c>
      <c r="F26">
        <v>2000</v>
      </c>
    </row>
    <row r="27" spans="1:12">
      <c r="A27" t="s">
        <v>4242</v>
      </c>
      <c r="B27" t="s">
        <v>4243</v>
      </c>
      <c r="C27" t="s">
        <v>4195</v>
      </c>
      <c r="D27">
        <v>8000</v>
      </c>
      <c r="E27">
        <v>100</v>
      </c>
      <c r="F27">
        <v>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4B0F-24DF-4F67-8BCB-A7EFD519A8C0}">
  <dimension ref="A1:AS1504"/>
  <sheetViews>
    <sheetView topLeftCell="L1" workbookViewId="0">
      <selection activeCell="U13" sqref="U13"/>
    </sheetView>
  </sheetViews>
  <sheetFormatPr defaultRowHeight="15"/>
  <cols>
    <col min="1" max="1" width="22.140625" customWidth="1"/>
    <col min="2" max="2" width="34" customWidth="1"/>
    <col min="3" max="3" width="22.7109375" customWidth="1"/>
    <col min="4" max="4" width="30.7109375" customWidth="1"/>
    <col min="5" max="5" width="21.5703125" customWidth="1"/>
    <col min="6" max="6" width="16.28515625" style="46" customWidth="1"/>
    <col min="7" max="7" width="21.5703125" customWidth="1"/>
    <col min="8" max="8" width="33.7109375" customWidth="1"/>
    <col min="9" max="9" width="18.85546875" bestFit="1" customWidth="1"/>
    <col min="10" max="10" width="25.28515625" bestFit="1" customWidth="1"/>
    <col min="11" max="11" width="27.42578125" bestFit="1" customWidth="1"/>
    <col min="12" max="12" width="10.85546875" customWidth="1"/>
    <col min="13" max="13" width="20.85546875" bestFit="1" customWidth="1"/>
    <col min="14" max="14" width="21.85546875" bestFit="1" customWidth="1"/>
    <col min="15" max="15" width="21.28515625" bestFit="1" customWidth="1"/>
    <col min="16" max="16" width="21.5703125" bestFit="1" customWidth="1"/>
    <col min="17" max="17" width="27.42578125" bestFit="1" customWidth="1"/>
    <col min="18" max="18" width="9.140625" bestFit="1" customWidth="1"/>
    <col min="19" max="19" width="21" bestFit="1" customWidth="1"/>
    <col min="20" max="20" width="22" bestFit="1" customWidth="1"/>
    <col min="21" max="21" width="22.42578125" bestFit="1" customWidth="1"/>
    <col min="22" max="22" width="20.5703125" bestFit="1" customWidth="1"/>
    <col min="23" max="23" width="27.42578125" bestFit="1" customWidth="1"/>
    <col min="24" max="45" width="9.140625" style="71"/>
  </cols>
  <sheetData>
    <row r="1" spans="1:23">
      <c r="A1" s="49" t="s">
        <v>4244</v>
      </c>
      <c r="B1" s="56" t="s">
        <v>4245</v>
      </c>
      <c r="C1" s="56" t="s">
        <v>4246</v>
      </c>
      <c r="D1" s="56" t="s">
        <v>4247</v>
      </c>
      <c r="E1" s="49"/>
      <c r="F1" s="50"/>
    </row>
    <row r="2" spans="1:23" ht="93" customHeight="1">
      <c r="A2" s="57">
        <v>1</v>
      </c>
      <c r="B2" s="48" t="s">
        <v>4248</v>
      </c>
      <c r="C2" s="51">
        <f>E2+G2</f>
        <v>0</v>
      </c>
      <c r="D2" s="52" t="s">
        <v>4249</v>
      </c>
      <c r="E2" s="53">
        <f>SUM(B3:B6)</f>
        <v>0</v>
      </c>
      <c r="F2" s="47" t="s">
        <v>4250</v>
      </c>
      <c r="G2" s="54">
        <f>SUM(D3:D6)</f>
        <v>0</v>
      </c>
      <c r="H2" s="55"/>
      <c r="I2" s="55" t="s">
        <v>4251</v>
      </c>
      <c r="J2" s="55"/>
      <c r="K2" s="55"/>
      <c r="L2" s="55"/>
      <c r="M2" s="55"/>
      <c r="N2" s="55"/>
      <c r="O2" s="55"/>
      <c r="P2" s="55"/>
      <c r="Q2" s="55"/>
      <c r="R2" s="55"/>
      <c r="S2" s="55"/>
      <c r="T2" s="55"/>
      <c r="U2" s="55"/>
      <c r="V2" s="55"/>
      <c r="W2" s="55"/>
    </row>
    <row r="3" spans="1:23">
      <c r="A3" s="63" t="s">
        <v>4252</v>
      </c>
      <c r="B3" s="58">
        <f>COUNTIF(E11:E100004,"Please Notify - Channel Added")</f>
        <v>0</v>
      </c>
      <c r="C3" s="63" t="s">
        <v>4253</v>
      </c>
      <c r="D3" s="58">
        <f>COUNTIF(D11:D100004,"Please Notify - Channel Removed")</f>
        <v>0</v>
      </c>
      <c r="E3" s="63" t="s">
        <v>4254</v>
      </c>
      <c r="F3" s="58">
        <f>B3+D3</f>
        <v>0</v>
      </c>
      <c r="G3" s="71"/>
      <c r="H3" s="71"/>
      <c r="I3" s="71"/>
      <c r="J3" s="71"/>
      <c r="K3" s="71"/>
      <c r="L3" s="71"/>
      <c r="M3" s="71"/>
      <c r="N3" s="71"/>
      <c r="O3" s="71"/>
      <c r="P3" s="71"/>
      <c r="Q3" s="71"/>
      <c r="R3" s="71"/>
      <c r="S3" s="71"/>
      <c r="T3" s="71"/>
      <c r="U3" s="71"/>
      <c r="V3" s="71"/>
      <c r="W3" s="71"/>
    </row>
    <row r="4" spans="1:23">
      <c r="A4" s="65" t="s">
        <v>4255</v>
      </c>
      <c r="B4" s="58">
        <f>COUNTIF(K11:K100004,"Please Notify - Channel Added")</f>
        <v>0</v>
      </c>
      <c r="C4" s="65" t="s">
        <v>4256</v>
      </c>
      <c r="D4" s="58">
        <f>COUNTIF(J11:J100004,"Please Notify - Channel Removed")</f>
        <v>0</v>
      </c>
      <c r="E4" s="65" t="s">
        <v>4257</v>
      </c>
      <c r="F4" s="58">
        <f>B4+D4</f>
        <v>0</v>
      </c>
      <c r="G4" s="71"/>
      <c r="H4" s="71"/>
      <c r="I4" s="71"/>
      <c r="J4" s="71"/>
      <c r="K4" s="71"/>
      <c r="L4" s="71"/>
      <c r="M4" s="71"/>
      <c r="N4" s="71"/>
      <c r="O4" s="71"/>
      <c r="P4" s="71"/>
      <c r="Q4" s="71"/>
      <c r="R4" s="71"/>
      <c r="S4" s="71"/>
      <c r="T4" s="71"/>
      <c r="U4" s="71"/>
      <c r="V4" s="71"/>
      <c r="W4" s="71"/>
    </row>
    <row r="5" spans="1:23">
      <c r="A5" s="64" t="s">
        <v>4258</v>
      </c>
      <c r="B5" s="58">
        <f>COUNTIF(Q11:Q100004,"Please Notify - Channel Added")</f>
        <v>0</v>
      </c>
      <c r="C5" s="64" t="s">
        <v>4259</v>
      </c>
      <c r="D5" s="58">
        <f>COUNTIF(P11:P100004,"Please Notify - Channel Removed")</f>
        <v>0</v>
      </c>
      <c r="E5" s="64" t="s">
        <v>4260</v>
      </c>
      <c r="F5" s="58">
        <f t="shared" ref="F5:F6" si="0">B5+D5</f>
        <v>0</v>
      </c>
      <c r="G5" s="71"/>
      <c r="H5" s="71"/>
      <c r="I5" s="71"/>
      <c r="J5" s="71"/>
      <c r="K5" s="71"/>
      <c r="L5" s="71"/>
      <c r="M5" s="71"/>
      <c r="N5" s="71"/>
      <c r="O5" s="71"/>
      <c r="P5" s="71"/>
      <c r="Q5" s="71"/>
      <c r="R5" s="71"/>
      <c r="S5" s="71"/>
      <c r="T5" s="71"/>
      <c r="U5" s="71"/>
      <c r="V5" s="71"/>
      <c r="W5" s="71"/>
    </row>
    <row r="6" spans="1:23">
      <c r="A6" s="67" t="s">
        <v>4261</v>
      </c>
      <c r="B6" s="58">
        <f>COUNTIF(W11:W100004,"Please Notify - Channel Added")</f>
        <v>0</v>
      </c>
      <c r="C6" s="67" t="s">
        <v>4262</v>
      </c>
      <c r="D6" s="58">
        <f>COUNTIF(V11:V100004,"Please Notify - Channel Removed")</f>
        <v>0</v>
      </c>
      <c r="E6" s="67" t="s">
        <v>4263</v>
      </c>
      <c r="F6" s="58">
        <f t="shared" si="0"/>
        <v>0</v>
      </c>
      <c r="G6" s="71"/>
      <c r="H6" s="71"/>
      <c r="I6" s="71"/>
      <c r="J6" s="71"/>
      <c r="K6" s="71"/>
      <c r="L6" s="71"/>
      <c r="M6" s="71"/>
      <c r="N6" s="71"/>
      <c r="O6" s="71"/>
      <c r="P6" s="71"/>
      <c r="Q6" s="71"/>
      <c r="R6" s="71"/>
      <c r="S6" s="71"/>
      <c r="T6" s="71"/>
      <c r="U6" s="71"/>
      <c r="V6" s="71"/>
      <c r="W6" s="71"/>
    </row>
    <row r="7" spans="1:23">
      <c r="A7" s="71"/>
      <c r="B7" s="71"/>
      <c r="C7" s="71"/>
      <c r="D7" s="71"/>
      <c r="E7" s="71"/>
      <c r="F7" s="73"/>
      <c r="G7" s="71"/>
      <c r="H7" s="71"/>
      <c r="I7" s="71"/>
      <c r="J7" s="71"/>
      <c r="K7" s="71"/>
      <c r="L7" s="71"/>
      <c r="M7" s="71"/>
      <c r="N7" s="71"/>
      <c r="O7" s="71"/>
      <c r="P7" s="71"/>
      <c r="Q7" s="71"/>
      <c r="R7" s="71"/>
      <c r="S7" s="71"/>
      <c r="T7" s="71"/>
      <c r="U7" s="71"/>
      <c r="V7" s="71"/>
      <c r="W7" s="71"/>
    </row>
    <row r="8" spans="1:23" ht="15" customHeight="1">
      <c r="A8" s="77" t="s">
        <v>4264</v>
      </c>
      <c r="B8" s="78"/>
      <c r="C8" s="78"/>
      <c r="D8" s="78"/>
      <c r="E8" s="78"/>
      <c r="F8" s="78"/>
      <c r="G8" s="78"/>
      <c r="H8" s="78"/>
      <c r="I8" s="78"/>
      <c r="J8" s="78"/>
      <c r="K8" s="79"/>
      <c r="L8" s="70"/>
      <c r="M8" s="71"/>
      <c r="N8" s="71"/>
      <c r="O8" s="71"/>
      <c r="P8" s="71"/>
      <c r="Q8" s="71"/>
      <c r="R8" s="71"/>
      <c r="S8" s="71"/>
      <c r="T8" s="71"/>
      <c r="U8" s="71"/>
      <c r="V8" s="71"/>
      <c r="W8" s="71"/>
    </row>
    <row r="9" spans="1:23" ht="50.25" customHeight="1">
      <c r="A9" s="80"/>
      <c r="B9" s="81"/>
      <c r="C9" s="81"/>
      <c r="D9" s="81"/>
      <c r="E9" s="81"/>
      <c r="F9" s="81"/>
      <c r="G9" s="81"/>
      <c r="H9" s="81"/>
      <c r="I9" s="81"/>
      <c r="J9" s="81"/>
      <c r="K9" s="82"/>
      <c r="L9" s="70"/>
      <c r="M9" s="71"/>
      <c r="N9" s="71"/>
      <c r="O9" s="71"/>
      <c r="P9" s="72"/>
      <c r="Q9" s="71"/>
      <c r="R9" s="71"/>
      <c r="S9" s="71"/>
      <c r="T9" s="71"/>
      <c r="U9" s="71"/>
      <c r="V9" s="71"/>
      <c r="W9" s="71"/>
    </row>
    <row r="10" spans="1:23">
      <c r="A10" s="62" t="s">
        <v>4265</v>
      </c>
      <c r="B10" s="62" t="s">
        <v>4266</v>
      </c>
      <c r="C10" s="62" t="s">
        <v>4267</v>
      </c>
      <c r="D10" s="62" t="s">
        <v>4268</v>
      </c>
      <c r="E10" s="62" t="s">
        <v>4269</v>
      </c>
      <c r="F10" s="68" t="s">
        <v>4270</v>
      </c>
      <c r="G10" s="66" t="s">
        <v>4271</v>
      </c>
      <c r="H10" s="66" t="s">
        <v>4272</v>
      </c>
      <c r="I10" s="66" t="s">
        <v>4273</v>
      </c>
      <c r="J10" s="66" t="s">
        <v>4274</v>
      </c>
      <c r="K10" s="66" t="s">
        <v>4275</v>
      </c>
      <c r="L10" s="68" t="s">
        <v>4276</v>
      </c>
      <c r="M10" t="s">
        <v>4277</v>
      </c>
      <c r="N10" t="s">
        <v>4278</v>
      </c>
      <c r="O10" t="s">
        <v>4279</v>
      </c>
      <c r="P10" t="s">
        <v>4280</v>
      </c>
      <c r="Q10" t="s">
        <v>4281</v>
      </c>
      <c r="R10" s="68" t="s">
        <v>4282</v>
      </c>
      <c r="S10" s="61" t="s">
        <v>4283</v>
      </c>
      <c r="T10" s="61" t="s">
        <v>4284</v>
      </c>
      <c r="U10" s="61" t="s">
        <v>4285</v>
      </c>
      <c r="V10" s="61" t="s">
        <v>4286</v>
      </c>
      <c r="W10" s="61" t="s">
        <v>4287</v>
      </c>
    </row>
    <row r="11" spans="1:23">
      <c r="A11">
        <f>'IPTV US'!A2</f>
        <v>10101</v>
      </c>
      <c r="B11" t="str">
        <f>T('IPTV US'!B2)</f>
        <v>CNN Headlines</v>
      </c>
      <c r="C11" t="s">
        <v>4288</v>
      </c>
      <c r="D11" t="str">
        <f t="shared" ref="D11:D74" si="1">IF(C11="Active",IF(B11="","Please Notify - Channel Removed",""),"")</f>
        <v/>
      </c>
      <c r="E11" t="str">
        <f t="shared" ref="E11:E74" si="2">IF(C11="Vacant",IF(B11="","","Please Notify - Channel Added"),"")</f>
        <v/>
      </c>
      <c r="F11" s="68" t="s">
        <v>4289</v>
      </c>
      <c r="G11">
        <f>'IPTV CA'!A2</f>
        <v>10401</v>
      </c>
      <c r="H11" t="str">
        <f>T('IPTV CA'!B2)</f>
        <v>Bloomberg TV</v>
      </c>
      <c r="I11" t="s">
        <v>4288</v>
      </c>
      <c r="J11" t="str">
        <f t="shared" ref="J11:J74" si="3">IF(I11="Active",IF(H11="","Please Notify - Channel Removed",""),"")</f>
        <v/>
      </c>
      <c r="K11" t="str">
        <f>IF(I11="Vacant",IF(H11="","","Please Notify - Channel Added"),"")</f>
        <v/>
      </c>
      <c r="L11" s="69"/>
      <c r="M11">
        <f>'TMIS US'!A2</f>
        <v>8101</v>
      </c>
      <c r="N11" t="str">
        <f>T('TMIS US'!B2)</f>
        <v>CNN Headlines</v>
      </c>
      <c r="O11" t="s">
        <v>4288</v>
      </c>
      <c r="P11" t="str">
        <f t="shared" ref="P11:P74" si="4">IF(O11="Active",IF(N11="","Please Notify - Channel Removed",""),"")</f>
        <v/>
      </c>
      <c r="Q11" t="str">
        <f t="shared" ref="Q11" si="5">IF(O11="Vacant",IF(N11="","","Please Notify - Channel Added"),"")</f>
        <v/>
      </c>
      <c r="R11" s="69"/>
      <c r="S11">
        <f>'TMIS CA'!A2</f>
        <v>9001</v>
      </c>
      <c r="T11" t="str">
        <f>T('TMIS CA'!B2)</f>
        <v>Bloomberg TV</v>
      </c>
      <c r="U11" t="s">
        <v>4288</v>
      </c>
      <c r="V11" t="str">
        <f t="shared" ref="V11:V13" si="6">IF(U11="Active",IF(T11="","Please Notify - Channel Removed",""),"")</f>
        <v/>
      </c>
      <c r="W11" t="str">
        <f t="shared" ref="W11" si="7">IF(U11="Vacant",IF(T11="","","Please Notify - Channel Added"),"")</f>
        <v/>
      </c>
    </row>
    <row r="12" spans="1:23">
      <c r="A12">
        <f>'IPTV US'!A3</f>
        <v>10102</v>
      </c>
      <c r="B12" t="str">
        <f>T('IPTV US'!B3)</f>
        <v>NBC News Now</v>
      </c>
      <c r="C12" t="s">
        <v>4288</v>
      </c>
      <c r="D12" t="str">
        <f t="shared" si="1"/>
        <v/>
      </c>
      <c r="E12" t="str">
        <f t="shared" si="2"/>
        <v/>
      </c>
      <c r="F12" s="68" t="s">
        <v>4289</v>
      </c>
      <c r="G12">
        <f>'IPTV CA'!A3</f>
        <v>10402</v>
      </c>
      <c r="H12" t="str">
        <f>T('IPTV CA'!B3)</f>
        <v>Bloomberg Originals</v>
      </c>
      <c r="I12" t="s">
        <v>4288</v>
      </c>
      <c r="J12" t="str">
        <f t="shared" si="3"/>
        <v/>
      </c>
      <c r="K12" t="str">
        <f t="shared" ref="K12:K75" si="8">IF(I12="Vacant",IF(H12="","","Please Notify - Channel Added"),"")</f>
        <v/>
      </c>
      <c r="L12" s="69"/>
      <c r="M12">
        <f>'TMIS US'!A3</f>
        <v>8102</v>
      </c>
      <c r="N12" t="str">
        <f>T('TMIS US'!B3)</f>
        <v>NBC News Now</v>
      </c>
      <c r="O12" t="s">
        <v>4288</v>
      </c>
      <c r="P12" t="str">
        <f t="shared" si="4"/>
        <v/>
      </c>
      <c r="Q12" t="str">
        <f t="shared" ref="Q12:Q75" si="9">IF(O12="Vacant",IF(N12="","","Please Notify - Channel Added"),"")</f>
        <v/>
      </c>
      <c r="R12" s="69"/>
      <c r="S12">
        <f>'TMIS CA'!A3</f>
        <v>9002</v>
      </c>
      <c r="T12" t="str">
        <f>T('TMIS CA'!B3)</f>
        <v>Bloomberg Originals</v>
      </c>
      <c r="U12" t="s">
        <v>4288</v>
      </c>
      <c r="V12" t="str">
        <f t="shared" si="6"/>
        <v/>
      </c>
      <c r="W12" t="str">
        <f t="shared" ref="W12:W75" si="10">IF(U12="Vacant",IF(T12="","","Please Notify - Channel Added"),"")</f>
        <v/>
      </c>
    </row>
    <row r="13" spans="1:23">
      <c r="A13">
        <f>'IPTV US'!A4</f>
        <v>10103</v>
      </c>
      <c r="B13" t="str">
        <f>T('IPTV US'!B4)</f>
        <v/>
      </c>
      <c r="C13" t="s">
        <v>4290</v>
      </c>
      <c r="D13" t="str">
        <f t="shared" si="1"/>
        <v/>
      </c>
      <c r="E13" t="str">
        <f t="shared" si="2"/>
        <v/>
      </c>
      <c r="F13" s="68" t="s">
        <v>4289</v>
      </c>
      <c r="G13">
        <f>'IPTV CA'!A4</f>
        <v>10403</v>
      </c>
      <c r="H13" t="str">
        <f>T('IPTV CA'!B4)</f>
        <v/>
      </c>
      <c r="I13" t="s">
        <v>4290</v>
      </c>
      <c r="J13" t="str">
        <f t="shared" si="3"/>
        <v/>
      </c>
      <c r="K13" t="str">
        <f t="shared" si="8"/>
        <v/>
      </c>
      <c r="L13" s="69"/>
      <c r="M13">
        <f>'TMIS US'!A4</f>
        <v>8103</v>
      </c>
      <c r="N13" t="str">
        <f>T('TMIS US'!B4)</f>
        <v/>
      </c>
      <c r="O13" t="s">
        <v>4290</v>
      </c>
      <c r="P13" t="str">
        <f t="shared" si="4"/>
        <v/>
      </c>
      <c r="Q13" t="str">
        <f t="shared" si="9"/>
        <v/>
      </c>
      <c r="R13" s="69"/>
      <c r="S13">
        <f>'TMIS CA'!A4</f>
        <v>9003</v>
      </c>
      <c r="T13" t="str">
        <f>T('TMIS CA'!B4)</f>
        <v/>
      </c>
      <c r="U13" t="s">
        <v>4290</v>
      </c>
      <c r="V13" t="str">
        <f t="shared" si="6"/>
        <v/>
      </c>
      <c r="W13" t="str">
        <f t="shared" si="10"/>
        <v/>
      </c>
    </row>
    <row r="14" spans="1:23">
      <c r="A14">
        <f>'IPTV US'!A5</f>
        <v>10104</v>
      </c>
      <c r="B14" t="str">
        <f>T('IPTV US'!B5)</f>
        <v>CBS News 24/7</v>
      </c>
      <c r="C14" t="s">
        <v>4288</v>
      </c>
      <c r="D14" t="str">
        <f t="shared" si="1"/>
        <v/>
      </c>
      <c r="E14" t="str">
        <f t="shared" si="2"/>
        <v/>
      </c>
      <c r="F14" s="68" t="s">
        <v>4289</v>
      </c>
      <c r="G14">
        <f>'IPTV CA'!A5</f>
        <v>10404</v>
      </c>
      <c r="H14" t="str">
        <f>T('IPTV CA'!B5)</f>
        <v/>
      </c>
      <c r="I14" t="s">
        <v>4290</v>
      </c>
      <c r="J14" t="str">
        <f t="shared" si="3"/>
        <v/>
      </c>
      <c r="K14" t="str">
        <f t="shared" si="8"/>
        <v/>
      </c>
      <c r="L14" s="69"/>
      <c r="M14">
        <f>'TMIS US'!A5</f>
        <v>8104</v>
      </c>
      <c r="N14" t="str">
        <f>T('TMIS US'!B5)</f>
        <v>CBS News 24/7</v>
      </c>
      <c r="O14" t="s">
        <v>4288</v>
      </c>
      <c r="P14" t="str">
        <f t="shared" si="4"/>
        <v/>
      </c>
      <c r="Q14" t="str">
        <f t="shared" si="9"/>
        <v/>
      </c>
      <c r="R14" s="69"/>
      <c r="S14">
        <f>'TMIS CA'!A5</f>
        <v>9004</v>
      </c>
      <c r="T14" t="str">
        <f>T('TMIS CA'!B5)</f>
        <v/>
      </c>
      <c r="U14" t="s">
        <v>4290</v>
      </c>
      <c r="V14" t="str">
        <f t="shared" ref="V14:V77" si="11">IF(U14="Active",IF(T14="","Please Notify - Channel Removed",""),"")</f>
        <v/>
      </c>
      <c r="W14" t="str">
        <f t="shared" si="10"/>
        <v/>
      </c>
    </row>
    <row r="15" spans="1:23">
      <c r="A15">
        <f>'IPTV US'!A6</f>
        <v>10105</v>
      </c>
      <c r="B15" t="str">
        <f>T('IPTV US'!B6)</f>
        <v/>
      </c>
      <c r="C15" t="s">
        <v>4290</v>
      </c>
      <c r="D15" t="str">
        <f t="shared" si="1"/>
        <v/>
      </c>
      <c r="E15" t="str">
        <f t="shared" si="2"/>
        <v/>
      </c>
      <c r="F15" s="68" t="s">
        <v>4289</v>
      </c>
      <c r="G15">
        <f>'IPTV CA'!A6</f>
        <v>10405</v>
      </c>
      <c r="H15" t="str">
        <f>T('IPTV CA'!B6)</f>
        <v/>
      </c>
      <c r="I15" t="s">
        <v>4290</v>
      </c>
      <c r="J15" t="str">
        <f t="shared" si="3"/>
        <v/>
      </c>
      <c r="K15" t="str">
        <f t="shared" si="8"/>
        <v/>
      </c>
      <c r="L15" s="69"/>
      <c r="M15">
        <f>'TMIS US'!A6</f>
        <v>8105</v>
      </c>
      <c r="N15" t="str">
        <f>T('TMIS US'!B6)</f>
        <v/>
      </c>
      <c r="O15" t="s">
        <v>4290</v>
      </c>
      <c r="P15" t="str">
        <f t="shared" si="4"/>
        <v/>
      </c>
      <c r="Q15" t="str">
        <f t="shared" si="9"/>
        <v/>
      </c>
      <c r="R15" s="69"/>
      <c r="S15">
        <f>'TMIS CA'!A6</f>
        <v>9005</v>
      </c>
      <c r="T15" t="str">
        <f>T('TMIS CA'!B6)</f>
        <v/>
      </c>
      <c r="U15" t="s">
        <v>4290</v>
      </c>
      <c r="V15" t="str">
        <f t="shared" si="11"/>
        <v/>
      </c>
      <c r="W15" t="str">
        <f t="shared" si="10"/>
        <v/>
      </c>
    </row>
    <row r="16" spans="1:23">
      <c r="A16">
        <f>'IPTV US'!A7</f>
        <v>10106</v>
      </c>
      <c r="B16" t="str">
        <f>T('IPTV US'!B7)</f>
        <v/>
      </c>
      <c r="C16" t="s">
        <v>4290</v>
      </c>
      <c r="D16" t="str">
        <f t="shared" si="1"/>
        <v/>
      </c>
      <c r="E16" t="str">
        <f t="shared" si="2"/>
        <v/>
      </c>
      <c r="F16" s="68" t="s">
        <v>4289</v>
      </c>
      <c r="G16">
        <f>'IPTV CA'!A7</f>
        <v>10406</v>
      </c>
      <c r="H16" t="str">
        <f>T('IPTV CA'!B7)</f>
        <v>Filmrise Canadien</v>
      </c>
      <c r="I16" t="s">
        <v>4288</v>
      </c>
      <c r="J16" t="str">
        <f t="shared" si="3"/>
        <v/>
      </c>
      <c r="K16" t="str">
        <f t="shared" si="8"/>
        <v/>
      </c>
      <c r="L16" s="69"/>
      <c r="M16">
        <f>'TMIS US'!A7</f>
        <v>8106</v>
      </c>
      <c r="N16" t="str">
        <f>T('TMIS US'!B7)</f>
        <v/>
      </c>
      <c r="O16" t="s">
        <v>4290</v>
      </c>
      <c r="P16" t="str">
        <f t="shared" si="4"/>
        <v/>
      </c>
      <c r="Q16" t="str">
        <f t="shared" si="9"/>
        <v/>
      </c>
      <c r="R16" s="69"/>
      <c r="S16">
        <f>'TMIS CA'!A7</f>
        <v>9006</v>
      </c>
      <c r="T16" t="str">
        <f>T('TMIS CA'!B7)</f>
        <v>Filmrise Canadien</v>
      </c>
      <c r="U16" t="s">
        <v>4288</v>
      </c>
      <c r="V16" t="str">
        <f t="shared" si="11"/>
        <v/>
      </c>
      <c r="W16" t="str">
        <f t="shared" si="10"/>
        <v/>
      </c>
    </row>
    <row r="17" spans="1:23">
      <c r="A17">
        <f>'IPTV US'!A8</f>
        <v>10107</v>
      </c>
      <c r="B17" t="str">
        <f>T('IPTV US'!B8)</f>
        <v/>
      </c>
      <c r="C17" t="s">
        <v>4290</v>
      </c>
      <c r="D17" t="str">
        <f t="shared" si="1"/>
        <v/>
      </c>
      <c r="E17" t="str">
        <f t="shared" si="2"/>
        <v/>
      </c>
      <c r="F17" s="68" t="s">
        <v>4289</v>
      </c>
      <c r="G17">
        <f>'IPTV CA'!A8</f>
        <v>10407</v>
      </c>
      <c r="H17" t="str">
        <f>T('IPTV CA'!B8)</f>
        <v/>
      </c>
      <c r="I17" t="s">
        <v>4290</v>
      </c>
      <c r="J17" t="str">
        <f t="shared" si="3"/>
        <v/>
      </c>
      <c r="K17" t="str">
        <f t="shared" si="8"/>
        <v/>
      </c>
      <c r="L17" s="69"/>
      <c r="M17">
        <f>'TMIS US'!A8</f>
        <v>8107</v>
      </c>
      <c r="N17" t="str">
        <f>T('TMIS US'!B8)</f>
        <v/>
      </c>
      <c r="O17" t="s">
        <v>4290</v>
      </c>
      <c r="P17" t="str">
        <f t="shared" si="4"/>
        <v/>
      </c>
      <c r="Q17" t="str">
        <f t="shared" si="9"/>
        <v/>
      </c>
      <c r="R17" s="69"/>
      <c r="S17">
        <f>'TMIS CA'!A8</f>
        <v>9007</v>
      </c>
      <c r="T17" t="str">
        <f>T('TMIS CA'!B8)</f>
        <v/>
      </c>
      <c r="U17" t="s">
        <v>4290</v>
      </c>
      <c r="V17" t="str">
        <f t="shared" si="11"/>
        <v/>
      </c>
      <c r="W17" t="str">
        <f t="shared" si="10"/>
        <v/>
      </c>
    </row>
    <row r="18" spans="1:23">
      <c r="A18">
        <f>'IPTV US'!A9</f>
        <v>10108</v>
      </c>
      <c r="B18" t="str">
        <f>T('IPTV US'!B9)</f>
        <v/>
      </c>
      <c r="C18" t="s">
        <v>4290</v>
      </c>
      <c r="D18" t="str">
        <f t="shared" si="1"/>
        <v/>
      </c>
      <c r="E18" t="str">
        <f t="shared" si="2"/>
        <v/>
      </c>
      <c r="F18" s="68" t="s">
        <v>4289</v>
      </c>
      <c r="G18">
        <f>'IPTV CA'!A9</f>
        <v>10408</v>
      </c>
      <c r="H18" t="str">
        <f>T('IPTV CA'!B9)</f>
        <v/>
      </c>
      <c r="I18" t="s">
        <v>4290</v>
      </c>
      <c r="J18" t="str">
        <f t="shared" si="3"/>
        <v/>
      </c>
      <c r="K18" t="str">
        <f t="shared" si="8"/>
        <v/>
      </c>
      <c r="L18" s="69"/>
      <c r="M18">
        <f>'TMIS US'!A9</f>
        <v>8108</v>
      </c>
      <c r="N18" t="str">
        <f>T('TMIS US'!B9)</f>
        <v/>
      </c>
      <c r="O18" t="s">
        <v>4290</v>
      </c>
      <c r="P18" t="str">
        <f t="shared" si="4"/>
        <v/>
      </c>
      <c r="Q18" t="str">
        <f t="shared" si="9"/>
        <v/>
      </c>
      <c r="R18" s="69"/>
      <c r="S18">
        <f>'TMIS CA'!A9</f>
        <v>9008</v>
      </c>
      <c r="T18" t="str">
        <f>T('TMIS CA'!B9)</f>
        <v/>
      </c>
      <c r="U18" t="s">
        <v>4290</v>
      </c>
      <c r="V18" t="str">
        <f t="shared" si="11"/>
        <v/>
      </c>
      <c r="W18" t="str">
        <f t="shared" si="10"/>
        <v/>
      </c>
    </row>
    <row r="19" spans="1:23">
      <c r="A19">
        <f>'IPTV US'!A10</f>
        <v>10109</v>
      </c>
      <c r="B19" t="str">
        <f>T('IPTV US'!B10)</f>
        <v/>
      </c>
      <c r="C19" t="s">
        <v>4290</v>
      </c>
      <c r="D19" t="str">
        <f t="shared" si="1"/>
        <v/>
      </c>
      <c r="E19" t="str">
        <f t="shared" si="2"/>
        <v/>
      </c>
      <c r="F19" s="68" t="s">
        <v>4289</v>
      </c>
      <c r="G19">
        <f>'IPTV CA'!A10</f>
        <v>10409</v>
      </c>
      <c r="H19" t="str">
        <f>T('IPTV CA'!B10)</f>
        <v/>
      </c>
      <c r="I19" t="s">
        <v>4290</v>
      </c>
      <c r="J19" t="str">
        <f t="shared" si="3"/>
        <v/>
      </c>
      <c r="K19" t="str">
        <f t="shared" si="8"/>
        <v/>
      </c>
      <c r="L19" s="69"/>
      <c r="M19">
        <f>'TMIS US'!A10</f>
        <v>8109</v>
      </c>
      <c r="N19" t="str">
        <f>T('TMIS US'!B10)</f>
        <v/>
      </c>
      <c r="O19" t="s">
        <v>4290</v>
      </c>
      <c r="P19" t="str">
        <f t="shared" si="4"/>
        <v/>
      </c>
      <c r="Q19" t="str">
        <f t="shared" si="9"/>
        <v/>
      </c>
      <c r="R19" s="69"/>
      <c r="S19">
        <f>'TMIS CA'!A10</f>
        <v>9009</v>
      </c>
      <c r="T19" t="str">
        <f>T('TMIS CA'!B10)</f>
        <v/>
      </c>
      <c r="U19" t="s">
        <v>4290</v>
      </c>
      <c r="V19" t="str">
        <f t="shared" si="11"/>
        <v/>
      </c>
      <c r="W19" t="str">
        <f t="shared" si="10"/>
        <v/>
      </c>
    </row>
    <row r="20" spans="1:23">
      <c r="A20">
        <f>'IPTV US'!A11</f>
        <v>10110</v>
      </c>
      <c r="B20" t="str">
        <f>T('IPTV US'!B11)</f>
        <v/>
      </c>
      <c r="C20" t="s">
        <v>4290</v>
      </c>
      <c r="D20" t="str">
        <f t="shared" si="1"/>
        <v/>
      </c>
      <c r="E20" t="str">
        <f t="shared" si="2"/>
        <v/>
      </c>
      <c r="F20" s="68" t="s">
        <v>4289</v>
      </c>
      <c r="G20">
        <f>'IPTV CA'!A11</f>
        <v>10410</v>
      </c>
      <c r="H20" t="str">
        <f>T('IPTV CA'!B11)</f>
        <v/>
      </c>
      <c r="I20" t="s">
        <v>4290</v>
      </c>
      <c r="J20" t="str">
        <f t="shared" si="3"/>
        <v/>
      </c>
      <c r="K20" t="str">
        <f t="shared" si="8"/>
        <v/>
      </c>
      <c r="L20" s="69"/>
      <c r="M20">
        <f>'TMIS US'!A11</f>
        <v>8110</v>
      </c>
      <c r="N20" t="str">
        <f>T('TMIS US'!B11)</f>
        <v/>
      </c>
      <c r="O20" t="s">
        <v>4290</v>
      </c>
      <c r="P20" t="str">
        <f t="shared" si="4"/>
        <v/>
      </c>
      <c r="Q20" t="str">
        <f t="shared" si="9"/>
        <v/>
      </c>
      <c r="R20" s="69"/>
      <c r="S20">
        <f>'TMIS CA'!A11</f>
        <v>9010</v>
      </c>
      <c r="T20" t="str">
        <f>T('TMIS CA'!B11)</f>
        <v/>
      </c>
      <c r="U20" t="s">
        <v>4290</v>
      </c>
      <c r="V20" t="str">
        <f t="shared" si="11"/>
        <v/>
      </c>
      <c r="W20" t="str">
        <f t="shared" si="10"/>
        <v/>
      </c>
    </row>
    <row r="21" spans="1:23">
      <c r="A21">
        <f>'IPTV US'!A12</f>
        <v>10111</v>
      </c>
      <c r="B21" t="str">
        <f>T('IPTV US'!B12)</f>
        <v>Sky News</v>
      </c>
      <c r="C21" t="s">
        <v>4288</v>
      </c>
      <c r="D21" t="str">
        <f t="shared" si="1"/>
        <v/>
      </c>
      <c r="E21" t="str">
        <f t="shared" si="2"/>
        <v/>
      </c>
      <c r="F21" s="68" t="s">
        <v>4289</v>
      </c>
      <c r="G21">
        <f>'IPTV CA'!A12</f>
        <v>10411</v>
      </c>
      <c r="H21" t="str">
        <f>T('IPTV CA'!B12)</f>
        <v>FilmRise Western</v>
      </c>
      <c r="I21" t="s">
        <v>4288</v>
      </c>
      <c r="J21" t="str">
        <f t="shared" si="3"/>
        <v/>
      </c>
      <c r="K21" t="str">
        <f t="shared" si="8"/>
        <v/>
      </c>
      <c r="L21" s="69"/>
      <c r="M21">
        <f>'TMIS US'!A12</f>
        <v>8111</v>
      </c>
      <c r="N21" t="str">
        <f>T('TMIS US'!B12)</f>
        <v>Sky News</v>
      </c>
      <c r="O21" t="s">
        <v>4288</v>
      </c>
      <c r="P21" t="str">
        <f t="shared" si="4"/>
        <v/>
      </c>
      <c r="Q21" t="str">
        <f t="shared" si="9"/>
        <v/>
      </c>
      <c r="R21" s="69"/>
      <c r="S21">
        <f>'TMIS CA'!A12</f>
        <v>9011</v>
      </c>
      <c r="T21" t="str">
        <f>T('TMIS CA'!B12)</f>
        <v>FilmRise Western</v>
      </c>
      <c r="U21" t="s">
        <v>4288</v>
      </c>
      <c r="V21" t="str">
        <f t="shared" si="11"/>
        <v/>
      </c>
      <c r="W21" t="str">
        <f t="shared" si="10"/>
        <v/>
      </c>
    </row>
    <row r="22" spans="1:23">
      <c r="A22">
        <f>'IPTV US'!A13</f>
        <v>10112</v>
      </c>
      <c r="B22" t="str">
        <f>T('IPTV US'!B13)</f>
        <v>Blaze Live</v>
      </c>
      <c r="C22" t="s">
        <v>4288</v>
      </c>
      <c r="D22" t="str">
        <f t="shared" si="1"/>
        <v/>
      </c>
      <c r="E22" t="str">
        <f t="shared" si="2"/>
        <v/>
      </c>
      <c r="F22" s="68" t="s">
        <v>4289</v>
      </c>
      <c r="G22">
        <f>'IPTV CA'!A13</f>
        <v>10412</v>
      </c>
      <c r="H22" t="str">
        <f>T('IPTV CA'!B13)</f>
        <v/>
      </c>
      <c r="I22" t="s">
        <v>4290</v>
      </c>
      <c r="J22" t="str">
        <f t="shared" si="3"/>
        <v/>
      </c>
      <c r="K22" t="str">
        <f t="shared" si="8"/>
        <v/>
      </c>
      <c r="L22" s="69"/>
      <c r="M22">
        <f>'TMIS US'!A13</f>
        <v>8112</v>
      </c>
      <c r="N22" t="str">
        <f>T('TMIS US'!B13)</f>
        <v>Blaze Live</v>
      </c>
      <c r="O22" t="s">
        <v>4288</v>
      </c>
      <c r="P22" t="str">
        <f t="shared" si="4"/>
        <v/>
      </c>
      <c r="Q22" t="str">
        <f t="shared" si="9"/>
        <v/>
      </c>
      <c r="R22" s="69"/>
      <c r="S22">
        <f>'TMIS CA'!A13</f>
        <v>9012</v>
      </c>
      <c r="T22" t="str">
        <f>T('TMIS CA'!B13)</f>
        <v/>
      </c>
      <c r="U22" t="s">
        <v>4290</v>
      </c>
      <c r="V22" t="str">
        <f t="shared" si="11"/>
        <v/>
      </c>
      <c r="W22" t="str">
        <f t="shared" si="10"/>
        <v/>
      </c>
    </row>
    <row r="23" spans="1:23">
      <c r="A23">
        <f>'IPTV US'!A14</f>
        <v>10113</v>
      </c>
      <c r="B23" t="str">
        <f>T('IPTV US'!B14)</f>
        <v/>
      </c>
      <c r="C23" t="s">
        <v>4290</v>
      </c>
      <c r="D23" t="str">
        <f t="shared" si="1"/>
        <v/>
      </c>
      <c r="E23" t="str">
        <f>IF(C23="Vacant",IF(B23="","","Please Notify - Channel Added"),"")</f>
        <v/>
      </c>
      <c r="F23" s="68" t="s">
        <v>4289</v>
      </c>
      <c r="G23">
        <f>'IPTV CA'!A14</f>
        <v>10413</v>
      </c>
      <c r="H23" t="str">
        <f>T('IPTV CA'!B14)</f>
        <v/>
      </c>
      <c r="I23" t="s">
        <v>4290</v>
      </c>
      <c r="J23" t="str">
        <f t="shared" si="3"/>
        <v/>
      </c>
      <c r="K23" t="str">
        <f t="shared" si="8"/>
        <v/>
      </c>
      <c r="L23" s="69"/>
      <c r="M23">
        <f>'TMIS US'!A14</f>
        <v>8113</v>
      </c>
      <c r="N23" t="str">
        <f>T('TMIS US'!B14)</f>
        <v/>
      </c>
      <c r="O23" t="s">
        <v>4290</v>
      </c>
      <c r="P23" t="str">
        <f t="shared" si="4"/>
        <v/>
      </c>
      <c r="Q23" t="str">
        <f t="shared" si="9"/>
        <v/>
      </c>
      <c r="R23" s="69"/>
      <c r="S23">
        <f>'TMIS CA'!A14</f>
        <v>9013</v>
      </c>
      <c r="T23" t="str">
        <f>T('TMIS CA'!B14)</f>
        <v/>
      </c>
      <c r="U23" t="s">
        <v>4290</v>
      </c>
      <c r="V23" t="str">
        <f t="shared" si="11"/>
        <v/>
      </c>
      <c r="W23" t="str">
        <f t="shared" si="10"/>
        <v/>
      </c>
    </row>
    <row r="24" spans="1:23">
      <c r="A24">
        <f>'IPTV US'!A15</f>
        <v>10114</v>
      </c>
      <c r="B24" t="str">
        <f>T('IPTV US'!B15)</f>
        <v/>
      </c>
      <c r="C24" t="s">
        <v>4290</v>
      </c>
      <c r="D24" t="str">
        <f t="shared" si="1"/>
        <v/>
      </c>
      <c r="E24" t="str">
        <f t="shared" si="2"/>
        <v/>
      </c>
      <c r="F24" s="68" t="s">
        <v>4289</v>
      </c>
      <c r="G24">
        <f>'IPTV CA'!A15</f>
        <v>10414</v>
      </c>
      <c r="H24" t="str">
        <f>T('IPTV CA'!B15)</f>
        <v/>
      </c>
      <c r="I24" t="s">
        <v>4290</v>
      </c>
      <c r="J24" t="str">
        <f t="shared" si="3"/>
        <v/>
      </c>
      <c r="K24" t="str">
        <f t="shared" si="8"/>
        <v/>
      </c>
      <c r="L24" s="69"/>
      <c r="M24">
        <f>'TMIS US'!A15</f>
        <v>8114</v>
      </c>
      <c r="N24" t="str">
        <f>T('TMIS US'!B15)</f>
        <v/>
      </c>
      <c r="O24" t="s">
        <v>4290</v>
      </c>
      <c r="P24" t="str">
        <f t="shared" si="4"/>
        <v/>
      </c>
      <c r="Q24" t="str">
        <f t="shared" si="9"/>
        <v/>
      </c>
      <c r="R24" s="69"/>
      <c r="S24">
        <f>'TMIS CA'!A15</f>
        <v>9014</v>
      </c>
      <c r="T24" t="str">
        <f>T('TMIS CA'!B15)</f>
        <v/>
      </c>
      <c r="U24" t="s">
        <v>4290</v>
      </c>
      <c r="V24" t="str">
        <f t="shared" si="11"/>
        <v/>
      </c>
      <c r="W24" t="str">
        <f t="shared" si="10"/>
        <v/>
      </c>
    </row>
    <row r="25" spans="1:23">
      <c r="A25">
        <f>'IPTV US'!A16</f>
        <v>10115</v>
      </c>
      <c r="B25" t="str">
        <f>T('IPTV US'!B16)</f>
        <v/>
      </c>
      <c r="C25" t="s">
        <v>4290</v>
      </c>
      <c r="D25" t="str">
        <f t="shared" si="1"/>
        <v/>
      </c>
      <c r="E25" t="str">
        <f t="shared" si="2"/>
        <v/>
      </c>
      <c r="F25" s="68" t="s">
        <v>4289</v>
      </c>
      <c r="G25">
        <f>'IPTV CA'!A16</f>
        <v>10415</v>
      </c>
      <c r="H25" t="str">
        <f>T('IPTV CA'!B16)</f>
        <v/>
      </c>
      <c r="I25" t="s">
        <v>4290</v>
      </c>
      <c r="J25" t="str">
        <f t="shared" si="3"/>
        <v/>
      </c>
      <c r="K25" t="str">
        <f t="shared" si="8"/>
        <v/>
      </c>
      <c r="L25" s="69"/>
      <c r="M25">
        <f>'TMIS US'!A16</f>
        <v>8115</v>
      </c>
      <c r="N25" t="str">
        <f>T('TMIS US'!B16)</f>
        <v/>
      </c>
      <c r="O25" t="s">
        <v>4290</v>
      </c>
      <c r="P25" t="str">
        <f t="shared" si="4"/>
        <v/>
      </c>
      <c r="Q25" t="str">
        <f t="shared" si="9"/>
        <v/>
      </c>
      <c r="R25" s="69"/>
      <c r="S25">
        <f>'TMIS CA'!A16</f>
        <v>9015</v>
      </c>
      <c r="T25" t="str">
        <f>T('TMIS CA'!B16)</f>
        <v/>
      </c>
      <c r="U25" t="s">
        <v>4290</v>
      </c>
      <c r="V25" t="str">
        <f t="shared" si="11"/>
        <v/>
      </c>
      <c r="W25" t="str">
        <f t="shared" si="10"/>
        <v/>
      </c>
    </row>
    <row r="26" spans="1:23">
      <c r="A26">
        <f>'IPTV US'!A17</f>
        <v>10116</v>
      </c>
      <c r="B26" t="str">
        <f>T('IPTV US'!B17)</f>
        <v/>
      </c>
      <c r="C26" t="s">
        <v>4290</v>
      </c>
      <c r="D26" t="str">
        <f t="shared" si="1"/>
        <v/>
      </c>
      <c r="E26" t="str">
        <f t="shared" si="2"/>
        <v/>
      </c>
      <c r="F26" s="68" t="s">
        <v>4289</v>
      </c>
      <c r="G26">
        <f>'IPTV CA'!A17</f>
        <v>10416</v>
      </c>
      <c r="H26" t="str">
        <f>T('IPTV CA'!B17)</f>
        <v/>
      </c>
      <c r="I26" t="s">
        <v>4290</v>
      </c>
      <c r="J26" t="str">
        <f t="shared" si="3"/>
        <v/>
      </c>
      <c r="K26" t="str">
        <f t="shared" si="8"/>
        <v/>
      </c>
      <c r="L26" s="69"/>
      <c r="M26">
        <f>'TMIS US'!A17</f>
        <v>8116</v>
      </c>
      <c r="N26" t="str">
        <f>T('TMIS US'!B17)</f>
        <v/>
      </c>
      <c r="O26" t="s">
        <v>4290</v>
      </c>
      <c r="P26" t="str">
        <f t="shared" si="4"/>
        <v/>
      </c>
      <c r="Q26" t="str">
        <f t="shared" si="9"/>
        <v/>
      </c>
      <c r="R26" s="69"/>
      <c r="S26">
        <f>'TMIS CA'!A17</f>
        <v>9016</v>
      </c>
      <c r="T26" t="str">
        <f>T('TMIS CA'!B17)</f>
        <v/>
      </c>
      <c r="U26" t="s">
        <v>4290</v>
      </c>
      <c r="V26" t="str">
        <f t="shared" si="11"/>
        <v/>
      </c>
      <c r="W26" t="str">
        <f t="shared" si="10"/>
        <v/>
      </c>
    </row>
    <row r="27" spans="1:23">
      <c r="A27">
        <f>'IPTV US'!A18</f>
        <v>10117</v>
      </c>
      <c r="B27" t="str">
        <f>T('IPTV US'!B18)</f>
        <v>Pluto TV Crime Movies</v>
      </c>
      <c r="C27" t="s">
        <v>4288</v>
      </c>
      <c r="D27" t="str">
        <f t="shared" si="1"/>
        <v/>
      </c>
      <c r="E27" t="str">
        <f t="shared" si="2"/>
        <v/>
      </c>
      <c r="F27" s="68" t="s">
        <v>4289</v>
      </c>
      <c r="G27">
        <f>'IPTV CA'!A18</f>
        <v>10417</v>
      </c>
      <c r="H27" t="str">
        <f>T('IPTV CA'!B18)</f>
        <v>Shades of Black</v>
      </c>
      <c r="I27" t="s">
        <v>4288</v>
      </c>
      <c r="J27" t="str">
        <f t="shared" si="3"/>
        <v/>
      </c>
      <c r="K27" t="str">
        <f t="shared" si="8"/>
        <v/>
      </c>
      <c r="L27" s="69"/>
      <c r="M27">
        <f>'TMIS US'!A18</f>
        <v>8117</v>
      </c>
      <c r="N27" t="str">
        <f>T('TMIS US'!B18)</f>
        <v>Pluto TV Crime Movies</v>
      </c>
      <c r="O27" t="s">
        <v>4288</v>
      </c>
      <c r="P27" t="str">
        <f t="shared" si="4"/>
        <v/>
      </c>
      <c r="Q27" t="str">
        <f t="shared" si="9"/>
        <v/>
      </c>
      <c r="R27" s="69"/>
      <c r="S27">
        <f>'TMIS CA'!A18</f>
        <v>9017</v>
      </c>
      <c r="T27" t="str">
        <f>T('TMIS CA'!B18)</f>
        <v>Shades of Black</v>
      </c>
      <c r="U27" t="s">
        <v>4288</v>
      </c>
      <c r="V27" t="str">
        <f t="shared" si="11"/>
        <v/>
      </c>
      <c r="W27" t="str">
        <f t="shared" si="10"/>
        <v/>
      </c>
    </row>
    <row r="28" spans="1:23">
      <c r="A28">
        <f>'IPTV US'!A19</f>
        <v>10118</v>
      </c>
      <c r="B28" t="str">
        <f>T('IPTV US'!B19)</f>
        <v>Pluto TV Westerns</v>
      </c>
      <c r="C28" t="s">
        <v>4288</v>
      </c>
      <c r="D28" t="str">
        <f t="shared" si="1"/>
        <v/>
      </c>
      <c r="E28" t="str">
        <f t="shared" si="2"/>
        <v/>
      </c>
      <c r="F28" s="68" t="s">
        <v>4289</v>
      </c>
      <c r="G28">
        <f>'IPTV CA'!A19</f>
        <v>10418</v>
      </c>
      <c r="H28" t="str">
        <f>T('IPTV CA'!B19)</f>
        <v>OUTtv Proud</v>
      </c>
      <c r="I28" t="s">
        <v>4288</v>
      </c>
      <c r="J28" t="str">
        <f t="shared" si="3"/>
        <v/>
      </c>
      <c r="K28" t="str">
        <f t="shared" si="8"/>
        <v/>
      </c>
      <c r="L28" s="69"/>
      <c r="M28">
        <f>'TMIS US'!A19</f>
        <v>8118</v>
      </c>
      <c r="N28" t="str">
        <f>T('TMIS US'!B19)</f>
        <v>Pluto TV Westerns</v>
      </c>
      <c r="O28" t="s">
        <v>4288</v>
      </c>
      <c r="P28" t="str">
        <f t="shared" si="4"/>
        <v/>
      </c>
      <c r="Q28" t="str">
        <f t="shared" si="9"/>
        <v/>
      </c>
      <c r="R28" s="69"/>
      <c r="S28">
        <f>'TMIS CA'!A19</f>
        <v>9018</v>
      </c>
      <c r="T28" t="str">
        <f>T('TMIS CA'!B19)</f>
        <v>OUTtv Proud</v>
      </c>
      <c r="U28" t="s">
        <v>4288</v>
      </c>
      <c r="V28" t="str">
        <f t="shared" si="11"/>
        <v/>
      </c>
      <c r="W28" t="str">
        <f t="shared" si="10"/>
        <v/>
      </c>
    </row>
    <row r="29" spans="1:23">
      <c r="A29">
        <f>'IPTV US'!A20</f>
        <v>10119</v>
      </c>
      <c r="B29" t="str">
        <f>T('IPTV US'!B20)</f>
        <v>Pluto TV Action</v>
      </c>
      <c r="C29" t="s">
        <v>4288</v>
      </c>
      <c r="D29" t="str">
        <f t="shared" si="1"/>
        <v/>
      </c>
      <c r="E29" t="str">
        <f t="shared" si="2"/>
        <v/>
      </c>
      <c r="F29" s="68" t="s">
        <v>4289</v>
      </c>
      <c r="G29">
        <f>'IPTV CA'!A20</f>
        <v>10419</v>
      </c>
      <c r="H29" t="str">
        <f>T('IPTV CA'!B20)</f>
        <v/>
      </c>
      <c r="I29" t="s">
        <v>4290</v>
      </c>
      <c r="J29" t="str">
        <f t="shared" si="3"/>
        <v/>
      </c>
      <c r="K29" t="str">
        <f t="shared" si="8"/>
        <v/>
      </c>
      <c r="L29" s="69"/>
      <c r="M29">
        <f>'TMIS US'!A20</f>
        <v>8119</v>
      </c>
      <c r="N29" t="str">
        <f>T('TMIS US'!B20)</f>
        <v>Pluto TV Action</v>
      </c>
      <c r="O29" t="s">
        <v>4288</v>
      </c>
      <c r="P29" t="str">
        <f t="shared" si="4"/>
        <v/>
      </c>
      <c r="Q29" t="str">
        <f t="shared" si="9"/>
        <v/>
      </c>
      <c r="R29" s="69"/>
      <c r="S29">
        <f>'TMIS CA'!A20</f>
        <v>9019</v>
      </c>
      <c r="T29" t="str">
        <f>T('TMIS CA'!B20)</f>
        <v/>
      </c>
      <c r="U29" t="s">
        <v>4290</v>
      </c>
      <c r="V29" t="str">
        <f t="shared" si="11"/>
        <v/>
      </c>
      <c r="W29" t="str">
        <f t="shared" si="10"/>
        <v/>
      </c>
    </row>
    <row r="30" spans="1:23">
      <c r="A30">
        <f>'IPTV US'!A21</f>
        <v>10120</v>
      </c>
      <c r="B30" t="str">
        <f>T('IPTV US'!B21)</f>
        <v>Black Cinema</v>
      </c>
      <c r="C30" t="s">
        <v>4288</v>
      </c>
      <c r="D30" t="str">
        <f t="shared" si="1"/>
        <v/>
      </c>
      <c r="E30" t="str">
        <f t="shared" si="2"/>
        <v/>
      </c>
      <c r="F30" s="68" t="s">
        <v>4289</v>
      </c>
      <c r="G30">
        <f>'IPTV CA'!A21</f>
        <v>10420</v>
      </c>
      <c r="H30" t="str">
        <f>T('IPTV CA'!B21)</f>
        <v/>
      </c>
      <c r="I30" t="s">
        <v>4290</v>
      </c>
      <c r="J30" t="str">
        <f t="shared" si="3"/>
        <v/>
      </c>
      <c r="K30" t="str">
        <f t="shared" si="8"/>
        <v/>
      </c>
      <c r="L30" s="69"/>
      <c r="M30">
        <f>'TMIS US'!A21</f>
        <v>8120</v>
      </c>
      <c r="N30" t="str">
        <f>T('TMIS US'!B21)</f>
        <v>Black Cinema</v>
      </c>
      <c r="O30" t="s">
        <v>4288</v>
      </c>
      <c r="P30" t="str">
        <f t="shared" si="4"/>
        <v/>
      </c>
      <c r="Q30" t="str">
        <f t="shared" si="9"/>
        <v/>
      </c>
      <c r="R30" s="69"/>
      <c r="S30">
        <f>'TMIS CA'!A21</f>
        <v>9020</v>
      </c>
      <c r="T30" t="str">
        <f>T('TMIS CA'!B21)</f>
        <v/>
      </c>
      <c r="U30" t="s">
        <v>4290</v>
      </c>
      <c r="V30" t="str">
        <f t="shared" si="11"/>
        <v/>
      </c>
      <c r="W30" t="str">
        <f t="shared" si="10"/>
        <v/>
      </c>
    </row>
    <row r="31" spans="1:23">
      <c r="A31">
        <f>'IPTV US'!A22</f>
        <v>10121</v>
      </c>
      <c r="B31" t="str">
        <f>T('IPTV US'!B22)</f>
        <v>Pluto TV Horror</v>
      </c>
      <c r="C31" t="s">
        <v>4288</v>
      </c>
      <c r="D31" t="str">
        <f t="shared" si="1"/>
        <v/>
      </c>
      <c r="E31" t="str">
        <f t="shared" si="2"/>
        <v/>
      </c>
      <c r="F31" s="68" t="s">
        <v>4289</v>
      </c>
      <c r="G31">
        <f>'IPTV CA'!A22</f>
        <v>10421</v>
      </c>
      <c r="H31" t="str">
        <f>T('IPTV CA'!B22)</f>
        <v/>
      </c>
      <c r="I31" t="s">
        <v>4290</v>
      </c>
      <c r="J31" t="str">
        <f t="shared" si="3"/>
        <v/>
      </c>
      <c r="K31" t="str">
        <f t="shared" si="8"/>
        <v/>
      </c>
      <c r="L31" s="69"/>
      <c r="M31">
        <f>'TMIS US'!A22</f>
        <v>8121</v>
      </c>
      <c r="N31" t="str">
        <f>T('TMIS US'!B22)</f>
        <v>Pluto TV Horror</v>
      </c>
      <c r="O31" t="s">
        <v>4288</v>
      </c>
      <c r="P31" t="str">
        <f t="shared" si="4"/>
        <v/>
      </c>
      <c r="Q31" t="str">
        <f t="shared" si="9"/>
        <v/>
      </c>
      <c r="R31" s="69"/>
      <c r="S31">
        <f>'TMIS CA'!A22</f>
        <v>9021</v>
      </c>
      <c r="T31" t="str">
        <f>T('TMIS CA'!B22)</f>
        <v/>
      </c>
      <c r="U31" t="s">
        <v>4290</v>
      </c>
      <c r="V31" t="str">
        <f t="shared" si="11"/>
        <v/>
      </c>
      <c r="W31" t="str">
        <f t="shared" si="10"/>
        <v/>
      </c>
    </row>
    <row r="32" spans="1:23">
      <c r="A32">
        <f>'IPTV US'!A23</f>
        <v>10122</v>
      </c>
      <c r="B32" t="str">
        <f>T('IPTV US'!B23)</f>
        <v>Pluto TV Terror</v>
      </c>
      <c r="C32" t="s">
        <v>4288</v>
      </c>
      <c r="D32" t="str">
        <f t="shared" si="1"/>
        <v/>
      </c>
      <c r="E32" t="str">
        <f t="shared" si="2"/>
        <v/>
      </c>
      <c r="F32" s="68" t="s">
        <v>4289</v>
      </c>
      <c r="G32">
        <f>'IPTV CA'!A23</f>
        <v>10422</v>
      </c>
      <c r="H32" t="str">
        <f>T('IPTV CA'!B23)</f>
        <v/>
      </c>
      <c r="I32" t="s">
        <v>4290</v>
      </c>
      <c r="J32" t="str">
        <f t="shared" si="3"/>
        <v/>
      </c>
      <c r="K32" t="str">
        <f t="shared" si="8"/>
        <v/>
      </c>
      <c r="L32" s="69"/>
      <c r="M32">
        <f>'TMIS US'!A23</f>
        <v>8122</v>
      </c>
      <c r="N32" t="str">
        <f>T('TMIS US'!B23)</f>
        <v>Pluto TV Terror</v>
      </c>
      <c r="O32" t="s">
        <v>4288</v>
      </c>
      <c r="P32" t="str">
        <f t="shared" si="4"/>
        <v/>
      </c>
      <c r="Q32" t="str">
        <f t="shared" si="9"/>
        <v/>
      </c>
      <c r="R32" s="69"/>
      <c r="S32">
        <f>'TMIS CA'!A23</f>
        <v>9022</v>
      </c>
      <c r="T32" t="str">
        <f>T('TMIS CA'!B23)</f>
        <v/>
      </c>
      <c r="U32" t="s">
        <v>4290</v>
      </c>
      <c r="V32" t="str">
        <f t="shared" si="11"/>
        <v/>
      </c>
      <c r="W32" t="str">
        <f t="shared" si="10"/>
        <v/>
      </c>
    </row>
    <row r="33" spans="1:23">
      <c r="A33">
        <f>'IPTV US'!A24</f>
        <v>10123</v>
      </c>
      <c r="B33" t="str">
        <f>T('IPTV US'!B24)</f>
        <v>Pluto TV Sci-Fi</v>
      </c>
      <c r="C33" t="s">
        <v>4288</v>
      </c>
      <c r="D33" t="str">
        <f t="shared" si="1"/>
        <v/>
      </c>
      <c r="E33" t="str">
        <f t="shared" si="2"/>
        <v/>
      </c>
      <c r="F33" s="68" t="s">
        <v>4289</v>
      </c>
      <c r="G33">
        <f>'IPTV CA'!A24</f>
        <v>10423</v>
      </c>
      <c r="H33" t="str">
        <f>T('IPTV CA'!B24)</f>
        <v/>
      </c>
      <c r="I33" t="s">
        <v>4290</v>
      </c>
      <c r="J33" t="str">
        <f t="shared" si="3"/>
        <v/>
      </c>
      <c r="K33" t="str">
        <f t="shared" si="8"/>
        <v/>
      </c>
      <c r="L33" s="69"/>
      <c r="M33">
        <f>'TMIS US'!A24</f>
        <v>8123</v>
      </c>
      <c r="N33" t="str">
        <f>T('TMIS US'!B24)</f>
        <v>Pluto TV Sci-Fi</v>
      </c>
      <c r="O33" t="s">
        <v>4288</v>
      </c>
      <c r="P33" t="str">
        <f t="shared" si="4"/>
        <v/>
      </c>
      <c r="Q33" t="str">
        <f t="shared" si="9"/>
        <v/>
      </c>
      <c r="R33" s="69"/>
      <c r="S33">
        <f>'TMIS CA'!A24</f>
        <v>9023</v>
      </c>
      <c r="T33" t="str">
        <f>T('TMIS CA'!B24)</f>
        <v/>
      </c>
      <c r="U33" t="s">
        <v>4290</v>
      </c>
      <c r="V33" t="str">
        <f t="shared" si="11"/>
        <v/>
      </c>
      <c r="W33" t="str">
        <f t="shared" si="10"/>
        <v/>
      </c>
    </row>
    <row r="34" spans="1:23">
      <c r="A34">
        <f>'IPTV US'!A25</f>
        <v>10124</v>
      </c>
      <c r="B34" t="str">
        <f>T('IPTV US'!B25)</f>
        <v>Pluto TV Comedy</v>
      </c>
      <c r="C34" t="s">
        <v>4288</v>
      </c>
      <c r="D34" t="str">
        <f t="shared" si="1"/>
        <v/>
      </c>
      <c r="E34" t="str">
        <f t="shared" si="2"/>
        <v/>
      </c>
      <c r="F34" s="68" t="s">
        <v>4289</v>
      </c>
      <c r="G34">
        <f>'IPTV CA'!A25</f>
        <v>10424</v>
      </c>
      <c r="H34" t="str">
        <f>T('IPTV CA'!B25)</f>
        <v>Filmrise Classic TV</v>
      </c>
      <c r="I34" t="s">
        <v>4288</v>
      </c>
      <c r="J34" t="str">
        <f t="shared" si="3"/>
        <v/>
      </c>
      <c r="K34" t="str">
        <f t="shared" si="8"/>
        <v/>
      </c>
      <c r="L34" s="69"/>
      <c r="M34">
        <f>'TMIS US'!A25</f>
        <v>8124</v>
      </c>
      <c r="N34" t="str">
        <f>T('TMIS US'!B25)</f>
        <v>Pluto TV Comedy</v>
      </c>
      <c r="O34" t="s">
        <v>4288</v>
      </c>
      <c r="P34" t="str">
        <f t="shared" si="4"/>
        <v/>
      </c>
      <c r="Q34" t="str">
        <f t="shared" si="9"/>
        <v/>
      </c>
      <c r="R34" s="69"/>
      <c r="S34">
        <f>'TMIS CA'!A25</f>
        <v>9024</v>
      </c>
      <c r="T34" t="str">
        <f>T('TMIS CA'!B25)</f>
        <v>Filmrise Classic TV</v>
      </c>
      <c r="U34" t="s">
        <v>4288</v>
      </c>
      <c r="V34" t="str">
        <f t="shared" si="11"/>
        <v/>
      </c>
      <c r="W34" t="str">
        <f t="shared" si="10"/>
        <v/>
      </c>
    </row>
    <row r="35" spans="1:23">
      <c r="A35">
        <f>'IPTV US'!A26</f>
        <v>10125</v>
      </c>
      <c r="B35" t="str">
        <f>T('IPTV US'!B26)</f>
        <v>Pluto TV Drama</v>
      </c>
      <c r="C35" t="s">
        <v>4288</v>
      </c>
      <c r="D35" t="str">
        <f t="shared" si="1"/>
        <v/>
      </c>
      <c r="E35" t="str">
        <f t="shared" si="2"/>
        <v/>
      </c>
      <c r="F35" s="68" t="s">
        <v>4289</v>
      </c>
      <c r="G35">
        <f>'IPTV CA'!A26</f>
        <v>10425</v>
      </c>
      <c r="H35" t="str">
        <f>T('IPTV CA'!B26)</f>
        <v>Hell’s Kitchen</v>
      </c>
      <c r="I35" t="s">
        <v>4288</v>
      </c>
      <c r="J35" t="str">
        <f t="shared" si="3"/>
        <v/>
      </c>
      <c r="K35" t="str">
        <f t="shared" si="8"/>
        <v/>
      </c>
      <c r="L35" s="69"/>
      <c r="M35">
        <f>'TMIS US'!A26</f>
        <v>8125</v>
      </c>
      <c r="N35" t="str">
        <f>T('TMIS US'!B26)</f>
        <v>Pluto TV Drama</v>
      </c>
      <c r="O35" t="s">
        <v>4288</v>
      </c>
      <c r="P35" t="str">
        <f t="shared" si="4"/>
        <v/>
      </c>
      <c r="Q35" t="str">
        <f t="shared" si="9"/>
        <v/>
      </c>
      <c r="R35" s="69"/>
      <c r="S35">
        <f>'TMIS CA'!A26</f>
        <v>9025</v>
      </c>
      <c r="T35" t="str">
        <f>T('TMIS CA'!B26)</f>
        <v>Hell’s Kitchen</v>
      </c>
      <c r="U35" t="s">
        <v>4288</v>
      </c>
      <c r="V35" t="str">
        <f t="shared" si="11"/>
        <v/>
      </c>
      <c r="W35" t="str">
        <f t="shared" si="10"/>
        <v/>
      </c>
    </row>
    <row r="36" spans="1:23">
      <c r="A36">
        <f>'IPTV US'!A27</f>
        <v>10126</v>
      </c>
      <c r="B36" t="str">
        <f>T('IPTV US'!B27)</f>
        <v>Pluto TV Fantastic</v>
      </c>
      <c r="C36" t="s">
        <v>4288</v>
      </c>
      <c r="D36" t="str">
        <f t="shared" si="1"/>
        <v/>
      </c>
      <c r="E36" t="str">
        <f t="shared" si="2"/>
        <v/>
      </c>
      <c r="F36" s="68" t="s">
        <v>4289</v>
      </c>
      <c r="G36">
        <f>'IPTV CA'!A27</f>
        <v>10426</v>
      </c>
      <c r="H36" t="str">
        <f>T('IPTV CA'!B27)</f>
        <v/>
      </c>
      <c r="I36" t="s">
        <v>4290</v>
      </c>
      <c r="J36" t="str">
        <f t="shared" si="3"/>
        <v/>
      </c>
      <c r="K36" t="str">
        <f t="shared" si="8"/>
        <v/>
      </c>
      <c r="L36" s="69"/>
      <c r="M36">
        <f>'TMIS US'!A27</f>
        <v>8126</v>
      </c>
      <c r="N36" t="str">
        <f>T('TMIS US'!B27)</f>
        <v>Pluto TV Fantastic</v>
      </c>
      <c r="O36" t="s">
        <v>4288</v>
      </c>
      <c r="P36" t="str">
        <f t="shared" si="4"/>
        <v/>
      </c>
      <c r="Q36" t="str">
        <f t="shared" si="9"/>
        <v/>
      </c>
      <c r="R36" s="69"/>
      <c r="S36">
        <f>'TMIS CA'!A27</f>
        <v>9026</v>
      </c>
      <c r="T36" t="str">
        <f>T('TMIS CA'!B27)</f>
        <v/>
      </c>
      <c r="U36" t="s">
        <v>4290</v>
      </c>
      <c r="V36" t="str">
        <f t="shared" si="11"/>
        <v/>
      </c>
      <c r="W36" t="str">
        <f t="shared" si="10"/>
        <v/>
      </c>
    </row>
    <row r="37" spans="1:23">
      <c r="A37">
        <f>'IPTV US'!A28</f>
        <v>10127</v>
      </c>
      <c r="B37" t="str">
        <f>T('IPTV US'!B28)</f>
        <v/>
      </c>
      <c r="C37" t="s">
        <v>4290</v>
      </c>
      <c r="D37" t="str">
        <f t="shared" si="1"/>
        <v/>
      </c>
      <c r="E37" t="str">
        <f t="shared" si="2"/>
        <v/>
      </c>
      <c r="F37" s="68" t="s">
        <v>4289</v>
      </c>
      <c r="G37">
        <f>'IPTV CA'!A28</f>
        <v>10427</v>
      </c>
      <c r="H37" t="str">
        <f>T('IPTV CA'!B28)</f>
        <v/>
      </c>
      <c r="I37" t="s">
        <v>4290</v>
      </c>
      <c r="J37" t="str">
        <f t="shared" si="3"/>
        <v/>
      </c>
      <c r="K37" t="str">
        <f t="shared" si="8"/>
        <v/>
      </c>
      <c r="L37" s="69"/>
      <c r="M37">
        <f>'TMIS US'!A28</f>
        <v>8127</v>
      </c>
      <c r="N37" t="str">
        <f>T('TMIS US'!B28)</f>
        <v/>
      </c>
      <c r="O37" t="s">
        <v>4290</v>
      </c>
      <c r="P37" t="str">
        <f t="shared" si="4"/>
        <v/>
      </c>
      <c r="Q37" t="str">
        <f t="shared" si="9"/>
        <v/>
      </c>
      <c r="R37" s="69"/>
      <c r="S37">
        <f>'TMIS CA'!A28</f>
        <v>9027</v>
      </c>
      <c r="T37" t="str">
        <f>T('TMIS CA'!B28)</f>
        <v/>
      </c>
      <c r="U37" t="s">
        <v>4290</v>
      </c>
      <c r="V37" t="str">
        <f t="shared" si="11"/>
        <v/>
      </c>
      <c r="W37" t="str">
        <f t="shared" si="10"/>
        <v/>
      </c>
    </row>
    <row r="38" spans="1:23">
      <c r="A38">
        <f>'IPTV US'!A29</f>
        <v>10128</v>
      </c>
      <c r="B38" t="str">
        <f>T('IPTV US'!B29)</f>
        <v>Pluto TV Romance</v>
      </c>
      <c r="C38" t="s">
        <v>4288</v>
      </c>
      <c r="D38" t="str">
        <f t="shared" si="1"/>
        <v/>
      </c>
      <c r="E38" t="str">
        <f t="shared" si="2"/>
        <v/>
      </c>
      <c r="F38" s="68" t="s">
        <v>4289</v>
      </c>
      <c r="G38">
        <f>'IPTV CA'!A29</f>
        <v>10428</v>
      </c>
      <c r="H38" t="str">
        <f>T('IPTV CA'!B29)</f>
        <v/>
      </c>
      <c r="I38" t="s">
        <v>4290</v>
      </c>
      <c r="J38" t="str">
        <f t="shared" si="3"/>
        <v/>
      </c>
      <c r="K38" t="str">
        <f t="shared" si="8"/>
        <v/>
      </c>
      <c r="L38" s="69"/>
      <c r="M38">
        <f>'TMIS US'!A29</f>
        <v>8128</v>
      </c>
      <c r="N38" t="str">
        <f>T('TMIS US'!B29)</f>
        <v>Pluto TV Romance</v>
      </c>
      <c r="O38" t="s">
        <v>4288</v>
      </c>
      <c r="P38" t="str">
        <f t="shared" si="4"/>
        <v/>
      </c>
      <c r="Q38" t="str">
        <f t="shared" si="9"/>
        <v/>
      </c>
      <c r="R38" s="69"/>
      <c r="S38">
        <f>'TMIS CA'!A29</f>
        <v>9028</v>
      </c>
      <c r="T38" t="str">
        <f>T('TMIS CA'!B29)</f>
        <v/>
      </c>
      <c r="U38" t="s">
        <v>4290</v>
      </c>
      <c r="V38" t="str">
        <f t="shared" si="11"/>
        <v/>
      </c>
      <c r="W38" t="str">
        <f t="shared" si="10"/>
        <v/>
      </c>
    </row>
    <row r="39" spans="1:23">
      <c r="A39">
        <f>'IPTV US'!A30</f>
        <v>10129</v>
      </c>
      <c r="B39" t="str">
        <f>T('IPTV US'!B30)</f>
        <v>Pluto TV Spotlight</v>
      </c>
      <c r="C39" t="s">
        <v>4288</v>
      </c>
      <c r="D39" t="str">
        <f t="shared" si="1"/>
        <v/>
      </c>
      <c r="E39" t="str">
        <f t="shared" si="2"/>
        <v/>
      </c>
      <c r="F39" s="68" t="s">
        <v>4289</v>
      </c>
      <c r="G39">
        <f>'IPTV CA'!A30</f>
        <v>10429</v>
      </c>
      <c r="H39" t="str">
        <f>T('IPTV CA'!B30)</f>
        <v/>
      </c>
      <c r="I39" t="s">
        <v>4290</v>
      </c>
      <c r="J39" t="str">
        <f t="shared" si="3"/>
        <v/>
      </c>
      <c r="K39" t="str">
        <f t="shared" si="8"/>
        <v/>
      </c>
      <c r="L39" s="69"/>
      <c r="M39">
        <f>'TMIS US'!A30</f>
        <v>8129</v>
      </c>
      <c r="N39" t="str">
        <f>T('TMIS US'!B30)</f>
        <v>Pluto TV Spotlight</v>
      </c>
      <c r="O39" t="s">
        <v>4288</v>
      </c>
      <c r="P39" t="str">
        <f t="shared" si="4"/>
        <v/>
      </c>
      <c r="Q39" t="str">
        <f t="shared" si="9"/>
        <v/>
      </c>
      <c r="R39" s="69"/>
      <c r="S39">
        <f>'TMIS CA'!A30</f>
        <v>9029</v>
      </c>
      <c r="T39" t="str">
        <f>T('TMIS CA'!B30)</f>
        <v/>
      </c>
      <c r="U39" t="s">
        <v>4290</v>
      </c>
      <c r="V39" t="str">
        <f t="shared" si="11"/>
        <v/>
      </c>
      <c r="W39" t="str">
        <f t="shared" si="10"/>
        <v/>
      </c>
    </row>
    <row r="40" spans="1:23">
      <c r="A40">
        <f>'IPTV US'!A31</f>
        <v>10130</v>
      </c>
      <c r="B40" t="str">
        <f>T('IPTV US'!B31)</f>
        <v>Paramount Movie Channel</v>
      </c>
      <c r="C40" t="s">
        <v>4288</v>
      </c>
      <c r="D40" t="str">
        <f t="shared" si="1"/>
        <v/>
      </c>
      <c r="E40" t="str">
        <f t="shared" si="2"/>
        <v/>
      </c>
      <c r="F40" s="68" t="s">
        <v>4289</v>
      </c>
      <c r="G40">
        <f>'IPTV CA'!A31</f>
        <v>10430</v>
      </c>
      <c r="H40" t="str">
        <f>T('IPTV CA'!B31)</f>
        <v>Forensic Files</v>
      </c>
      <c r="I40" t="s">
        <v>4288</v>
      </c>
      <c r="J40" t="str">
        <f t="shared" si="3"/>
        <v/>
      </c>
      <c r="K40" t="str">
        <f t="shared" si="8"/>
        <v/>
      </c>
      <c r="L40" s="69"/>
      <c r="M40">
        <f>'TMIS US'!A31</f>
        <v>8130</v>
      </c>
      <c r="N40" t="str">
        <f>T('TMIS US'!B31)</f>
        <v>Paramount Movie Channel</v>
      </c>
      <c r="O40" t="s">
        <v>4288</v>
      </c>
      <c r="P40" t="str">
        <f t="shared" si="4"/>
        <v/>
      </c>
      <c r="Q40" t="str">
        <f t="shared" si="9"/>
        <v/>
      </c>
      <c r="R40" s="69"/>
      <c r="S40">
        <f>'TMIS CA'!A31</f>
        <v>9030</v>
      </c>
      <c r="T40" t="str">
        <f>T('TMIS CA'!B31)</f>
        <v>Forensic Files</v>
      </c>
      <c r="U40" t="s">
        <v>4288</v>
      </c>
      <c r="V40" t="str">
        <f t="shared" si="11"/>
        <v/>
      </c>
      <c r="W40" t="str">
        <f t="shared" si="10"/>
        <v/>
      </c>
    </row>
    <row r="41" spans="1:23">
      <c r="A41">
        <f>'IPTV US'!A32</f>
        <v>10131</v>
      </c>
      <c r="B41" t="str">
        <f>T('IPTV US'!B32)</f>
        <v>70's Cinema</v>
      </c>
      <c r="C41" t="s">
        <v>4288</v>
      </c>
      <c r="D41" t="str">
        <f t="shared" si="1"/>
        <v/>
      </c>
      <c r="E41" t="str">
        <f t="shared" si="2"/>
        <v/>
      </c>
      <c r="F41" s="68" t="s">
        <v>4289</v>
      </c>
      <c r="G41">
        <f>'IPTV CA'!A32</f>
        <v>10431</v>
      </c>
      <c r="H41" t="str">
        <f>T('IPTV CA'!B32)</f>
        <v>Unsolved Mysteries</v>
      </c>
      <c r="I41" t="s">
        <v>4288</v>
      </c>
      <c r="J41" t="str">
        <f t="shared" si="3"/>
        <v/>
      </c>
      <c r="K41" t="str">
        <f t="shared" si="8"/>
        <v/>
      </c>
      <c r="L41" s="69"/>
      <c r="M41">
        <f>'TMIS US'!A32</f>
        <v>8131</v>
      </c>
      <c r="N41" t="str">
        <f>T('TMIS US'!B32)</f>
        <v>70's Cinema</v>
      </c>
      <c r="O41" t="s">
        <v>4288</v>
      </c>
      <c r="P41" t="str">
        <f t="shared" si="4"/>
        <v/>
      </c>
      <c r="Q41" t="str">
        <f t="shared" si="9"/>
        <v/>
      </c>
      <c r="R41" s="69"/>
      <c r="S41">
        <f>'TMIS CA'!A32</f>
        <v>9031</v>
      </c>
      <c r="T41" t="str">
        <f>T('TMIS CA'!B32)</f>
        <v>Unsolved Mysteries</v>
      </c>
      <c r="U41" t="s">
        <v>4288</v>
      </c>
      <c r="V41" t="str">
        <f t="shared" si="11"/>
        <v/>
      </c>
      <c r="W41" t="str">
        <f t="shared" si="10"/>
        <v/>
      </c>
    </row>
    <row r="42" spans="1:23">
      <c r="A42">
        <f>'IPTV US'!A33</f>
        <v>10132</v>
      </c>
      <c r="B42" t="str">
        <f>T('IPTV US'!B33)</f>
        <v>80's Rewind</v>
      </c>
      <c r="C42" t="s">
        <v>4288</v>
      </c>
      <c r="D42" t="str">
        <f t="shared" si="1"/>
        <v/>
      </c>
      <c r="E42" t="str">
        <f t="shared" si="2"/>
        <v/>
      </c>
      <c r="F42" s="68" t="s">
        <v>4289</v>
      </c>
      <c r="G42">
        <f>'IPTV CA'!A33</f>
        <v>10432</v>
      </c>
      <c r="H42" t="str">
        <f>T('IPTV CA'!B33)</f>
        <v/>
      </c>
      <c r="I42" t="s">
        <v>4290</v>
      </c>
      <c r="J42" t="str">
        <f t="shared" si="3"/>
        <v/>
      </c>
      <c r="K42" t="str">
        <f t="shared" si="8"/>
        <v/>
      </c>
      <c r="L42" s="69"/>
      <c r="M42">
        <f>'TMIS US'!A33</f>
        <v>8132</v>
      </c>
      <c r="N42" t="str">
        <f>T('TMIS US'!B33)</f>
        <v>80's Rewind</v>
      </c>
      <c r="O42" t="s">
        <v>4288</v>
      </c>
      <c r="P42" t="str">
        <f t="shared" si="4"/>
        <v/>
      </c>
      <c r="Q42" t="str">
        <f t="shared" si="9"/>
        <v/>
      </c>
      <c r="R42" s="69"/>
      <c r="S42">
        <f>'TMIS CA'!A33</f>
        <v>9032</v>
      </c>
      <c r="T42" t="str">
        <f>T('TMIS CA'!B33)</f>
        <v/>
      </c>
      <c r="U42" t="s">
        <v>4290</v>
      </c>
      <c r="V42" t="str">
        <f t="shared" si="11"/>
        <v/>
      </c>
      <c r="W42" t="str">
        <f t="shared" si="10"/>
        <v/>
      </c>
    </row>
    <row r="43" spans="1:23">
      <c r="A43">
        <f>'IPTV US'!A34</f>
        <v>10133</v>
      </c>
      <c r="B43" t="str">
        <f>T('IPTV US'!B34)</f>
        <v>90's Throwback</v>
      </c>
      <c r="C43" t="s">
        <v>4288</v>
      </c>
      <c r="D43" t="str">
        <f t="shared" si="1"/>
        <v/>
      </c>
      <c r="E43" t="str">
        <f t="shared" si="2"/>
        <v/>
      </c>
      <c r="F43" s="68" t="s">
        <v>4289</v>
      </c>
      <c r="G43">
        <f>'IPTV CA'!A34</f>
        <v>10433</v>
      </c>
      <c r="H43" t="str">
        <f>T('IPTV CA'!B34)</f>
        <v/>
      </c>
      <c r="I43" t="s">
        <v>4290</v>
      </c>
      <c r="J43" t="str">
        <f t="shared" si="3"/>
        <v/>
      </c>
      <c r="K43" t="str">
        <f t="shared" si="8"/>
        <v/>
      </c>
      <c r="L43" s="69"/>
      <c r="M43">
        <f>'TMIS US'!A34</f>
        <v>8133</v>
      </c>
      <c r="N43" t="str">
        <f>T('TMIS US'!B34)</f>
        <v>90's Throwback</v>
      </c>
      <c r="O43" t="s">
        <v>4288</v>
      </c>
      <c r="P43" t="str">
        <f t="shared" si="4"/>
        <v/>
      </c>
      <c r="Q43" t="str">
        <f t="shared" si="9"/>
        <v/>
      </c>
      <c r="R43" s="69"/>
      <c r="S43">
        <f>'TMIS CA'!A34</f>
        <v>9033</v>
      </c>
      <c r="T43" t="str">
        <f>T('TMIS CA'!B34)</f>
        <v/>
      </c>
      <c r="U43" t="s">
        <v>4290</v>
      </c>
      <c r="V43" t="str">
        <f t="shared" si="11"/>
        <v/>
      </c>
      <c r="W43" t="str">
        <f t="shared" si="10"/>
        <v/>
      </c>
    </row>
    <row r="44" spans="1:23">
      <c r="A44">
        <f>'IPTV US'!A35</f>
        <v>10134</v>
      </c>
      <c r="B44" t="str">
        <f>T('IPTV US'!B35)</f>
        <v/>
      </c>
      <c r="C44" t="s">
        <v>4290</v>
      </c>
      <c r="D44" t="str">
        <f t="shared" si="1"/>
        <v/>
      </c>
      <c r="E44" t="str">
        <f t="shared" si="2"/>
        <v/>
      </c>
      <c r="F44" s="68" t="s">
        <v>4289</v>
      </c>
      <c r="G44">
        <f>'IPTV CA'!A35</f>
        <v>10434</v>
      </c>
      <c r="H44" t="str">
        <f>T('IPTV CA'!B35)</f>
        <v/>
      </c>
      <c r="I44" t="s">
        <v>4290</v>
      </c>
      <c r="J44" t="str">
        <f t="shared" si="3"/>
        <v/>
      </c>
      <c r="K44" t="str">
        <f t="shared" si="8"/>
        <v/>
      </c>
      <c r="L44" s="69"/>
      <c r="M44">
        <f>'TMIS US'!A35</f>
        <v>8134</v>
      </c>
      <c r="N44" t="str">
        <f>T('TMIS US'!B35)</f>
        <v/>
      </c>
      <c r="O44" t="s">
        <v>4290</v>
      </c>
      <c r="P44" t="str">
        <f t="shared" si="4"/>
        <v/>
      </c>
      <c r="Q44" t="str">
        <f t="shared" si="9"/>
        <v/>
      </c>
      <c r="R44" s="69"/>
      <c r="S44">
        <f>'TMIS CA'!A35</f>
        <v>9034</v>
      </c>
      <c r="T44" t="str">
        <f>T('TMIS CA'!B35)</f>
        <v/>
      </c>
      <c r="U44" t="s">
        <v>4290</v>
      </c>
      <c r="V44" t="str">
        <f t="shared" si="11"/>
        <v/>
      </c>
      <c r="W44" t="str">
        <f t="shared" si="10"/>
        <v/>
      </c>
    </row>
    <row r="45" spans="1:23">
      <c r="A45">
        <f>'IPTV US'!A36</f>
        <v>10135</v>
      </c>
      <c r="B45" t="str">
        <f>T('IPTV US'!B36)</f>
        <v/>
      </c>
      <c r="C45" t="s">
        <v>4290</v>
      </c>
      <c r="D45" t="str">
        <f t="shared" si="1"/>
        <v/>
      </c>
      <c r="E45" t="str">
        <f t="shared" si="2"/>
        <v/>
      </c>
      <c r="F45" s="68" t="s">
        <v>4289</v>
      </c>
      <c r="G45">
        <f>'IPTV CA'!A36</f>
        <v>10435</v>
      </c>
      <c r="H45" t="str">
        <f>T('IPTV CA'!B36)</f>
        <v/>
      </c>
      <c r="I45" t="s">
        <v>4290</v>
      </c>
      <c r="J45" t="str">
        <f t="shared" si="3"/>
        <v/>
      </c>
      <c r="K45" t="str">
        <f t="shared" si="8"/>
        <v/>
      </c>
      <c r="L45" s="69"/>
      <c r="M45">
        <f>'TMIS US'!A36</f>
        <v>8135</v>
      </c>
      <c r="N45" t="str">
        <f>T('TMIS US'!B36)</f>
        <v/>
      </c>
      <c r="O45" t="s">
        <v>4290</v>
      </c>
      <c r="P45" t="str">
        <f t="shared" si="4"/>
        <v/>
      </c>
      <c r="Q45" t="str">
        <f t="shared" si="9"/>
        <v/>
      </c>
      <c r="R45" s="69"/>
      <c r="S45">
        <f>'TMIS CA'!A36</f>
        <v>9035</v>
      </c>
      <c r="T45" t="str">
        <f>T('TMIS CA'!B36)</f>
        <v/>
      </c>
      <c r="U45" t="s">
        <v>4290</v>
      </c>
      <c r="V45" t="str">
        <f t="shared" si="11"/>
        <v/>
      </c>
      <c r="W45" t="str">
        <f t="shared" si="10"/>
        <v/>
      </c>
    </row>
    <row r="46" spans="1:23">
      <c r="A46">
        <f>'IPTV US'!A37</f>
        <v>10136</v>
      </c>
      <c r="B46" t="str">
        <f>T('IPTV US'!B37)</f>
        <v/>
      </c>
      <c r="C46" t="s">
        <v>4290</v>
      </c>
      <c r="D46" t="str">
        <f t="shared" si="1"/>
        <v/>
      </c>
      <c r="E46" t="str">
        <f t="shared" si="2"/>
        <v/>
      </c>
      <c r="F46" s="68" t="s">
        <v>4289</v>
      </c>
      <c r="G46">
        <f>'IPTV CA'!A37</f>
        <v>10436</v>
      </c>
      <c r="H46" t="str">
        <f>T('IPTV CA'!B37)</f>
        <v/>
      </c>
      <c r="I46" t="s">
        <v>4290</v>
      </c>
      <c r="J46" t="str">
        <f t="shared" si="3"/>
        <v/>
      </c>
      <c r="K46" t="str">
        <f t="shared" si="8"/>
        <v/>
      </c>
      <c r="L46" s="69"/>
      <c r="M46">
        <f>'TMIS US'!A37</f>
        <v>8136</v>
      </c>
      <c r="N46" t="str">
        <f>T('TMIS US'!B37)</f>
        <v/>
      </c>
      <c r="O46" t="s">
        <v>4290</v>
      </c>
      <c r="P46" t="str">
        <f t="shared" si="4"/>
        <v/>
      </c>
      <c r="Q46" t="str">
        <f t="shared" si="9"/>
        <v/>
      </c>
      <c r="R46" s="69"/>
      <c r="S46">
        <f>'TMIS CA'!A37</f>
        <v>9036</v>
      </c>
      <c r="T46" t="str">
        <f>T('TMIS CA'!B37)</f>
        <v/>
      </c>
      <c r="U46" t="s">
        <v>4290</v>
      </c>
      <c r="V46" t="str">
        <f t="shared" si="11"/>
        <v/>
      </c>
      <c r="W46" t="str">
        <f t="shared" si="10"/>
        <v/>
      </c>
    </row>
    <row r="47" spans="1:23">
      <c r="A47">
        <f>'IPTV US'!A38</f>
        <v>10137</v>
      </c>
      <c r="B47" t="str">
        <f>T('IPTV US'!B38)</f>
        <v/>
      </c>
      <c r="C47" t="s">
        <v>4290</v>
      </c>
      <c r="D47" t="str">
        <f t="shared" si="1"/>
        <v/>
      </c>
      <c r="E47" t="str">
        <f t="shared" si="2"/>
        <v/>
      </c>
      <c r="F47" s="68" t="s">
        <v>4289</v>
      </c>
      <c r="G47">
        <f>'IPTV CA'!A38</f>
        <v>10437</v>
      </c>
      <c r="H47" t="str">
        <f>T('IPTV CA'!B38)</f>
        <v>Untold Stories of the ER</v>
      </c>
      <c r="I47" t="s">
        <v>4288</v>
      </c>
      <c r="J47" t="str">
        <f t="shared" si="3"/>
        <v/>
      </c>
      <c r="K47" t="str">
        <f t="shared" si="8"/>
        <v/>
      </c>
      <c r="L47" s="69"/>
      <c r="M47">
        <f>'TMIS US'!A38</f>
        <v>8137</v>
      </c>
      <c r="N47" t="str">
        <f>T('TMIS US'!B38)</f>
        <v/>
      </c>
      <c r="O47" t="s">
        <v>4290</v>
      </c>
      <c r="P47" t="str">
        <f t="shared" si="4"/>
        <v/>
      </c>
      <c r="Q47" t="str">
        <f t="shared" si="9"/>
        <v/>
      </c>
      <c r="R47" s="69"/>
      <c r="S47">
        <f>'TMIS CA'!A38</f>
        <v>9037</v>
      </c>
      <c r="T47" t="str">
        <f>T('TMIS CA'!B38)</f>
        <v>Untold Stories of the ER</v>
      </c>
      <c r="U47" t="s">
        <v>4288</v>
      </c>
      <c r="V47" t="str">
        <f t="shared" si="11"/>
        <v/>
      </c>
      <c r="W47" t="str">
        <f t="shared" si="10"/>
        <v/>
      </c>
    </row>
    <row r="48" spans="1:23">
      <c r="A48">
        <f>'IPTV US'!A39</f>
        <v>10138</v>
      </c>
      <c r="B48" t="str">
        <f>T('IPTV US'!B39)</f>
        <v>COPS</v>
      </c>
      <c r="C48" t="s">
        <v>4288</v>
      </c>
      <c r="D48" t="str">
        <f t="shared" si="1"/>
        <v/>
      </c>
      <c r="E48" t="str">
        <f t="shared" si="2"/>
        <v/>
      </c>
      <c r="F48" s="68" t="s">
        <v>4289</v>
      </c>
      <c r="G48">
        <f>'IPTV CA'!A39</f>
        <v>10438</v>
      </c>
      <c r="H48" t="str">
        <f>T('IPTV CA'!B39)</f>
        <v>Dr. G: Medical Examiner</v>
      </c>
      <c r="I48" t="s">
        <v>4288</v>
      </c>
      <c r="J48" t="str">
        <f t="shared" si="3"/>
        <v/>
      </c>
      <c r="K48" t="str">
        <f t="shared" si="8"/>
        <v/>
      </c>
      <c r="L48" s="69"/>
      <c r="M48">
        <f>'TMIS US'!A39</f>
        <v>8138</v>
      </c>
      <c r="N48" t="str">
        <f>T('TMIS US'!B39)</f>
        <v>COPS</v>
      </c>
      <c r="O48" t="s">
        <v>4288</v>
      </c>
      <c r="P48" t="str">
        <f t="shared" si="4"/>
        <v/>
      </c>
      <c r="Q48" t="str">
        <f t="shared" si="9"/>
        <v/>
      </c>
      <c r="R48" s="69"/>
      <c r="S48">
        <f>'TMIS CA'!A39</f>
        <v>9038</v>
      </c>
      <c r="T48" t="str">
        <f>T('TMIS CA'!B39)</f>
        <v>Dr. G: Medical Examiner</v>
      </c>
      <c r="U48" t="s">
        <v>4288</v>
      </c>
      <c r="V48" t="str">
        <f t="shared" si="11"/>
        <v/>
      </c>
      <c r="W48" t="str">
        <f t="shared" si="10"/>
        <v/>
      </c>
    </row>
    <row r="49" spans="1:23">
      <c r="A49">
        <f>'IPTV US'!A40</f>
        <v>10139</v>
      </c>
      <c r="B49" t="str">
        <f>T('IPTV US'!B40)</f>
        <v>Forensic Files</v>
      </c>
      <c r="C49" t="s">
        <v>4288</v>
      </c>
      <c r="D49" t="str">
        <f t="shared" si="1"/>
        <v/>
      </c>
      <c r="E49" t="str">
        <f t="shared" si="2"/>
        <v/>
      </c>
      <c r="F49" s="68" t="s">
        <v>4289</v>
      </c>
      <c r="G49">
        <f>'IPTV CA'!A40</f>
        <v>10439</v>
      </c>
      <c r="H49" t="str">
        <f>T('IPTV CA'!B40)</f>
        <v/>
      </c>
      <c r="I49" t="s">
        <v>4290</v>
      </c>
      <c r="J49" t="str">
        <f t="shared" si="3"/>
        <v/>
      </c>
      <c r="K49" t="str">
        <f t="shared" si="8"/>
        <v/>
      </c>
      <c r="L49" s="69"/>
      <c r="M49">
        <f>'TMIS US'!A40</f>
        <v>8139</v>
      </c>
      <c r="N49" t="str">
        <f>T('TMIS US'!B40)</f>
        <v>Forensic Files</v>
      </c>
      <c r="O49" t="s">
        <v>4288</v>
      </c>
      <c r="P49" t="str">
        <f t="shared" si="4"/>
        <v/>
      </c>
      <c r="Q49" t="str">
        <f t="shared" si="9"/>
        <v/>
      </c>
      <c r="R49" s="69"/>
      <c r="S49">
        <f>'TMIS CA'!A40</f>
        <v>9039</v>
      </c>
      <c r="T49" t="str">
        <f>T('TMIS CA'!B40)</f>
        <v/>
      </c>
      <c r="U49" t="s">
        <v>4290</v>
      </c>
      <c r="V49" t="str">
        <f t="shared" si="11"/>
        <v/>
      </c>
      <c r="W49" t="str">
        <f t="shared" si="10"/>
        <v/>
      </c>
    </row>
    <row r="50" spans="1:23">
      <c r="A50">
        <f>'IPTV US'!A41</f>
        <v>10140</v>
      </c>
      <c r="B50" t="str">
        <f>T('IPTV US'!B41)</f>
        <v>Cold Case Files by A&amp;E</v>
      </c>
      <c r="C50" t="s">
        <v>4288</v>
      </c>
      <c r="D50" t="str">
        <f t="shared" si="1"/>
        <v/>
      </c>
      <c r="E50" t="str">
        <f t="shared" si="2"/>
        <v/>
      </c>
      <c r="F50" s="68" t="s">
        <v>4289</v>
      </c>
      <c r="G50">
        <f>'IPTV CA'!A41</f>
        <v>10440</v>
      </c>
      <c r="H50" t="str">
        <f>T('IPTV CA'!B41)</f>
        <v/>
      </c>
      <c r="I50" t="s">
        <v>4290</v>
      </c>
      <c r="J50" t="str">
        <f t="shared" si="3"/>
        <v/>
      </c>
      <c r="K50" t="str">
        <f t="shared" si="8"/>
        <v/>
      </c>
      <c r="L50" s="69"/>
      <c r="M50">
        <f>'TMIS US'!A41</f>
        <v>8140</v>
      </c>
      <c r="N50" t="str">
        <f>T('TMIS US'!B41)</f>
        <v>Cold Case Files by A&amp;E</v>
      </c>
      <c r="O50" t="s">
        <v>4288</v>
      </c>
      <c r="P50" t="str">
        <f t="shared" si="4"/>
        <v/>
      </c>
      <c r="Q50" t="str">
        <f t="shared" si="9"/>
        <v/>
      </c>
      <c r="R50" s="69"/>
      <c r="S50">
        <f>'TMIS CA'!A41</f>
        <v>9040</v>
      </c>
      <c r="T50" t="str">
        <f>T('TMIS CA'!B41)</f>
        <v/>
      </c>
      <c r="U50" t="s">
        <v>4290</v>
      </c>
      <c r="V50" t="str">
        <f t="shared" si="11"/>
        <v/>
      </c>
      <c r="W50" t="str">
        <f t="shared" si="10"/>
        <v/>
      </c>
    </row>
    <row r="51" spans="1:23">
      <c r="A51">
        <f>'IPTV US'!A42</f>
        <v>10141</v>
      </c>
      <c r="B51" t="str">
        <f>T('IPTV US'!B42)</f>
        <v>48 Hours</v>
      </c>
      <c r="C51" t="s">
        <v>4288</v>
      </c>
      <c r="D51" t="str">
        <f t="shared" si="1"/>
        <v/>
      </c>
      <c r="E51" t="str">
        <f t="shared" si="2"/>
        <v/>
      </c>
      <c r="F51" s="68" t="s">
        <v>4289</v>
      </c>
      <c r="G51">
        <f>'IPTV CA'!A42</f>
        <v>10441</v>
      </c>
      <c r="H51" t="str">
        <f>T('IPTV CA'!B42)</f>
        <v/>
      </c>
      <c r="I51" t="s">
        <v>4290</v>
      </c>
      <c r="J51" t="str">
        <f t="shared" si="3"/>
        <v/>
      </c>
      <c r="K51" t="str">
        <f t="shared" si="8"/>
        <v/>
      </c>
      <c r="L51" s="69"/>
      <c r="M51">
        <f>'TMIS US'!A42</f>
        <v>8141</v>
      </c>
      <c r="N51" t="str">
        <f>T('TMIS US'!B42)</f>
        <v>48 Hours</v>
      </c>
      <c r="O51" t="s">
        <v>4288</v>
      </c>
      <c r="P51" t="str">
        <f t="shared" si="4"/>
        <v/>
      </c>
      <c r="Q51" t="str">
        <f t="shared" si="9"/>
        <v/>
      </c>
      <c r="R51" s="69"/>
      <c r="S51">
        <f>'TMIS CA'!A42</f>
        <v>9041</v>
      </c>
      <c r="T51" t="str">
        <f>T('TMIS CA'!B42)</f>
        <v/>
      </c>
      <c r="U51" t="s">
        <v>4290</v>
      </c>
      <c r="V51" t="str">
        <f t="shared" si="11"/>
        <v/>
      </c>
      <c r="W51" t="str">
        <f t="shared" si="10"/>
        <v/>
      </c>
    </row>
    <row r="52" spans="1:23">
      <c r="A52">
        <f>'IPTV US'!A43</f>
        <v>10142</v>
      </c>
      <c r="B52" t="str">
        <f>T('IPTV US'!B43)</f>
        <v>The New Detectives</v>
      </c>
      <c r="C52" t="s">
        <v>4288</v>
      </c>
      <c r="D52" t="str">
        <f t="shared" si="1"/>
        <v/>
      </c>
      <c r="E52" t="str">
        <f t="shared" si="2"/>
        <v/>
      </c>
      <c r="F52" s="68" t="s">
        <v>4289</v>
      </c>
      <c r="G52">
        <f>'IPTV CA'!A43</f>
        <v>10442</v>
      </c>
      <c r="H52" t="str">
        <f>T('IPTV CA'!B43)</f>
        <v>Cheaters</v>
      </c>
      <c r="I52" t="s">
        <v>4288</v>
      </c>
      <c r="J52" t="str">
        <f t="shared" si="3"/>
        <v/>
      </c>
      <c r="K52" t="str">
        <f t="shared" si="8"/>
        <v/>
      </c>
      <c r="L52" s="69"/>
      <c r="M52">
        <f>'TMIS US'!A43</f>
        <v>8142</v>
      </c>
      <c r="N52" t="str">
        <f>T('TMIS US'!B43)</f>
        <v>The New Detectives</v>
      </c>
      <c r="O52" t="s">
        <v>4288</v>
      </c>
      <c r="P52" t="str">
        <f t="shared" si="4"/>
        <v/>
      </c>
      <c r="Q52" t="str">
        <f t="shared" si="9"/>
        <v/>
      </c>
      <c r="R52" s="69"/>
      <c r="S52">
        <f>'TMIS CA'!A43</f>
        <v>9042</v>
      </c>
      <c r="T52" t="str">
        <f>T('TMIS CA'!B43)</f>
        <v>Cheaters</v>
      </c>
      <c r="U52" t="s">
        <v>4288</v>
      </c>
      <c r="V52" t="str">
        <f t="shared" si="11"/>
        <v/>
      </c>
      <c r="W52" t="str">
        <f t="shared" si="10"/>
        <v/>
      </c>
    </row>
    <row r="53" spans="1:23">
      <c r="A53">
        <f>'IPTV US'!A44</f>
        <v>10143</v>
      </c>
      <c r="B53" t="str">
        <f>T('IPTV US'!B44)</f>
        <v>Pluto TV True Crime</v>
      </c>
      <c r="C53" t="s">
        <v>4288</v>
      </c>
      <c r="D53" t="str">
        <f t="shared" si="1"/>
        <v/>
      </c>
      <c r="E53" t="str">
        <f t="shared" si="2"/>
        <v/>
      </c>
      <c r="F53" s="68" t="s">
        <v>4289</v>
      </c>
      <c r="G53">
        <f>'IPTV CA'!A44</f>
        <v>10443</v>
      </c>
      <c r="H53" t="str">
        <f>T('IPTV CA'!B44)</f>
        <v/>
      </c>
      <c r="I53" t="s">
        <v>4290</v>
      </c>
      <c r="J53" t="str">
        <f t="shared" si="3"/>
        <v/>
      </c>
      <c r="K53" t="str">
        <f t="shared" si="8"/>
        <v/>
      </c>
      <c r="L53" s="69"/>
      <c r="M53">
        <f>'TMIS US'!A44</f>
        <v>8143</v>
      </c>
      <c r="N53" t="str">
        <f>T('TMIS US'!B44)</f>
        <v>Pluto TV True Crime</v>
      </c>
      <c r="O53" t="s">
        <v>4288</v>
      </c>
      <c r="P53" t="str">
        <f t="shared" si="4"/>
        <v/>
      </c>
      <c r="Q53" t="str">
        <f t="shared" si="9"/>
        <v/>
      </c>
      <c r="R53" s="69"/>
      <c r="S53">
        <f>'TMIS CA'!A44</f>
        <v>9043</v>
      </c>
      <c r="T53" t="str">
        <f>T('TMIS CA'!B44)</f>
        <v/>
      </c>
      <c r="U53" t="s">
        <v>4290</v>
      </c>
      <c r="V53" t="str">
        <f t="shared" si="11"/>
        <v/>
      </c>
      <c r="W53" t="str">
        <f t="shared" si="10"/>
        <v/>
      </c>
    </row>
    <row r="54" spans="1:23">
      <c r="A54">
        <f>'IPTV US'!A45</f>
        <v>10144</v>
      </c>
      <c r="B54" t="str">
        <f>T('IPTV US'!B45)</f>
        <v/>
      </c>
      <c r="C54" t="s">
        <v>4290</v>
      </c>
      <c r="D54" t="str">
        <f t="shared" si="1"/>
        <v/>
      </c>
      <c r="E54" t="str">
        <f t="shared" si="2"/>
        <v/>
      </c>
      <c r="F54" s="68" t="s">
        <v>4289</v>
      </c>
      <c r="G54">
        <f>'IPTV CA'!A45</f>
        <v>10444</v>
      </c>
      <c r="H54" t="str">
        <f>T('IPTV CA'!B45)</f>
        <v/>
      </c>
      <c r="I54" t="s">
        <v>4290</v>
      </c>
      <c r="J54" t="str">
        <f t="shared" si="3"/>
        <v/>
      </c>
      <c r="K54" t="str">
        <f>IF(I54="Vacant",IF(H54="","","Please Notify - Channel Added"),"")</f>
        <v/>
      </c>
      <c r="L54" s="69"/>
      <c r="M54">
        <f>'TMIS US'!A45</f>
        <v>8144</v>
      </c>
      <c r="N54" t="str">
        <f>T('TMIS US'!B45)</f>
        <v/>
      </c>
      <c r="O54" t="s">
        <v>4290</v>
      </c>
      <c r="P54" t="str">
        <f t="shared" si="4"/>
        <v/>
      </c>
      <c r="Q54" t="str">
        <f t="shared" si="9"/>
        <v/>
      </c>
      <c r="R54" s="69"/>
      <c r="S54">
        <f>'TMIS CA'!A45</f>
        <v>9044</v>
      </c>
      <c r="T54" t="str">
        <f>T('TMIS CA'!B45)</f>
        <v/>
      </c>
      <c r="U54" t="s">
        <v>4290</v>
      </c>
      <c r="V54" t="str">
        <f t="shared" si="11"/>
        <v/>
      </c>
      <c r="W54" t="str">
        <f t="shared" si="10"/>
        <v/>
      </c>
    </row>
    <row r="55" spans="1:23">
      <c r="A55">
        <f>'IPTV US'!A46</f>
        <v>10145</v>
      </c>
      <c r="B55" t="str">
        <f>T('IPTV US'!B46)</f>
        <v/>
      </c>
      <c r="C55" t="s">
        <v>4290</v>
      </c>
      <c r="D55" t="str">
        <f t="shared" si="1"/>
        <v/>
      </c>
      <c r="E55" t="str">
        <f t="shared" si="2"/>
        <v/>
      </c>
      <c r="F55" s="68" t="s">
        <v>4289</v>
      </c>
      <c r="G55">
        <f>'IPTV CA'!A46</f>
        <v>10445</v>
      </c>
      <c r="H55" t="str">
        <f>T('IPTV CA'!B46)</f>
        <v/>
      </c>
      <c r="I55" t="s">
        <v>4290</v>
      </c>
      <c r="J55" t="str">
        <f t="shared" si="3"/>
        <v/>
      </c>
      <c r="K55" t="str">
        <f t="shared" si="8"/>
        <v/>
      </c>
      <c r="L55" s="69"/>
      <c r="M55">
        <f>'TMIS US'!A46</f>
        <v>8145</v>
      </c>
      <c r="N55" t="str">
        <f>T('TMIS US'!B46)</f>
        <v/>
      </c>
      <c r="O55" t="s">
        <v>4290</v>
      </c>
      <c r="P55" t="str">
        <f t="shared" si="4"/>
        <v/>
      </c>
      <c r="Q55" t="str">
        <f t="shared" si="9"/>
        <v/>
      </c>
      <c r="R55" s="69"/>
      <c r="S55">
        <f>'TMIS CA'!A46</f>
        <v>9045</v>
      </c>
      <c r="T55" t="str">
        <f>T('TMIS CA'!B46)</f>
        <v/>
      </c>
      <c r="U55" t="s">
        <v>4290</v>
      </c>
      <c r="V55" t="str">
        <f t="shared" si="11"/>
        <v/>
      </c>
      <c r="W55" t="str">
        <f t="shared" si="10"/>
        <v/>
      </c>
    </row>
    <row r="56" spans="1:23">
      <c r="A56">
        <f>'IPTV US'!A47</f>
        <v>10146</v>
      </c>
      <c r="B56" t="str">
        <f>T('IPTV US'!B47)</f>
        <v/>
      </c>
      <c r="C56" t="s">
        <v>4290</v>
      </c>
      <c r="D56" t="str">
        <f t="shared" si="1"/>
        <v/>
      </c>
      <c r="E56" t="str">
        <f t="shared" si="2"/>
        <v/>
      </c>
      <c r="F56" s="68" t="s">
        <v>4289</v>
      </c>
      <c r="G56">
        <f>'IPTV CA'!A47</f>
        <v>10446</v>
      </c>
      <c r="H56" t="str">
        <f>T('IPTV CA'!B47)</f>
        <v/>
      </c>
      <c r="I56" t="s">
        <v>4290</v>
      </c>
      <c r="J56" t="str">
        <f t="shared" si="3"/>
        <v/>
      </c>
      <c r="K56" t="str">
        <f t="shared" si="8"/>
        <v/>
      </c>
      <c r="L56" s="69"/>
      <c r="M56">
        <f>'TMIS US'!A47</f>
        <v>8146</v>
      </c>
      <c r="N56" t="str">
        <f>T('TMIS US'!B47)</f>
        <v/>
      </c>
      <c r="O56" t="s">
        <v>4290</v>
      </c>
      <c r="P56" t="str">
        <f t="shared" si="4"/>
        <v/>
      </c>
      <c r="Q56" t="str">
        <f t="shared" si="9"/>
        <v/>
      </c>
      <c r="R56" s="69"/>
      <c r="S56">
        <f>'TMIS CA'!A47</f>
        <v>9046</v>
      </c>
      <c r="T56" t="str">
        <f>T('TMIS CA'!B47)</f>
        <v/>
      </c>
      <c r="U56" t="s">
        <v>4290</v>
      </c>
      <c r="V56" t="str">
        <f t="shared" si="11"/>
        <v/>
      </c>
      <c r="W56" t="str">
        <f t="shared" si="10"/>
        <v/>
      </c>
    </row>
    <row r="57" spans="1:23">
      <c r="A57">
        <f>'IPTV US'!A48</f>
        <v>10147</v>
      </c>
      <c r="B57" t="str">
        <f>T('IPTV US'!B48)</f>
        <v/>
      </c>
      <c r="C57" t="s">
        <v>4290</v>
      </c>
      <c r="D57" t="str">
        <f t="shared" si="1"/>
        <v/>
      </c>
      <c r="E57" t="str">
        <f t="shared" si="2"/>
        <v/>
      </c>
      <c r="F57" s="68" t="s">
        <v>4289</v>
      </c>
      <c r="G57">
        <f>'IPTV CA'!A48</f>
        <v>10447</v>
      </c>
      <c r="H57" t="str">
        <f>T('IPTV CA'!B48)</f>
        <v>Supermarket Sweep</v>
      </c>
      <c r="I57" t="s">
        <v>4288</v>
      </c>
      <c r="J57" t="str">
        <f t="shared" si="3"/>
        <v/>
      </c>
      <c r="K57" t="str">
        <f t="shared" si="8"/>
        <v/>
      </c>
      <c r="L57" s="69"/>
      <c r="M57">
        <f>'TMIS US'!A48</f>
        <v>8147</v>
      </c>
      <c r="N57" t="str">
        <f>T('TMIS US'!B48)</f>
        <v/>
      </c>
      <c r="O57" t="s">
        <v>4290</v>
      </c>
      <c r="P57" t="str">
        <f t="shared" si="4"/>
        <v/>
      </c>
      <c r="Q57" t="str">
        <f t="shared" si="9"/>
        <v/>
      </c>
      <c r="R57" s="69"/>
      <c r="S57">
        <f>'TMIS CA'!A48</f>
        <v>9047</v>
      </c>
      <c r="T57" t="str">
        <f>T('TMIS CA'!B48)</f>
        <v>Supermarket Sweep</v>
      </c>
      <c r="U57" t="s">
        <v>4288</v>
      </c>
      <c r="V57" t="str">
        <f t="shared" si="11"/>
        <v/>
      </c>
      <c r="W57" t="str">
        <f t="shared" si="10"/>
        <v/>
      </c>
    </row>
    <row r="58" spans="1:23">
      <c r="A58">
        <f>'IPTV US'!A49</f>
        <v>10148</v>
      </c>
      <c r="B58" t="str">
        <f>T('IPTV US'!B49)</f>
        <v>CSI</v>
      </c>
      <c r="C58" t="s">
        <v>4288</v>
      </c>
      <c r="D58" t="str">
        <f t="shared" si="1"/>
        <v/>
      </c>
      <c r="E58" t="str">
        <f t="shared" si="2"/>
        <v/>
      </c>
      <c r="F58" s="68" t="s">
        <v>4289</v>
      </c>
      <c r="G58">
        <f>'IPTV CA'!A49</f>
        <v>10448</v>
      </c>
      <c r="H58" t="str">
        <f>T('IPTV CA'!B49)</f>
        <v/>
      </c>
      <c r="I58" t="s">
        <v>4290</v>
      </c>
      <c r="J58" t="str">
        <f t="shared" si="3"/>
        <v/>
      </c>
      <c r="K58" t="str">
        <f t="shared" si="8"/>
        <v/>
      </c>
      <c r="L58" s="69"/>
      <c r="M58">
        <f>'TMIS US'!A49</f>
        <v>8148</v>
      </c>
      <c r="N58" t="str">
        <f>T('TMIS US'!B49)</f>
        <v>CSI</v>
      </c>
      <c r="O58" t="s">
        <v>4288</v>
      </c>
      <c r="P58" t="str">
        <f t="shared" si="4"/>
        <v/>
      </c>
      <c r="Q58" t="str">
        <f t="shared" si="9"/>
        <v/>
      </c>
      <c r="R58" s="69"/>
      <c r="S58">
        <f>'TMIS CA'!A49</f>
        <v>9048</v>
      </c>
      <c r="T58" t="str">
        <f>T('TMIS CA'!B49)</f>
        <v/>
      </c>
      <c r="U58" t="s">
        <v>4290</v>
      </c>
      <c r="V58" t="str">
        <f t="shared" si="11"/>
        <v/>
      </c>
      <c r="W58" t="str">
        <f t="shared" si="10"/>
        <v/>
      </c>
    </row>
    <row r="59" spans="1:23">
      <c r="A59">
        <f>'IPTV US'!A50</f>
        <v>10149</v>
      </c>
      <c r="B59" t="str">
        <f>T('IPTV US'!B50)</f>
        <v>CSI: Miami</v>
      </c>
      <c r="C59" t="s">
        <v>4288</v>
      </c>
      <c r="D59" t="str">
        <f t="shared" si="1"/>
        <v/>
      </c>
      <c r="E59" t="str">
        <f t="shared" si="2"/>
        <v/>
      </c>
      <c r="F59" s="68" t="s">
        <v>4289</v>
      </c>
      <c r="G59">
        <f>'IPTV CA'!A50</f>
        <v>10449</v>
      </c>
      <c r="H59" t="str">
        <f>T('IPTV CA'!B50)</f>
        <v/>
      </c>
      <c r="I59" t="s">
        <v>4290</v>
      </c>
      <c r="J59" t="str">
        <f t="shared" si="3"/>
        <v/>
      </c>
      <c r="K59" t="str">
        <f t="shared" si="8"/>
        <v/>
      </c>
      <c r="L59" s="69"/>
      <c r="M59">
        <f>'TMIS US'!A50</f>
        <v>8149</v>
      </c>
      <c r="N59" t="str">
        <f>T('TMIS US'!B50)</f>
        <v>CSI: Miami</v>
      </c>
      <c r="O59" t="s">
        <v>4288</v>
      </c>
      <c r="P59" t="str">
        <f t="shared" si="4"/>
        <v/>
      </c>
      <c r="Q59" t="str">
        <f t="shared" si="9"/>
        <v/>
      </c>
      <c r="R59" s="69"/>
      <c r="S59">
        <f>'TMIS CA'!A50</f>
        <v>9049</v>
      </c>
      <c r="T59" t="str">
        <f>T('TMIS CA'!B50)</f>
        <v/>
      </c>
      <c r="U59" t="s">
        <v>4290</v>
      </c>
      <c r="V59" t="str">
        <f t="shared" si="11"/>
        <v/>
      </c>
      <c r="W59" t="str">
        <f t="shared" si="10"/>
        <v/>
      </c>
    </row>
    <row r="60" spans="1:23">
      <c r="A60">
        <f>'IPTV US'!A51</f>
        <v>10150</v>
      </c>
      <c r="B60" t="str">
        <f>T('IPTV US'!B51)</f>
        <v>CSI: NY</v>
      </c>
      <c r="C60" t="s">
        <v>4288</v>
      </c>
      <c r="D60" t="str">
        <f t="shared" si="1"/>
        <v/>
      </c>
      <c r="E60" t="str">
        <f t="shared" si="2"/>
        <v/>
      </c>
      <c r="F60" s="68" t="s">
        <v>4289</v>
      </c>
      <c r="G60">
        <f>'IPTV CA'!A51</f>
        <v>10450</v>
      </c>
      <c r="H60" t="str">
        <f>T('IPTV CA'!B51)</f>
        <v/>
      </c>
      <c r="I60" t="s">
        <v>4290</v>
      </c>
      <c r="J60" t="str">
        <f t="shared" si="3"/>
        <v/>
      </c>
      <c r="K60" t="str">
        <f t="shared" si="8"/>
        <v/>
      </c>
      <c r="L60" s="69"/>
      <c r="M60">
        <f>'TMIS US'!A51</f>
        <v>8150</v>
      </c>
      <c r="N60" t="str">
        <f>T('TMIS US'!B51)</f>
        <v>CSI: NY</v>
      </c>
      <c r="O60" t="s">
        <v>4288</v>
      </c>
      <c r="P60" t="str">
        <f t="shared" si="4"/>
        <v/>
      </c>
      <c r="Q60" t="str">
        <f t="shared" si="9"/>
        <v/>
      </c>
      <c r="R60" s="69"/>
      <c r="S60">
        <f>'TMIS CA'!A51</f>
        <v>9050</v>
      </c>
      <c r="T60" t="str">
        <f>T('TMIS CA'!B51)</f>
        <v/>
      </c>
      <c r="U60" t="s">
        <v>4290</v>
      </c>
      <c r="V60" t="str">
        <f t="shared" si="11"/>
        <v/>
      </c>
      <c r="W60" t="str">
        <f t="shared" si="10"/>
        <v/>
      </c>
    </row>
    <row r="61" spans="1:23">
      <c r="A61">
        <f>'IPTV US'!A52</f>
        <v>10151</v>
      </c>
      <c r="B61" t="str">
        <f>T('IPTV US'!B52)</f>
        <v>Pluto TV Crime Drama</v>
      </c>
      <c r="C61" t="s">
        <v>4288</v>
      </c>
      <c r="D61" t="str">
        <f t="shared" si="1"/>
        <v/>
      </c>
      <c r="E61" t="str">
        <f t="shared" si="2"/>
        <v/>
      </c>
      <c r="F61" s="68" t="s">
        <v>4289</v>
      </c>
      <c r="G61">
        <f>'IPTV CA'!A52</f>
        <v>10451</v>
      </c>
      <c r="H61" t="str">
        <f>T('IPTV CA'!B52)</f>
        <v>Antiques Roadshow</v>
      </c>
      <c r="I61" t="s">
        <v>4288</v>
      </c>
      <c r="J61" t="str">
        <f t="shared" si="3"/>
        <v/>
      </c>
      <c r="K61" t="str">
        <f t="shared" si="8"/>
        <v/>
      </c>
      <c r="L61" s="69"/>
      <c r="M61">
        <f>'TMIS US'!A52</f>
        <v>8151</v>
      </c>
      <c r="N61" t="str">
        <f>T('TMIS US'!B52)</f>
        <v>Pluto TV Crime Drama</v>
      </c>
      <c r="O61" t="s">
        <v>4288</v>
      </c>
      <c r="P61" t="str">
        <f t="shared" si="4"/>
        <v/>
      </c>
      <c r="Q61" t="str">
        <f t="shared" si="9"/>
        <v/>
      </c>
      <c r="R61" s="69"/>
      <c r="S61">
        <f>'TMIS CA'!A52</f>
        <v>9051</v>
      </c>
      <c r="T61" t="str">
        <f>T('TMIS CA'!B52)</f>
        <v>Antiques Roadshow</v>
      </c>
      <c r="U61" t="s">
        <v>4288</v>
      </c>
      <c r="V61" t="str">
        <f t="shared" si="11"/>
        <v/>
      </c>
      <c r="W61" t="str">
        <f t="shared" si="10"/>
        <v/>
      </c>
    </row>
    <row r="62" spans="1:23">
      <c r="A62">
        <f>'IPTV US'!A53</f>
        <v>10152</v>
      </c>
      <c r="B62" t="str">
        <f>T('IPTV US'!B53)</f>
        <v>Midsomer Murders</v>
      </c>
      <c r="C62" t="s">
        <v>4288</v>
      </c>
      <c r="D62" t="str">
        <f t="shared" si="1"/>
        <v/>
      </c>
      <c r="E62" t="str">
        <f t="shared" si="2"/>
        <v/>
      </c>
      <c r="F62" s="68" t="s">
        <v>4289</v>
      </c>
      <c r="G62">
        <f>'IPTV CA'!A53</f>
        <v>10452</v>
      </c>
      <c r="H62" t="str">
        <f>T('IPTV CA'!B53)</f>
        <v>Antiques Road Trip</v>
      </c>
      <c r="I62" t="s">
        <v>4288</v>
      </c>
      <c r="J62" t="str">
        <f t="shared" si="3"/>
        <v/>
      </c>
      <c r="K62" t="str">
        <f t="shared" si="8"/>
        <v/>
      </c>
      <c r="L62" s="69"/>
      <c r="M62">
        <f>'TMIS US'!A53</f>
        <v>8152</v>
      </c>
      <c r="N62" t="str">
        <f>T('TMIS US'!B53)</f>
        <v>Midsomer Murders</v>
      </c>
      <c r="O62" t="s">
        <v>4288</v>
      </c>
      <c r="P62" t="str">
        <f t="shared" si="4"/>
        <v/>
      </c>
      <c r="Q62" t="str">
        <f t="shared" si="9"/>
        <v/>
      </c>
      <c r="R62" s="69"/>
      <c r="S62">
        <f>'TMIS CA'!A53</f>
        <v>9052</v>
      </c>
      <c r="T62" t="str">
        <f>T('TMIS CA'!B53)</f>
        <v>Antiques Road Trip</v>
      </c>
      <c r="U62" t="s">
        <v>4288</v>
      </c>
      <c r="V62" t="str">
        <f t="shared" si="11"/>
        <v/>
      </c>
      <c r="W62" t="str">
        <f t="shared" si="10"/>
        <v/>
      </c>
    </row>
    <row r="63" spans="1:23">
      <c r="A63">
        <f>'IPTV US'!A54</f>
        <v>10153</v>
      </c>
      <c r="B63" t="str">
        <f>T('IPTV US'!B54)</f>
        <v>Star Trek</v>
      </c>
      <c r="C63" t="s">
        <v>4288</v>
      </c>
      <c r="D63" t="str">
        <f t="shared" si="1"/>
        <v/>
      </c>
      <c r="E63" t="str">
        <f t="shared" si="2"/>
        <v/>
      </c>
      <c r="F63" s="68" t="s">
        <v>4289</v>
      </c>
      <c r="G63">
        <f>'IPTV CA'!A54</f>
        <v>10453</v>
      </c>
      <c r="H63" t="str">
        <f>T('IPTV CA'!B54)</f>
        <v/>
      </c>
      <c r="I63" t="s">
        <v>4290</v>
      </c>
      <c r="J63" t="str">
        <f t="shared" si="3"/>
        <v/>
      </c>
      <c r="K63" t="str">
        <f t="shared" si="8"/>
        <v/>
      </c>
      <c r="L63" s="69"/>
      <c r="M63">
        <f>'TMIS US'!A54</f>
        <v>8153</v>
      </c>
      <c r="N63" t="str">
        <f>T('TMIS US'!B54)</f>
        <v>Star Trek</v>
      </c>
      <c r="O63" t="s">
        <v>4288</v>
      </c>
      <c r="P63" t="str">
        <f t="shared" si="4"/>
        <v/>
      </c>
      <c r="Q63" t="str">
        <f t="shared" si="9"/>
        <v/>
      </c>
      <c r="R63" s="69"/>
      <c r="S63">
        <f>'TMIS CA'!A54</f>
        <v>9053</v>
      </c>
      <c r="T63" t="str">
        <f>T('TMIS CA'!B54)</f>
        <v/>
      </c>
      <c r="U63" t="s">
        <v>4290</v>
      </c>
      <c r="V63" t="str">
        <f t="shared" si="11"/>
        <v/>
      </c>
      <c r="W63" t="str">
        <f t="shared" si="10"/>
        <v/>
      </c>
    </row>
    <row r="64" spans="1:23">
      <c r="A64">
        <f>'IPTV US'!A55</f>
        <v>10154</v>
      </c>
      <c r="B64" t="str">
        <f>T('IPTV US'!B55)</f>
        <v/>
      </c>
      <c r="C64" t="s">
        <v>4290</v>
      </c>
      <c r="D64" t="str">
        <f t="shared" si="1"/>
        <v/>
      </c>
      <c r="E64" t="str">
        <f t="shared" si="2"/>
        <v/>
      </c>
      <c r="F64" s="68" t="s">
        <v>4289</v>
      </c>
      <c r="G64">
        <f>'IPTV CA'!A55</f>
        <v>10454</v>
      </c>
      <c r="H64" t="str">
        <f>T('IPTV CA'!B55)</f>
        <v/>
      </c>
      <c r="I64" t="s">
        <v>4290</v>
      </c>
      <c r="J64" t="str">
        <f t="shared" si="3"/>
        <v/>
      </c>
      <c r="K64" t="str">
        <f t="shared" si="8"/>
        <v/>
      </c>
      <c r="L64" s="69"/>
      <c r="M64">
        <f>'TMIS US'!A55</f>
        <v>8154</v>
      </c>
      <c r="N64" t="str">
        <f>T('TMIS US'!B55)</f>
        <v/>
      </c>
      <c r="O64" t="s">
        <v>4290</v>
      </c>
      <c r="P64" t="str">
        <f t="shared" si="4"/>
        <v/>
      </c>
      <c r="Q64" t="str">
        <f t="shared" si="9"/>
        <v/>
      </c>
      <c r="R64" s="69"/>
      <c r="S64">
        <f>'TMIS CA'!A55</f>
        <v>9054</v>
      </c>
      <c r="T64" t="str">
        <f>T('TMIS CA'!B55)</f>
        <v/>
      </c>
      <c r="U64" t="s">
        <v>4290</v>
      </c>
      <c r="V64" t="str">
        <f t="shared" si="11"/>
        <v/>
      </c>
      <c r="W64" t="str">
        <f t="shared" si="10"/>
        <v/>
      </c>
    </row>
    <row r="65" spans="1:23">
      <c r="A65">
        <f>'IPTV US'!A56</f>
        <v>10155</v>
      </c>
      <c r="B65" t="str">
        <f>T('IPTV US'!B56)</f>
        <v/>
      </c>
      <c r="C65" t="s">
        <v>4290</v>
      </c>
      <c r="D65" t="str">
        <f t="shared" si="1"/>
        <v/>
      </c>
      <c r="E65" t="str">
        <f t="shared" si="2"/>
        <v/>
      </c>
      <c r="F65" s="68" t="s">
        <v>4289</v>
      </c>
      <c r="G65">
        <f>'IPTV CA'!A56</f>
        <v>10455</v>
      </c>
      <c r="H65" t="str">
        <f>T('IPTV CA'!B56)</f>
        <v/>
      </c>
      <c r="I65" t="s">
        <v>4290</v>
      </c>
      <c r="J65" t="str">
        <f t="shared" si="3"/>
        <v/>
      </c>
      <c r="K65" t="str">
        <f t="shared" si="8"/>
        <v/>
      </c>
      <c r="L65" s="69"/>
      <c r="M65">
        <f>'TMIS US'!A56</f>
        <v>8155</v>
      </c>
      <c r="N65" t="str">
        <f>T('TMIS US'!B56)</f>
        <v/>
      </c>
      <c r="O65" t="s">
        <v>4290</v>
      </c>
      <c r="P65" t="str">
        <f t="shared" si="4"/>
        <v/>
      </c>
      <c r="Q65" t="str">
        <f t="shared" si="9"/>
        <v/>
      </c>
      <c r="R65" s="69"/>
      <c r="S65">
        <f>'TMIS CA'!A56</f>
        <v>9055</v>
      </c>
      <c r="T65" t="str">
        <f>T('TMIS CA'!B56)</f>
        <v/>
      </c>
      <c r="U65" t="s">
        <v>4290</v>
      </c>
      <c r="V65" t="str">
        <f t="shared" si="11"/>
        <v/>
      </c>
      <c r="W65" t="str">
        <f t="shared" si="10"/>
        <v/>
      </c>
    </row>
    <row r="66" spans="1:23">
      <c r="A66">
        <f>'IPTV US'!A57</f>
        <v>10156</v>
      </c>
      <c r="B66" t="str">
        <f>T('IPTV US'!B57)</f>
        <v/>
      </c>
      <c r="C66" t="s">
        <v>4290</v>
      </c>
      <c r="D66" t="str">
        <f t="shared" si="1"/>
        <v/>
      </c>
      <c r="E66" t="str">
        <f t="shared" si="2"/>
        <v/>
      </c>
      <c r="F66" s="68" t="s">
        <v>4289</v>
      </c>
      <c r="G66">
        <f>'IPTV CA'!A57</f>
        <v>10456</v>
      </c>
      <c r="H66" t="str">
        <f>T('IPTV CA'!B57)</f>
        <v/>
      </c>
      <c r="I66" t="s">
        <v>4290</v>
      </c>
      <c r="J66" t="str">
        <f t="shared" si="3"/>
        <v/>
      </c>
      <c r="K66" t="str">
        <f t="shared" si="8"/>
        <v/>
      </c>
      <c r="L66" s="69"/>
      <c r="M66">
        <f>'TMIS US'!A57</f>
        <v>8156</v>
      </c>
      <c r="N66" t="str">
        <f>T('TMIS US'!B57)</f>
        <v/>
      </c>
      <c r="O66" t="s">
        <v>4290</v>
      </c>
      <c r="P66" t="str">
        <f t="shared" si="4"/>
        <v/>
      </c>
      <c r="Q66" t="str">
        <f t="shared" si="9"/>
        <v/>
      </c>
      <c r="R66" s="69"/>
      <c r="S66">
        <f>'TMIS CA'!A57</f>
        <v>9056</v>
      </c>
      <c r="T66" t="str">
        <f>T('TMIS CA'!B57)</f>
        <v/>
      </c>
      <c r="U66" t="s">
        <v>4290</v>
      </c>
      <c r="V66" t="str">
        <f t="shared" si="11"/>
        <v/>
      </c>
      <c r="W66" t="str">
        <f t="shared" si="10"/>
        <v/>
      </c>
    </row>
    <row r="67" spans="1:23">
      <c r="A67">
        <f>'IPTV US'!A58</f>
        <v>10157</v>
      </c>
      <c r="B67" t="str">
        <f>T('IPTV US'!B58)</f>
        <v/>
      </c>
      <c r="C67" t="s">
        <v>4290</v>
      </c>
      <c r="D67" t="str">
        <f t="shared" si="1"/>
        <v/>
      </c>
      <c r="E67" t="str">
        <f t="shared" si="2"/>
        <v/>
      </c>
      <c r="F67" s="68" t="s">
        <v>4289</v>
      </c>
      <c r="G67">
        <f>'IPTV CA'!A58</f>
        <v>10457</v>
      </c>
      <c r="H67" t="str">
        <f>T('IPTV CA'!B58)</f>
        <v>Billiards TV</v>
      </c>
      <c r="I67" t="s">
        <v>4288</v>
      </c>
      <c r="J67" t="str">
        <f t="shared" si="3"/>
        <v/>
      </c>
      <c r="K67" t="str">
        <f t="shared" si="8"/>
        <v/>
      </c>
      <c r="L67" s="69"/>
      <c r="M67">
        <f>'TMIS US'!A58</f>
        <v>8157</v>
      </c>
      <c r="N67" t="str">
        <f>T('TMIS US'!B58)</f>
        <v/>
      </c>
      <c r="O67" t="s">
        <v>4290</v>
      </c>
      <c r="P67" t="str">
        <f t="shared" si="4"/>
        <v/>
      </c>
      <c r="Q67" t="str">
        <f t="shared" si="9"/>
        <v/>
      </c>
      <c r="R67" s="69"/>
      <c r="S67">
        <f>'TMIS CA'!A58</f>
        <v>9057</v>
      </c>
      <c r="T67" t="str">
        <f>T('TMIS CA'!B58)</f>
        <v>Billiards TV</v>
      </c>
      <c r="U67" t="s">
        <v>4288</v>
      </c>
      <c r="V67" t="str">
        <f t="shared" si="11"/>
        <v/>
      </c>
      <c r="W67" t="str">
        <f t="shared" si="10"/>
        <v/>
      </c>
    </row>
    <row r="68" spans="1:23">
      <c r="A68">
        <f>'IPTV US'!A59</f>
        <v>10158</v>
      </c>
      <c r="B68" t="str">
        <f>T('IPTV US'!B59)</f>
        <v>Paramount+ Picks</v>
      </c>
      <c r="C68" t="s">
        <v>4288</v>
      </c>
      <c r="D68" t="str">
        <f t="shared" si="1"/>
        <v/>
      </c>
      <c r="E68" t="str">
        <f t="shared" si="2"/>
        <v/>
      </c>
      <c r="F68" s="68" t="s">
        <v>4289</v>
      </c>
      <c r="G68">
        <f>'IPTV CA'!A59</f>
        <v>10458</v>
      </c>
      <c r="H68" t="str">
        <f>T('IPTV CA'!B59)</f>
        <v/>
      </c>
      <c r="I68" t="s">
        <v>4290</v>
      </c>
      <c r="J68" t="str">
        <f t="shared" si="3"/>
        <v/>
      </c>
      <c r="K68" t="str">
        <f t="shared" si="8"/>
        <v/>
      </c>
      <c r="L68" s="69"/>
      <c r="M68">
        <f>'TMIS US'!A59</f>
        <v>8158</v>
      </c>
      <c r="N68" t="str">
        <f>T('TMIS US'!B59)</f>
        <v>Paramount+ Picks</v>
      </c>
      <c r="O68" t="s">
        <v>4288</v>
      </c>
      <c r="P68" t="str">
        <f t="shared" si="4"/>
        <v/>
      </c>
      <c r="Q68" t="str">
        <f t="shared" si="9"/>
        <v/>
      </c>
      <c r="R68" s="69"/>
      <c r="S68">
        <f>'TMIS CA'!A59</f>
        <v>9058</v>
      </c>
      <c r="T68" t="str">
        <f>T('TMIS CA'!B59)</f>
        <v/>
      </c>
      <c r="U68" t="s">
        <v>4290</v>
      </c>
      <c r="V68" t="str">
        <f t="shared" si="11"/>
        <v/>
      </c>
      <c r="W68" t="str">
        <f t="shared" si="10"/>
        <v/>
      </c>
    </row>
    <row r="69" spans="1:23">
      <c r="A69">
        <f>'IPTV US'!A60</f>
        <v>10159</v>
      </c>
      <c r="B69" t="str">
        <f>T('IPTV US'!B60)</f>
        <v>Stories by AMC</v>
      </c>
      <c r="C69" t="s">
        <v>4288</v>
      </c>
      <c r="D69" t="str">
        <f t="shared" si="1"/>
        <v/>
      </c>
      <c r="E69" t="str">
        <f t="shared" si="2"/>
        <v/>
      </c>
      <c r="F69" s="68" t="s">
        <v>4289</v>
      </c>
      <c r="G69">
        <f>'IPTV CA'!A60</f>
        <v>10459</v>
      </c>
      <c r="H69" t="str">
        <f>T('IPTV CA'!B60)</f>
        <v/>
      </c>
      <c r="I69" t="s">
        <v>4290</v>
      </c>
      <c r="J69" t="str">
        <f t="shared" si="3"/>
        <v/>
      </c>
      <c r="K69" t="str">
        <f t="shared" si="8"/>
        <v/>
      </c>
      <c r="L69" s="69"/>
      <c r="M69">
        <f>'TMIS US'!A60</f>
        <v>8159</v>
      </c>
      <c r="N69" t="str">
        <f>T('TMIS US'!B60)</f>
        <v>Stories by AMC</v>
      </c>
      <c r="O69" t="s">
        <v>4288</v>
      </c>
      <c r="P69" t="str">
        <f t="shared" si="4"/>
        <v/>
      </c>
      <c r="Q69" t="str">
        <f t="shared" si="9"/>
        <v/>
      </c>
      <c r="R69" s="69"/>
      <c r="S69">
        <f>'TMIS CA'!A60</f>
        <v>9059</v>
      </c>
      <c r="T69" t="str">
        <f>T('TMIS CA'!B60)</f>
        <v/>
      </c>
      <c r="U69" t="s">
        <v>4290</v>
      </c>
      <c r="V69" t="str">
        <f t="shared" si="11"/>
        <v/>
      </c>
      <c r="W69" t="str">
        <f t="shared" si="10"/>
        <v/>
      </c>
    </row>
    <row r="70" spans="1:23">
      <c r="A70">
        <f>'IPTV US'!A61</f>
        <v>10160</v>
      </c>
      <c r="B70" t="str">
        <f>T('IPTV US'!B61)</f>
        <v>TV Land Drama</v>
      </c>
      <c r="C70" t="s">
        <v>4288</v>
      </c>
      <c r="D70" t="str">
        <f t="shared" si="1"/>
        <v/>
      </c>
      <c r="E70" t="str">
        <f t="shared" si="2"/>
        <v/>
      </c>
      <c r="F70" s="68" t="s">
        <v>4289</v>
      </c>
      <c r="G70">
        <f>'IPTV CA'!A61</f>
        <v>10460</v>
      </c>
      <c r="H70" t="str">
        <f>T('IPTV CA'!B61)</f>
        <v>ACL Cornhole</v>
      </c>
      <c r="I70" t="s">
        <v>4288</v>
      </c>
      <c r="J70" t="str">
        <f t="shared" si="3"/>
        <v/>
      </c>
      <c r="K70" t="str">
        <f t="shared" si="8"/>
        <v/>
      </c>
      <c r="L70" s="69"/>
      <c r="M70">
        <f>'TMIS US'!A61</f>
        <v>8160</v>
      </c>
      <c r="N70" t="str">
        <f>T('TMIS US'!B61)</f>
        <v>TV Land Drama</v>
      </c>
      <c r="O70" t="s">
        <v>4288</v>
      </c>
      <c r="P70" t="str">
        <f t="shared" si="4"/>
        <v/>
      </c>
      <c r="Q70" t="str">
        <f t="shared" si="9"/>
        <v/>
      </c>
      <c r="R70" s="69"/>
      <c r="S70">
        <f>'TMIS CA'!A61</f>
        <v>9060</v>
      </c>
      <c r="T70" t="str">
        <f>T('TMIS CA'!B61)</f>
        <v>ACL Cornhole</v>
      </c>
      <c r="U70" t="s">
        <v>4288</v>
      </c>
      <c r="V70" t="str">
        <f t="shared" si="11"/>
        <v/>
      </c>
      <c r="W70" t="str">
        <f t="shared" si="10"/>
        <v/>
      </c>
    </row>
    <row r="71" spans="1:23">
      <c r="A71">
        <f>'IPTV US'!A62</f>
        <v>10161</v>
      </c>
      <c r="B71" t="str">
        <f>T('IPTV US'!B62)</f>
        <v>Supernatural Drama</v>
      </c>
      <c r="C71" t="s">
        <v>4288</v>
      </c>
      <c r="D71" t="str">
        <f t="shared" si="1"/>
        <v/>
      </c>
      <c r="E71" t="str">
        <f t="shared" si="2"/>
        <v/>
      </c>
      <c r="F71" s="68" t="s">
        <v>4289</v>
      </c>
      <c r="G71">
        <f>'IPTV CA'!A62</f>
        <v>10461</v>
      </c>
      <c r="H71" t="str">
        <f>T('IPTV CA'!B62)</f>
        <v/>
      </c>
      <c r="I71" t="s">
        <v>4290</v>
      </c>
      <c r="J71" t="str">
        <f t="shared" si="3"/>
        <v/>
      </c>
      <c r="K71" t="str">
        <f t="shared" si="8"/>
        <v/>
      </c>
      <c r="L71" s="69"/>
      <c r="M71">
        <f>'TMIS US'!A62</f>
        <v>8161</v>
      </c>
      <c r="N71" t="str">
        <f>T('TMIS US'!B62)</f>
        <v>Supernatural Drama</v>
      </c>
      <c r="O71" t="s">
        <v>4288</v>
      </c>
      <c r="P71" t="str">
        <f t="shared" si="4"/>
        <v/>
      </c>
      <c r="Q71" t="str">
        <f t="shared" si="9"/>
        <v/>
      </c>
      <c r="R71" s="69"/>
      <c r="S71">
        <f>'TMIS CA'!A62</f>
        <v>9061</v>
      </c>
      <c r="T71" t="str">
        <f>T('TMIS CA'!B62)</f>
        <v/>
      </c>
      <c r="U71" t="s">
        <v>4290</v>
      </c>
      <c r="V71" t="str">
        <f t="shared" si="11"/>
        <v/>
      </c>
      <c r="W71" t="str">
        <f t="shared" si="10"/>
        <v/>
      </c>
    </row>
    <row r="72" spans="1:23">
      <c r="A72">
        <f>'IPTV US'!A63</f>
        <v>10162</v>
      </c>
      <c r="B72" t="str">
        <f>T('IPTV US'!B63)</f>
        <v>The Walking Dead Universe</v>
      </c>
      <c r="C72" t="s">
        <v>4288</v>
      </c>
      <c r="D72" t="str">
        <f t="shared" si="1"/>
        <v/>
      </c>
      <c r="E72" t="str">
        <f t="shared" si="2"/>
        <v/>
      </c>
      <c r="F72" s="68" t="s">
        <v>4289</v>
      </c>
      <c r="G72">
        <f>'IPTV CA'!A63</f>
        <v>10462</v>
      </c>
      <c r="H72" t="str">
        <f>T('IPTV CA'!B63)</f>
        <v/>
      </c>
      <c r="I72" t="s">
        <v>4290</v>
      </c>
      <c r="J72" t="str">
        <f t="shared" si="3"/>
        <v/>
      </c>
      <c r="K72" t="str">
        <f t="shared" si="8"/>
        <v/>
      </c>
      <c r="L72" s="69"/>
      <c r="M72">
        <f>'TMIS US'!A63</f>
        <v>8162</v>
      </c>
      <c r="N72" t="str">
        <f>T('TMIS US'!B63)</f>
        <v>The Walking Dead Universe</v>
      </c>
      <c r="O72" t="s">
        <v>4288</v>
      </c>
      <c r="P72" t="str">
        <f t="shared" si="4"/>
        <v/>
      </c>
      <c r="Q72" t="str">
        <f t="shared" si="9"/>
        <v/>
      </c>
      <c r="R72" s="69"/>
      <c r="S72">
        <f>'TMIS CA'!A63</f>
        <v>9062</v>
      </c>
      <c r="T72" t="str">
        <f>T('TMIS CA'!B63)</f>
        <v/>
      </c>
      <c r="U72" t="s">
        <v>4290</v>
      </c>
      <c r="V72" t="str">
        <f t="shared" si="11"/>
        <v/>
      </c>
      <c r="W72" t="str">
        <f t="shared" si="10"/>
        <v/>
      </c>
    </row>
    <row r="73" spans="1:23">
      <c r="A73">
        <f>'IPTV US'!A64</f>
        <v>10163</v>
      </c>
      <c r="B73" t="str">
        <f>T('IPTV US'!B64)</f>
        <v>Pluto TV Paranormal</v>
      </c>
      <c r="C73" t="s">
        <v>4288</v>
      </c>
      <c r="D73" t="str">
        <f t="shared" si="1"/>
        <v/>
      </c>
      <c r="E73" t="str">
        <f t="shared" si="2"/>
        <v/>
      </c>
      <c r="F73" s="68" t="s">
        <v>4289</v>
      </c>
      <c r="G73">
        <f>'IPTV CA'!A64</f>
        <v>10463</v>
      </c>
      <c r="H73" t="str">
        <f>T('IPTV CA'!B64)</f>
        <v/>
      </c>
      <c r="I73" t="s">
        <v>4290</v>
      </c>
      <c r="J73" t="str">
        <f t="shared" si="3"/>
        <v/>
      </c>
      <c r="K73" t="str">
        <f t="shared" si="8"/>
        <v/>
      </c>
      <c r="L73" s="69"/>
      <c r="M73">
        <f>'TMIS US'!A64</f>
        <v>8163</v>
      </c>
      <c r="N73" t="str">
        <f>T('TMIS US'!B64)</f>
        <v>Pluto TV Paranormal</v>
      </c>
      <c r="O73" t="s">
        <v>4288</v>
      </c>
      <c r="P73" t="str">
        <f t="shared" si="4"/>
        <v/>
      </c>
      <c r="Q73" t="str">
        <f t="shared" si="9"/>
        <v/>
      </c>
      <c r="R73" s="69"/>
      <c r="S73">
        <f>'TMIS CA'!A64</f>
        <v>9063</v>
      </c>
      <c r="T73" t="str">
        <f>T('TMIS CA'!B64)</f>
        <v/>
      </c>
      <c r="U73" t="s">
        <v>4290</v>
      </c>
      <c r="V73" t="str">
        <f t="shared" si="11"/>
        <v/>
      </c>
      <c r="W73" t="str">
        <f t="shared" si="10"/>
        <v/>
      </c>
    </row>
    <row r="74" spans="1:23">
      <c r="A74">
        <f>'IPTV US'!A65</f>
        <v>10164</v>
      </c>
      <c r="B74" t="str">
        <f>T('IPTV US'!B65)</f>
        <v/>
      </c>
      <c r="C74" t="s">
        <v>4290</v>
      </c>
      <c r="D74" t="str">
        <f t="shared" si="1"/>
        <v/>
      </c>
      <c r="E74" t="str">
        <f t="shared" si="2"/>
        <v/>
      </c>
      <c r="F74" s="68" t="s">
        <v>4289</v>
      </c>
      <c r="G74">
        <f>'IPTV CA'!A65</f>
        <v>10464</v>
      </c>
      <c r="H74" t="str">
        <f>T('IPTV CA'!B65)</f>
        <v>Speedvision</v>
      </c>
      <c r="I74" t="s">
        <v>4288</v>
      </c>
      <c r="J74" t="str">
        <f t="shared" si="3"/>
        <v/>
      </c>
      <c r="K74" t="str">
        <f t="shared" si="8"/>
        <v/>
      </c>
      <c r="L74" s="69"/>
      <c r="M74">
        <f>'TMIS US'!A65</f>
        <v>8164</v>
      </c>
      <c r="N74" t="str">
        <f>T('TMIS US'!B65)</f>
        <v/>
      </c>
      <c r="O74" t="s">
        <v>4290</v>
      </c>
      <c r="P74" t="str">
        <f t="shared" si="4"/>
        <v/>
      </c>
      <c r="Q74" t="str">
        <f t="shared" si="9"/>
        <v/>
      </c>
      <c r="R74" s="69"/>
      <c r="S74">
        <f>'TMIS CA'!A65</f>
        <v>9064</v>
      </c>
      <c r="T74" t="str">
        <f>T('TMIS CA'!B65)</f>
        <v>Speedvision</v>
      </c>
      <c r="U74" t="s">
        <v>4288</v>
      </c>
      <c r="V74" t="str">
        <f t="shared" si="11"/>
        <v/>
      </c>
      <c r="W74" t="str">
        <f t="shared" si="10"/>
        <v/>
      </c>
    </row>
    <row r="75" spans="1:23">
      <c r="A75">
        <f>'IPTV US'!A66</f>
        <v>10165</v>
      </c>
      <c r="B75" t="str">
        <f>T('IPTV US'!B66)</f>
        <v/>
      </c>
      <c r="C75" t="s">
        <v>4290</v>
      </c>
      <c r="D75" t="str">
        <f t="shared" ref="D75:D138" si="12">IF(C75="Active",IF(B75="","Please Notify - Channel Removed",""),"")</f>
        <v/>
      </c>
      <c r="E75" t="str">
        <f t="shared" ref="E75:E138" si="13">IF(C75="Vacant",IF(B75="","","Please Notify - Channel Added"),"")</f>
        <v/>
      </c>
      <c r="F75" s="68" t="s">
        <v>4289</v>
      </c>
      <c r="G75">
        <f>'IPTV CA'!A66</f>
        <v>10465</v>
      </c>
      <c r="H75" t="str">
        <f>T('IPTV CA'!B66)</f>
        <v/>
      </c>
      <c r="I75" t="s">
        <v>4290</v>
      </c>
      <c r="J75" t="str">
        <f t="shared" ref="J75:J138" si="14">IF(I75="Active",IF(H75="","Please Notify - Channel Removed",""),"")</f>
        <v/>
      </c>
      <c r="K75" t="str">
        <f t="shared" si="8"/>
        <v/>
      </c>
      <c r="L75" s="69"/>
      <c r="M75">
        <f>'TMIS US'!A66</f>
        <v>8165</v>
      </c>
      <c r="N75" t="str">
        <f>T('TMIS US'!B66)</f>
        <v/>
      </c>
      <c r="O75" t="s">
        <v>4290</v>
      </c>
      <c r="P75" t="str">
        <f t="shared" ref="P75:P138" si="15">IF(O75="Active",IF(N75="","Please Notify - Channel Removed",""),"")</f>
        <v/>
      </c>
      <c r="Q75" t="str">
        <f t="shared" si="9"/>
        <v/>
      </c>
      <c r="R75" s="69"/>
      <c r="S75">
        <f>'TMIS CA'!A66</f>
        <v>9065</v>
      </c>
      <c r="T75" t="str">
        <f>T('TMIS CA'!B66)</f>
        <v/>
      </c>
      <c r="U75" t="s">
        <v>4290</v>
      </c>
      <c r="V75" t="str">
        <f t="shared" si="11"/>
        <v/>
      </c>
      <c r="W75" t="str">
        <f t="shared" si="10"/>
        <v/>
      </c>
    </row>
    <row r="76" spans="1:23">
      <c r="A76">
        <f>'IPTV US'!A67</f>
        <v>10166</v>
      </c>
      <c r="B76" t="str">
        <f>T('IPTV US'!B67)</f>
        <v/>
      </c>
      <c r="C76" t="s">
        <v>4290</v>
      </c>
      <c r="D76" t="str">
        <f t="shared" si="12"/>
        <v/>
      </c>
      <c r="E76" t="str">
        <f t="shared" si="13"/>
        <v/>
      </c>
      <c r="F76" s="68" t="s">
        <v>4289</v>
      </c>
      <c r="G76">
        <f>'IPTV CA'!A67</f>
        <v>10466</v>
      </c>
      <c r="H76" t="str">
        <f>T('IPTV CA'!B67)</f>
        <v/>
      </c>
      <c r="I76" t="s">
        <v>4290</v>
      </c>
      <c r="J76" t="str">
        <f t="shared" si="14"/>
        <v/>
      </c>
      <c r="K76" t="str">
        <f t="shared" ref="K76:K139" si="16">IF(I76="Vacant",IF(H76="","","Please Notify - Channel Added"),"")</f>
        <v/>
      </c>
      <c r="L76" s="69"/>
      <c r="M76">
        <f>'TMIS US'!A67</f>
        <v>8166</v>
      </c>
      <c r="N76" t="str">
        <f>T('TMIS US'!B67)</f>
        <v/>
      </c>
      <c r="O76" t="s">
        <v>4290</v>
      </c>
      <c r="P76" t="str">
        <f t="shared" si="15"/>
        <v/>
      </c>
      <c r="Q76" t="str">
        <f t="shared" ref="Q76:Q139" si="17">IF(O76="Vacant",IF(N76="","","Please Notify - Channel Added"),"")</f>
        <v/>
      </c>
      <c r="R76" s="69"/>
      <c r="S76">
        <f>'TMIS CA'!A67</f>
        <v>9066</v>
      </c>
      <c r="T76" t="str">
        <f>T('TMIS CA'!B67)</f>
        <v/>
      </c>
      <c r="U76" t="s">
        <v>4290</v>
      </c>
      <c r="V76" t="str">
        <f t="shared" si="11"/>
        <v/>
      </c>
      <c r="W76" t="str">
        <f t="shared" ref="W76:W139" si="18">IF(U76="Vacant",IF(T76="","","Please Notify - Channel Added"),"")</f>
        <v/>
      </c>
    </row>
    <row r="77" spans="1:23">
      <c r="A77">
        <f>'IPTV US'!A68</f>
        <v>10167</v>
      </c>
      <c r="B77" t="str">
        <f>T('IPTV US'!B68)</f>
        <v/>
      </c>
      <c r="C77" t="s">
        <v>4290</v>
      </c>
      <c r="D77" t="str">
        <f t="shared" si="12"/>
        <v/>
      </c>
      <c r="E77" t="str">
        <f t="shared" si="13"/>
        <v/>
      </c>
      <c r="F77" s="68" t="s">
        <v>4289</v>
      </c>
      <c r="G77">
        <f>'IPTV CA'!A68</f>
        <v>10467</v>
      </c>
      <c r="H77" t="str">
        <f>T('IPTV CA'!B68)</f>
        <v/>
      </c>
      <c r="I77" t="s">
        <v>4290</v>
      </c>
      <c r="J77" t="str">
        <f t="shared" si="14"/>
        <v/>
      </c>
      <c r="K77" t="str">
        <f t="shared" si="16"/>
        <v/>
      </c>
      <c r="L77" s="69"/>
      <c r="M77">
        <f>'TMIS US'!A68</f>
        <v>8167</v>
      </c>
      <c r="N77" t="str">
        <f>T('TMIS US'!B68)</f>
        <v/>
      </c>
      <c r="O77" t="s">
        <v>4290</v>
      </c>
      <c r="P77" t="str">
        <f t="shared" si="15"/>
        <v/>
      </c>
      <c r="Q77" t="str">
        <f t="shared" si="17"/>
        <v/>
      </c>
      <c r="R77" s="69"/>
      <c r="S77">
        <f>'TMIS CA'!A68</f>
        <v>9067</v>
      </c>
      <c r="T77" t="str">
        <f>T('TMIS CA'!B68)</f>
        <v/>
      </c>
      <c r="U77" t="s">
        <v>4290</v>
      </c>
      <c r="V77" t="str">
        <f t="shared" si="11"/>
        <v/>
      </c>
      <c r="W77" t="str">
        <f t="shared" si="18"/>
        <v/>
      </c>
    </row>
    <row r="78" spans="1:23">
      <c r="A78">
        <f>'IPTV US'!A69</f>
        <v>10168</v>
      </c>
      <c r="B78" t="str">
        <f>T('IPTV US'!B69)</f>
        <v/>
      </c>
      <c r="C78" t="s">
        <v>4290</v>
      </c>
      <c r="D78" t="str">
        <f t="shared" si="12"/>
        <v/>
      </c>
      <c r="E78" t="str">
        <f t="shared" si="13"/>
        <v/>
      </c>
      <c r="F78" s="68" t="s">
        <v>4289</v>
      </c>
      <c r="G78">
        <f>'IPTV CA'!A69</f>
        <v>10468</v>
      </c>
      <c r="H78" t="str">
        <f>T('IPTV CA'!B69)</f>
        <v>Boxing TV</v>
      </c>
      <c r="I78" t="s">
        <v>4288</v>
      </c>
      <c r="J78" t="str">
        <f t="shared" si="14"/>
        <v/>
      </c>
      <c r="K78" t="str">
        <f t="shared" si="16"/>
        <v/>
      </c>
      <c r="L78" s="69"/>
      <c r="M78">
        <f>'TMIS US'!A69</f>
        <v>8168</v>
      </c>
      <c r="N78" t="str">
        <f>T('TMIS US'!B69)</f>
        <v/>
      </c>
      <c r="O78" t="s">
        <v>4290</v>
      </c>
      <c r="P78" t="str">
        <f t="shared" si="15"/>
        <v/>
      </c>
      <c r="Q78" t="str">
        <f t="shared" si="17"/>
        <v/>
      </c>
      <c r="R78" s="69"/>
      <c r="S78">
        <f>'TMIS CA'!A69</f>
        <v>9068</v>
      </c>
      <c r="T78" t="str">
        <f>T('TMIS CA'!B69)</f>
        <v>Boxing TV</v>
      </c>
      <c r="U78" t="s">
        <v>4288</v>
      </c>
      <c r="V78" t="str">
        <f t="shared" ref="V78:V141" si="19">IF(U78="Active",IF(T78="","Please Notify - Channel Removed",""),"")</f>
        <v/>
      </c>
      <c r="W78" t="str">
        <f t="shared" si="18"/>
        <v/>
      </c>
    </row>
    <row r="79" spans="1:23">
      <c r="A79">
        <f>'IPTV US'!A70</f>
        <v>10169</v>
      </c>
      <c r="B79" t="str">
        <f>T('IPTV US'!B70)</f>
        <v/>
      </c>
      <c r="C79" t="s">
        <v>4290</v>
      </c>
      <c r="D79" t="str">
        <f t="shared" si="12"/>
        <v/>
      </c>
      <c r="E79" t="str">
        <f t="shared" si="13"/>
        <v/>
      </c>
      <c r="F79" s="68" t="s">
        <v>4289</v>
      </c>
      <c r="G79">
        <f>'IPTV CA'!A70</f>
        <v>10469</v>
      </c>
      <c r="H79" t="str">
        <f>T('IPTV CA'!B70)</f>
        <v/>
      </c>
      <c r="I79" t="s">
        <v>4290</v>
      </c>
      <c r="J79" t="str">
        <f t="shared" si="14"/>
        <v/>
      </c>
      <c r="K79" t="str">
        <f t="shared" si="16"/>
        <v/>
      </c>
      <c r="L79" s="69"/>
      <c r="M79">
        <f>'TMIS US'!A70</f>
        <v>8169</v>
      </c>
      <c r="N79" t="str">
        <f>T('TMIS US'!B70)</f>
        <v/>
      </c>
      <c r="O79" t="s">
        <v>4290</v>
      </c>
      <c r="P79" t="str">
        <f t="shared" si="15"/>
        <v/>
      </c>
      <c r="Q79" t="str">
        <f t="shared" si="17"/>
        <v/>
      </c>
      <c r="R79" s="69"/>
      <c r="S79">
        <f>'TMIS CA'!A70</f>
        <v>9069</v>
      </c>
      <c r="T79" t="str">
        <f>T('TMIS CA'!B70)</f>
        <v/>
      </c>
      <c r="U79" t="s">
        <v>4290</v>
      </c>
      <c r="V79" t="str">
        <f t="shared" si="19"/>
        <v/>
      </c>
      <c r="W79" t="str">
        <f t="shared" si="18"/>
        <v/>
      </c>
    </row>
    <row r="80" spans="1:23">
      <c r="A80">
        <f>'IPTV US'!A71</f>
        <v>10170</v>
      </c>
      <c r="B80" t="str">
        <f>T('IPTV US'!B71)</f>
        <v/>
      </c>
      <c r="C80" t="s">
        <v>4290</v>
      </c>
      <c r="D80" t="str">
        <f t="shared" si="12"/>
        <v/>
      </c>
      <c r="E80" t="str">
        <f t="shared" si="13"/>
        <v/>
      </c>
      <c r="F80" s="68" t="s">
        <v>4289</v>
      </c>
      <c r="G80">
        <f>'IPTV CA'!A71</f>
        <v>10470</v>
      </c>
      <c r="H80" t="str">
        <f>T('IPTV CA'!B71)</f>
        <v/>
      </c>
      <c r="I80" t="s">
        <v>4290</v>
      </c>
      <c r="J80" t="str">
        <f t="shared" si="14"/>
        <v/>
      </c>
      <c r="K80" t="str">
        <f t="shared" si="16"/>
        <v/>
      </c>
      <c r="L80" s="69"/>
      <c r="M80">
        <f>'TMIS US'!A71</f>
        <v>8170</v>
      </c>
      <c r="N80" t="str">
        <f>T('TMIS US'!B71)</f>
        <v/>
      </c>
      <c r="O80" t="s">
        <v>4290</v>
      </c>
      <c r="P80" t="str">
        <f t="shared" si="15"/>
        <v/>
      </c>
      <c r="Q80" t="str">
        <f t="shared" si="17"/>
        <v/>
      </c>
      <c r="R80" s="69"/>
      <c r="S80">
        <f>'TMIS CA'!A71</f>
        <v>9070</v>
      </c>
      <c r="T80" t="str">
        <f>T('TMIS CA'!B71)</f>
        <v/>
      </c>
      <c r="U80" t="s">
        <v>4290</v>
      </c>
      <c r="V80" t="str">
        <f t="shared" si="19"/>
        <v/>
      </c>
      <c r="W80" t="str">
        <f t="shared" si="18"/>
        <v/>
      </c>
    </row>
    <row r="81" spans="1:23">
      <c r="A81">
        <f>'IPTV US'!A72</f>
        <v>10171</v>
      </c>
      <c r="B81" t="str">
        <f>T('IPTV US'!B72)</f>
        <v>Degrassi</v>
      </c>
      <c r="C81" t="s">
        <v>4288</v>
      </c>
      <c r="D81" t="str">
        <f t="shared" si="12"/>
        <v/>
      </c>
      <c r="E81" t="str">
        <f t="shared" si="13"/>
        <v/>
      </c>
      <c r="F81" s="68" t="s">
        <v>4289</v>
      </c>
      <c r="G81">
        <f>'IPTV CA'!A72</f>
        <v>10471</v>
      </c>
      <c r="H81" t="str">
        <f>T('IPTV CA'!B72)</f>
        <v/>
      </c>
      <c r="I81" t="s">
        <v>4290</v>
      </c>
      <c r="J81" t="str">
        <f t="shared" si="14"/>
        <v/>
      </c>
      <c r="K81" t="str">
        <f t="shared" si="16"/>
        <v/>
      </c>
      <c r="L81" s="69"/>
      <c r="M81">
        <f>'TMIS US'!A72</f>
        <v>8171</v>
      </c>
      <c r="N81" t="str">
        <f>T('TMIS US'!B72)</f>
        <v>Degrassi</v>
      </c>
      <c r="O81" t="s">
        <v>4288</v>
      </c>
      <c r="P81" t="str">
        <f t="shared" si="15"/>
        <v/>
      </c>
      <c r="Q81" t="str">
        <f t="shared" si="17"/>
        <v/>
      </c>
      <c r="R81" s="69"/>
      <c r="S81">
        <f>'TMIS CA'!A72</f>
        <v>9071</v>
      </c>
      <c r="T81" t="str">
        <f>T('TMIS CA'!B72)</f>
        <v/>
      </c>
      <c r="U81" t="s">
        <v>4290</v>
      </c>
      <c r="V81" t="str">
        <f t="shared" si="19"/>
        <v/>
      </c>
      <c r="W81" t="str">
        <f t="shared" si="18"/>
        <v/>
      </c>
    </row>
    <row r="82" spans="1:23">
      <c r="A82">
        <f>'IPTV US'!A73</f>
        <v>10172</v>
      </c>
      <c r="B82" t="str">
        <f>T('IPTV US'!B73)</f>
        <v>The Beverly Hillbillies</v>
      </c>
      <c r="C82" t="s">
        <v>4288</v>
      </c>
      <c r="D82" t="str">
        <f t="shared" si="12"/>
        <v/>
      </c>
      <c r="E82" t="str">
        <f t="shared" si="13"/>
        <v/>
      </c>
      <c r="F82" s="68" t="s">
        <v>4289</v>
      </c>
      <c r="G82">
        <f>'IPTV CA'!A73</f>
        <v>10472</v>
      </c>
      <c r="H82" t="str">
        <f>T('IPTV CA'!B73)</f>
        <v/>
      </c>
      <c r="I82" t="s">
        <v>4290</v>
      </c>
      <c r="J82" t="str">
        <f t="shared" si="14"/>
        <v/>
      </c>
      <c r="K82" t="str">
        <f t="shared" si="16"/>
        <v/>
      </c>
      <c r="L82" s="69"/>
      <c r="M82">
        <f>'TMIS US'!A73</f>
        <v>8172</v>
      </c>
      <c r="N82" t="str">
        <f>T('TMIS US'!B73)</f>
        <v>The Beverly Hillbillies</v>
      </c>
      <c r="O82" t="s">
        <v>4288</v>
      </c>
      <c r="P82" t="str">
        <f t="shared" si="15"/>
        <v/>
      </c>
      <c r="Q82" t="str">
        <f t="shared" si="17"/>
        <v/>
      </c>
      <c r="R82" s="69"/>
      <c r="S82">
        <f>'TMIS CA'!A73</f>
        <v>9072</v>
      </c>
      <c r="T82" t="str">
        <f>T('TMIS CA'!B73)</f>
        <v/>
      </c>
      <c r="U82" t="s">
        <v>4290</v>
      </c>
      <c r="V82" t="str">
        <f t="shared" si="19"/>
        <v/>
      </c>
      <c r="W82" t="str">
        <f t="shared" si="18"/>
        <v/>
      </c>
    </row>
    <row r="83" spans="1:23">
      <c r="A83">
        <f>'IPTV US'!A74</f>
        <v>10173</v>
      </c>
      <c r="B83" t="str">
        <f>T('IPTV US'!B74)</f>
        <v>Family Ties</v>
      </c>
      <c r="C83" t="s">
        <v>4288</v>
      </c>
      <c r="D83" t="str">
        <f t="shared" si="12"/>
        <v/>
      </c>
      <c r="E83" t="str">
        <f t="shared" si="13"/>
        <v/>
      </c>
      <c r="F83" s="68" t="s">
        <v>4289</v>
      </c>
      <c r="G83">
        <f>'IPTV CA'!A74</f>
        <v>10473</v>
      </c>
      <c r="H83" t="str">
        <f>T('IPTV CA'!B74)</f>
        <v/>
      </c>
      <c r="I83" t="s">
        <v>4290</v>
      </c>
      <c r="J83" t="str">
        <f t="shared" si="14"/>
        <v/>
      </c>
      <c r="K83" t="str">
        <f t="shared" si="16"/>
        <v/>
      </c>
      <c r="L83" s="69"/>
      <c r="M83">
        <f>'TMIS US'!A74</f>
        <v>8173</v>
      </c>
      <c r="N83" t="str">
        <f>T('TMIS US'!B74)</f>
        <v>Family Ties</v>
      </c>
      <c r="O83" t="s">
        <v>4288</v>
      </c>
      <c r="P83" t="str">
        <f t="shared" si="15"/>
        <v/>
      </c>
      <c r="Q83" t="str">
        <f t="shared" si="17"/>
        <v/>
      </c>
      <c r="R83" s="69"/>
      <c r="S83">
        <f>'TMIS CA'!A74</f>
        <v>9073</v>
      </c>
      <c r="T83" t="str">
        <f>T('TMIS CA'!B74)</f>
        <v/>
      </c>
      <c r="U83" t="s">
        <v>4290</v>
      </c>
      <c r="V83" t="str">
        <f t="shared" si="19"/>
        <v/>
      </c>
      <c r="W83" t="str">
        <f t="shared" si="18"/>
        <v/>
      </c>
    </row>
    <row r="84" spans="1:23">
      <c r="A84">
        <f>'IPTV US'!A75</f>
        <v>10174</v>
      </c>
      <c r="B84" t="str">
        <f>T('IPTV US'!B75)</f>
        <v>Doctor Who Classic</v>
      </c>
      <c r="C84" t="s">
        <v>4288</v>
      </c>
      <c r="D84" t="str">
        <f t="shared" si="12"/>
        <v/>
      </c>
      <c r="E84" t="str">
        <f t="shared" si="13"/>
        <v/>
      </c>
      <c r="F84" s="68" t="s">
        <v>4289</v>
      </c>
      <c r="G84">
        <f>'IPTV CA'!A75</f>
        <v>10474</v>
      </c>
      <c r="H84" t="str">
        <f>T('IPTV CA'!B75)</f>
        <v/>
      </c>
      <c r="I84" t="s">
        <v>4290</v>
      </c>
      <c r="J84" t="str">
        <f t="shared" si="14"/>
        <v/>
      </c>
      <c r="K84" t="str">
        <f t="shared" si="16"/>
        <v/>
      </c>
      <c r="L84" s="69"/>
      <c r="M84">
        <f>'TMIS US'!A75</f>
        <v>8174</v>
      </c>
      <c r="N84" t="str">
        <f>T('TMIS US'!B75)</f>
        <v>Doctor Who Classic</v>
      </c>
      <c r="O84" t="s">
        <v>4288</v>
      </c>
      <c r="P84" t="str">
        <f t="shared" si="15"/>
        <v/>
      </c>
      <c r="Q84" t="str">
        <f t="shared" si="17"/>
        <v/>
      </c>
      <c r="R84" s="69"/>
      <c r="S84">
        <f>'TMIS CA'!A75</f>
        <v>9074</v>
      </c>
      <c r="T84" t="str">
        <f>T('TMIS CA'!B75)</f>
        <v/>
      </c>
      <c r="U84" t="s">
        <v>4290</v>
      </c>
      <c r="V84" t="str">
        <f t="shared" si="19"/>
        <v/>
      </c>
      <c r="W84" t="str">
        <f t="shared" si="18"/>
        <v/>
      </c>
    </row>
    <row r="85" spans="1:23">
      <c r="A85">
        <f>'IPTV US'!A76</f>
        <v>10175</v>
      </c>
      <c r="B85" t="str">
        <f>T('IPTV US'!B76)</f>
        <v>Best of Dr. Phil</v>
      </c>
      <c r="C85" t="s">
        <v>4288</v>
      </c>
      <c r="D85" t="str">
        <f t="shared" si="12"/>
        <v/>
      </c>
      <c r="E85" t="str">
        <f t="shared" si="13"/>
        <v/>
      </c>
      <c r="F85" s="68" t="s">
        <v>4289</v>
      </c>
      <c r="G85">
        <f>'IPTV CA'!A76</f>
        <v>10475</v>
      </c>
      <c r="H85" t="str">
        <f>T('IPTV CA'!B76)</f>
        <v/>
      </c>
      <c r="I85" t="s">
        <v>4290</v>
      </c>
      <c r="J85" t="str">
        <f t="shared" si="14"/>
        <v/>
      </c>
      <c r="K85" t="str">
        <f t="shared" si="16"/>
        <v/>
      </c>
      <c r="L85" s="69"/>
      <c r="M85">
        <f>'TMIS US'!A76</f>
        <v>8175</v>
      </c>
      <c r="N85" t="str">
        <f>T('TMIS US'!B76)</f>
        <v>Best of Dr. Phil</v>
      </c>
      <c r="O85" t="s">
        <v>4288</v>
      </c>
      <c r="P85" t="str">
        <f t="shared" si="15"/>
        <v/>
      </c>
      <c r="Q85" t="str">
        <f t="shared" si="17"/>
        <v/>
      </c>
      <c r="R85" s="69"/>
      <c r="S85">
        <f>'TMIS CA'!A76</f>
        <v>9075</v>
      </c>
      <c r="T85" t="str">
        <f>T('TMIS CA'!B76)</f>
        <v/>
      </c>
      <c r="U85" t="s">
        <v>4290</v>
      </c>
      <c r="V85" t="str">
        <f t="shared" si="19"/>
        <v/>
      </c>
      <c r="W85" t="str">
        <f t="shared" si="18"/>
        <v/>
      </c>
    </row>
    <row r="86" spans="1:23">
      <c r="A86">
        <f>'IPTV US'!A77</f>
        <v>10176</v>
      </c>
      <c r="B86" t="str">
        <f>T('IPTV US'!B77)</f>
        <v>The Judge Judy Channel</v>
      </c>
      <c r="C86" t="s">
        <v>4288</v>
      </c>
      <c r="D86" t="str">
        <f t="shared" si="12"/>
        <v/>
      </c>
      <c r="E86" t="str">
        <f t="shared" si="13"/>
        <v/>
      </c>
      <c r="F86" s="68" t="s">
        <v>4289</v>
      </c>
      <c r="G86">
        <f>'IPTV CA'!A77</f>
        <v>10476</v>
      </c>
      <c r="H86" t="str">
        <f>T('IPTV CA'!B77)</f>
        <v/>
      </c>
      <c r="I86" t="s">
        <v>4290</v>
      </c>
      <c r="J86" t="str">
        <f t="shared" si="14"/>
        <v/>
      </c>
      <c r="K86" t="str">
        <f t="shared" si="16"/>
        <v/>
      </c>
      <c r="L86" s="69"/>
      <c r="M86">
        <f>'TMIS US'!A77</f>
        <v>8176</v>
      </c>
      <c r="N86" t="str">
        <f>T('TMIS US'!B77)</f>
        <v>The Judge Judy Channel</v>
      </c>
      <c r="O86" t="s">
        <v>4288</v>
      </c>
      <c r="P86" t="str">
        <f t="shared" si="15"/>
        <v/>
      </c>
      <c r="Q86" t="str">
        <f t="shared" si="17"/>
        <v/>
      </c>
      <c r="R86" s="69"/>
      <c r="S86">
        <f>'TMIS CA'!A77</f>
        <v>9076</v>
      </c>
      <c r="T86" t="str">
        <f>T('TMIS CA'!B77)</f>
        <v/>
      </c>
      <c r="U86" t="s">
        <v>4290</v>
      </c>
      <c r="V86" t="str">
        <f t="shared" si="19"/>
        <v/>
      </c>
      <c r="W86" t="str">
        <f t="shared" si="18"/>
        <v/>
      </c>
    </row>
    <row r="87" spans="1:23">
      <c r="A87">
        <f>'IPTV US'!A78</f>
        <v>10177</v>
      </c>
      <c r="B87" t="str">
        <f>T('IPTV US'!B78)</f>
        <v>Hot Bench</v>
      </c>
      <c r="C87" t="s">
        <v>4288</v>
      </c>
      <c r="D87" t="str">
        <f t="shared" si="12"/>
        <v/>
      </c>
      <c r="E87" t="str">
        <f t="shared" si="13"/>
        <v/>
      </c>
      <c r="F87" s="68" t="s">
        <v>4289</v>
      </c>
      <c r="G87">
        <f>'IPTV CA'!A78</f>
        <v>10477</v>
      </c>
      <c r="H87" t="str">
        <f>T('IPTV CA'!B78)</f>
        <v/>
      </c>
      <c r="I87" t="s">
        <v>4290</v>
      </c>
      <c r="J87" t="str">
        <f t="shared" si="14"/>
        <v/>
      </c>
      <c r="K87" t="str">
        <f t="shared" si="16"/>
        <v/>
      </c>
      <c r="L87" s="69"/>
      <c r="M87">
        <f>'TMIS US'!A78</f>
        <v>8177</v>
      </c>
      <c r="N87" t="str">
        <f>T('TMIS US'!B78)</f>
        <v>Hot Bench</v>
      </c>
      <c r="O87" t="s">
        <v>4288</v>
      </c>
      <c r="P87" t="str">
        <f t="shared" si="15"/>
        <v/>
      </c>
      <c r="Q87" t="str">
        <f t="shared" si="17"/>
        <v/>
      </c>
      <c r="R87" s="69"/>
      <c r="S87">
        <f>'TMIS CA'!A78</f>
        <v>9077</v>
      </c>
      <c r="T87" t="str">
        <f>T('TMIS CA'!B78)</f>
        <v/>
      </c>
      <c r="U87" t="s">
        <v>4290</v>
      </c>
      <c r="V87" t="str">
        <f t="shared" si="19"/>
        <v/>
      </c>
      <c r="W87" t="str">
        <f t="shared" si="18"/>
        <v/>
      </c>
    </row>
    <row r="88" spans="1:23">
      <c r="A88">
        <f>'IPTV US'!A79</f>
        <v>10178</v>
      </c>
      <c r="B88" t="str">
        <f>T('IPTV US'!B79)</f>
        <v/>
      </c>
      <c r="C88" t="s">
        <v>4290</v>
      </c>
      <c r="D88" t="str">
        <f t="shared" si="12"/>
        <v/>
      </c>
      <c r="E88" t="str">
        <f t="shared" si="13"/>
        <v/>
      </c>
      <c r="F88" s="68" t="s">
        <v>4289</v>
      </c>
      <c r="G88">
        <f>'IPTV CA'!A79</f>
        <v>10478</v>
      </c>
      <c r="H88" t="str">
        <f>T('IPTV CA'!B79)</f>
        <v/>
      </c>
      <c r="I88" t="s">
        <v>4290</v>
      </c>
      <c r="J88" t="str">
        <f t="shared" si="14"/>
        <v/>
      </c>
      <c r="K88" t="str">
        <f t="shared" si="16"/>
        <v/>
      </c>
      <c r="L88" s="69"/>
      <c r="M88">
        <f>'TMIS US'!A79</f>
        <v>8178</v>
      </c>
      <c r="N88" t="str">
        <f>T('TMIS US'!B79)</f>
        <v/>
      </c>
      <c r="O88" t="s">
        <v>4290</v>
      </c>
      <c r="P88" t="str">
        <f t="shared" si="15"/>
        <v/>
      </c>
      <c r="Q88" t="str">
        <f t="shared" si="17"/>
        <v/>
      </c>
      <c r="R88" s="69"/>
      <c r="S88">
        <f>'TMIS CA'!A79</f>
        <v>9078</v>
      </c>
      <c r="T88" t="str">
        <f>T('TMIS CA'!B79)</f>
        <v/>
      </c>
      <c r="U88" t="s">
        <v>4290</v>
      </c>
      <c r="V88" t="str">
        <f t="shared" si="19"/>
        <v/>
      </c>
      <c r="W88" t="str">
        <f t="shared" si="18"/>
        <v/>
      </c>
    </row>
    <row r="89" spans="1:23">
      <c r="A89">
        <f>'IPTV US'!A80</f>
        <v>10179</v>
      </c>
      <c r="B89" t="str">
        <f>T('IPTV US'!B80)</f>
        <v/>
      </c>
      <c r="C89" t="s">
        <v>4290</v>
      </c>
      <c r="D89" t="str">
        <f t="shared" si="12"/>
        <v/>
      </c>
      <c r="E89" t="str">
        <f t="shared" si="13"/>
        <v/>
      </c>
      <c r="F89" s="68" t="s">
        <v>4289</v>
      </c>
      <c r="G89">
        <f>'IPTV CA'!A80</f>
        <v>10479</v>
      </c>
      <c r="H89" t="str">
        <f>T('IPTV CA'!B80)</f>
        <v/>
      </c>
      <c r="I89" t="s">
        <v>4290</v>
      </c>
      <c r="J89" t="str">
        <f t="shared" si="14"/>
        <v/>
      </c>
      <c r="K89" t="str">
        <f t="shared" si="16"/>
        <v/>
      </c>
      <c r="L89" s="69"/>
      <c r="M89">
        <f>'TMIS US'!A80</f>
        <v>8179</v>
      </c>
      <c r="N89" t="str">
        <f>T('TMIS US'!B80)</f>
        <v/>
      </c>
      <c r="O89" t="s">
        <v>4290</v>
      </c>
      <c r="P89" t="str">
        <f t="shared" si="15"/>
        <v/>
      </c>
      <c r="Q89" t="str">
        <f t="shared" si="17"/>
        <v/>
      </c>
      <c r="R89" s="69"/>
      <c r="S89">
        <f>'TMIS CA'!A80</f>
        <v>9079</v>
      </c>
      <c r="T89" t="str">
        <f>T('TMIS CA'!B80)</f>
        <v/>
      </c>
      <c r="U89" t="s">
        <v>4290</v>
      </c>
      <c r="V89" t="str">
        <f t="shared" si="19"/>
        <v/>
      </c>
      <c r="W89" t="str">
        <f t="shared" si="18"/>
        <v/>
      </c>
    </row>
    <row r="90" spans="1:23">
      <c r="A90">
        <f>'IPTV US'!A81</f>
        <v>10180</v>
      </c>
      <c r="B90" t="str">
        <f>T('IPTV US'!B81)</f>
        <v>TODAY All Day</v>
      </c>
      <c r="C90" t="s">
        <v>4288</v>
      </c>
      <c r="D90" t="str">
        <f t="shared" si="12"/>
        <v/>
      </c>
      <c r="E90" t="str">
        <f t="shared" si="13"/>
        <v/>
      </c>
      <c r="F90" s="68" t="s">
        <v>4289</v>
      </c>
      <c r="G90">
        <f>'IPTV CA'!A81</f>
        <v>10480</v>
      </c>
      <c r="H90" t="str">
        <f>T('IPTV CA'!B81)</f>
        <v/>
      </c>
      <c r="I90" t="s">
        <v>4290</v>
      </c>
      <c r="J90" t="str">
        <f t="shared" si="14"/>
        <v/>
      </c>
      <c r="K90" t="str">
        <f t="shared" si="16"/>
        <v/>
      </c>
      <c r="L90" s="69"/>
      <c r="M90">
        <f>'TMIS US'!A81</f>
        <v>8180</v>
      </c>
      <c r="N90" t="str">
        <f>T('TMIS US'!B81)</f>
        <v>TODAY All Day</v>
      </c>
      <c r="O90" t="s">
        <v>4288</v>
      </c>
      <c r="P90" t="str">
        <f t="shared" si="15"/>
        <v/>
      </c>
      <c r="Q90" t="str">
        <f t="shared" si="17"/>
        <v/>
      </c>
      <c r="R90" s="69"/>
      <c r="S90">
        <f>'TMIS CA'!A81</f>
        <v>9080</v>
      </c>
      <c r="T90" t="str">
        <f>T('TMIS CA'!B81)</f>
        <v/>
      </c>
      <c r="U90" t="s">
        <v>4290</v>
      </c>
      <c r="V90" t="str">
        <f t="shared" si="19"/>
        <v/>
      </c>
      <c r="W90" t="str">
        <f t="shared" si="18"/>
        <v/>
      </c>
    </row>
    <row r="91" spans="1:23">
      <c r="A91">
        <f>'IPTV US'!A82</f>
        <v>10181</v>
      </c>
      <c r="B91" t="str">
        <f>T('IPTV US'!B82)</f>
        <v>The Price is Right</v>
      </c>
      <c r="C91" t="s">
        <v>4288</v>
      </c>
      <c r="D91" t="str">
        <f t="shared" si="12"/>
        <v/>
      </c>
      <c r="E91" t="str">
        <f t="shared" si="13"/>
        <v/>
      </c>
      <c r="F91" s="68" t="s">
        <v>4289</v>
      </c>
      <c r="G91">
        <f>'IPTV CA'!A82</f>
        <v>10481</v>
      </c>
      <c r="H91" t="str">
        <f>T('IPTV CA'!B82)</f>
        <v/>
      </c>
      <c r="I91" t="s">
        <v>4290</v>
      </c>
      <c r="J91" t="str">
        <f t="shared" si="14"/>
        <v/>
      </c>
      <c r="K91" t="str">
        <f t="shared" si="16"/>
        <v/>
      </c>
      <c r="L91" s="69"/>
      <c r="M91">
        <f>'TMIS US'!A82</f>
        <v>8181</v>
      </c>
      <c r="N91" t="str">
        <f>T('TMIS US'!B82)</f>
        <v>The Price is Right</v>
      </c>
      <c r="O91" t="s">
        <v>4288</v>
      </c>
      <c r="P91" t="str">
        <f t="shared" si="15"/>
        <v/>
      </c>
      <c r="Q91" t="str">
        <f t="shared" si="17"/>
        <v/>
      </c>
      <c r="R91" s="69"/>
      <c r="S91">
        <f>'TMIS CA'!A82</f>
        <v>9081</v>
      </c>
      <c r="T91" t="str">
        <f>T('TMIS CA'!B82)</f>
        <v/>
      </c>
      <c r="U91" t="s">
        <v>4290</v>
      </c>
      <c r="V91" t="str">
        <f t="shared" si="19"/>
        <v/>
      </c>
      <c r="W91" t="str">
        <f t="shared" si="18"/>
        <v/>
      </c>
    </row>
    <row r="92" spans="1:23">
      <c r="A92">
        <f>'IPTV US'!A83</f>
        <v>10182</v>
      </c>
      <c r="B92" t="str">
        <f>T('IPTV US'!B83)</f>
        <v>The Price Is Right: The Barker Era</v>
      </c>
      <c r="C92" t="s">
        <v>4288</v>
      </c>
      <c r="D92" t="str">
        <f t="shared" si="12"/>
        <v/>
      </c>
      <c r="E92" t="str">
        <f t="shared" si="13"/>
        <v/>
      </c>
      <c r="F92" s="68" t="s">
        <v>4289</v>
      </c>
      <c r="G92">
        <f>'IPTV CA'!A83</f>
        <v>10482</v>
      </c>
      <c r="H92" t="str">
        <f>T('IPTV CA'!B83)</f>
        <v/>
      </c>
      <c r="I92" t="s">
        <v>4290</v>
      </c>
      <c r="J92" t="str">
        <f t="shared" si="14"/>
        <v/>
      </c>
      <c r="K92" t="str">
        <f t="shared" si="16"/>
        <v/>
      </c>
      <c r="L92" s="69"/>
      <c r="M92">
        <f>'TMIS US'!A83</f>
        <v>8182</v>
      </c>
      <c r="N92" t="str">
        <f>T('TMIS US'!B83)</f>
        <v>The Price Is Right: The Barker Era</v>
      </c>
      <c r="O92" t="s">
        <v>4288</v>
      </c>
      <c r="P92" t="str">
        <f t="shared" si="15"/>
        <v/>
      </c>
      <c r="Q92" t="str">
        <f t="shared" si="17"/>
        <v/>
      </c>
      <c r="R92" s="69"/>
      <c r="S92">
        <f>'TMIS CA'!A83</f>
        <v>9082</v>
      </c>
      <c r="T92" t="str">
        <f>T('TMIS CA'!B83)</f>
        <v/>
      </c>
      <c r="U92" t="s">
        <v>4290</v>
      </c>
      <c r="V92" t="str">
        <f t="shared" si="19"/>
        <v/>
      </c>
      <c r="W92" t="str">
        <f t="shared" si="18"/>
        <v/>
      </c>
    </row>
    <row r="93" spans="1:23">
      <c r="A93">
        <f>'IPTV US'!A84</f>
        <v>10183</v>
      </c>
      <c r="B93" t="str">
        <f>T('IPTV US'!B84)</f>
        <v>Let's Make a Deal</v>
      </c>
      <c r="C93" t="s">
        <v>4288</v>
      </c>
      <c r="D93" t="str">
        <f t="shared" si="12"/>
        <v/>
      </c>
      <c r="E93" t="str">
        <f t="shared" si="13"/>
        <v/>
      </c>
      <c r="F93" s="68" t="s">
        <v>4289</v>
      </c>
      <c r="G93">
        <f>'IPTV CA'!A84</f>
        <v>10483</v>
      </c>
      <c r="H93" t="str">
        <f>T('IPTV CA'!B84)</f>
        <v>Movie Music by Stingray</v>
      </c>
      <c r="I93" t="s">
        <v>4288</v>
      </c>
      <c r="J93" t="str">
        <f t="shared" si="14"/>
        <v/>
      </c>
      <c r="K93" t="str">
        <f t="shared" si="16"/>
        <v/>
      </c>
      <c r="L93" s="69"/>
      <c r="M93">
        <f>'TMIS US'!A84</f>
        <v>8183</v>
      </c>
      <c r="N93" t="str">
        <f>T('TMIS US'!B84)</f>
        <v>Let's Make a Deal</v>
      </c>
      <c r="O93" t="s">
        <v>4288</v>
      </c>
      <c r="P93" t="str">
        <f t="shared" si="15"/>
        <v/>
      </c>
      <c r="Q93" t="str">
        <f t="shared" si="17"/>
        <v/>
      </c>
      <c r="R93" s="69"/>
      <c r="S93">
        <f>'TMIS CA'!A84</f>
        <v>9083</v>
      </c>
      <c r="T93" t="str">
        <f>T('TMIS CA'!B84)</f>
        <v>Movie Music by Stingray</v>
      </c>
      <c r="U93" t="s">
        <v>4288</v>
      </c>
      <c r="V93" t="str">
        <f t="shared" si="19"/>
        <v/>
      </c>
      <c r="W93" t="str">
        <f t="shared" si="18"/>
        <v/>
      </c>
    </row>
    <row r="94" spans="1:23">
      <c r="A94">
        <f>'IPTV US'!A85</f>
        <v>10184</v>
      </c>
      <c r="B94" t="str">
        <f>T('IPTV US'!B85)</f>
        <v>BUZZR</v>
      </c>
      <c r="C94" t="s">
        <v>4288</v>
      </c>
      <c r="D94" t="str">
        <f t="shared" si="12"/>
        <v/>
      </c>
      <c r="E94" t="str">
        <f t="shared" si="13"/>
        <v/>
      </c>
      <c r="F94" s="68" t="s">
        <v>4289</v>
      </c>
      <c r="G94">
        <f>'IPTV CA'!A85</f>
        <v>10484</v>
      </c>
      <c r="H94" t="str">
        <f>T('IPTV CA'!B85)</f>
        <v/>
      </c>
      <c r="I94" t="s">
        <v>4290</v>
      </c>
      <c r="J94" t="str">
        <f t="shared" si="14"/>
        <v/>
      </c>
      <c r="K94" t="str">
        <f t="shared" si="16"/>
        <v/>
      </c>
      <c r="L94" s="69"/>
      <c r="M94">
        <f>'TMIS US'!A85</f>
        <v>8184</v>
      </c>
      <c r="N94" t="str">
        <f>T('TMIS US'!B85)</f>
        <v>BUZZR</v>
      </c>
      <c r="O94" t="s">
        <v>4288</v>
      </c>
      <c r="P94" t="str">
        <f t="shared" si="15"/>
        <v/>
      </c>
      <c r="Q94" t="str">
        <f t="shared" si="17"/>
        <v/>
      </c>
      <c r="R94" s="69"/>
      <c r="S94">
        <f>'TMIS CA'!A85</f>
        <v>9084</v>
      </c>
      <c r="T94" t="str">
        <f>T('TMIS CA'!B85)</f>
        <v/>
      </c>
      <c r="U94" t="s">
        <v>4290</v>
      </c>
      <c r="V94" t="str">
        <f t="shared" si="19"/>
        <v/>
      </c>
      <c r="W94" t="str">
        <f t="shared" si="18"/>
        <v/>
      </c>
    </row>
    <row r="95" spans="1:23">
      <c r="A95">
        <f>'IPTV US'!A86</f>
        <v>10185</v>
      </c>
      <c r="B95" t="str">
        <f>T('IPTV US'!B86)</f>
        <v>Deal or No Deal</v>
      </c>
      <c r="C95" t="s">
        <v>4288</v>
      </c>
      <c r="D95" t="str">
        <f t="shared" si="12"/>
        <v/>
      </c>
      <c r="E95" t="str">
        <f t="shared" si="13"/>
        <v/>
      </c>
      <c r="F95" s="68" t="s">
        <v>4289</v>
      </c>
      <c r="G95">
        <f>'IPTV CA'!A86</f>
        <v>10485</v>
      </c>
      <c r="H95" t="str">
        <f>T('IPTV CA'!B86)</f>
        <v/>
      </c>
      <c r="I95" t="s">
        <v>4290</v>
      </c>
      <c r="J95" t="str">
        <f t="shared" si="14"/>
        <v/>
      </c>
      <c r="K95" t="str">
        <f t="shared" si="16"/>
        <v/>
      </c>
      <c r="L95" s="69"/>
      <c r="M95">
        <f>'TMIS US'!A86</f>
        <v>8185</v>
      </c>
      <c r="N95" t="str">
        <f>T('TMIS US'!B86)</f>
        <v>Deal or No Deal</v>
      </c>
      <c r="O95" t="s">
        <v>4288</v>
      </c>
      <c r="P95" t="str">
        <f t="shared" si="15"/>
        <v/>
      </c>
      <c r="Q95" t="str">
        <f t="shared" si="17"/>
        <v/>
      </c>
      <c r="R95" s="69"/>
      <c r="S95">
        <f>'TMIS CA'!A86</f>
        <v>9085</v>
      </c>
      <c r="T95" t="str">
        <f>T('TMIS CA'!B86)</f>
        <v/>
      </c>
      <c r="U95" t="s">
        <v>4290</v>
      </c>
      <c r="V95" t="str">
        <f t="shared" si="19"/>
        <v/>
      </c>
      <c r="W95" t="str">
        <f t="shared" si="18"/>
        <v/>
      </c>
    </row>
    <row r="96" spans="1:23">
      <c r="A96">
        <f>'IPTV US'!A87</f>
        <v>10186</v>
      </c>
      <c r="B96" t="str">
        <f>T('IPTV US'!B87)</f>
        <v>ET</v>
      </c>
      <c r="C96" t="s">
        <v>4288</v>
      </c>
      <c r="D96" t="str">
        <f t="shared" si="12"/>
        <v/>
      </c>
      <c r="E96" t="str">
        <f t="shared" si="13"/>
        <v/>
      </c>
      <c r="F96" s="68" t="s">
        <v>4289</v>
      </c>
      <c r="G96">
        <f>'IPTV CA'!A87</f>
        <v>10486</v>
      </c>
      <c r="H96" t="str">
        <f>T('IPTV CA'!B87)</f>
        <v/>
      </c>
      <c r="I96" t="s">
        <v>4290</v>
      </c>
      <c r="J96" t="str">
        <f t="shared" si="14"/>
        <v/>
      </c>
      <c r="K96" t="str">
        <f t="shared" si="16"/>
        <v/>
      </c>
      <c r="L96" s="69"/>
      <c r="M96">
        <f>'TMIS US'!A87</f>
        <v>8186</v>
      </c>
      <c r="N96" t="str">
        <f>T('TMIS US'!B87)</f>
        <v>ET</v>
      </c>
      <c r="O96" t="s">
        <v>4288</v>
      </c>
      <c r="P96" t="str">
        <f t="shared" si="15"/>
        <v/>
      </c>
      <c r="Q96" t="str">
        <f t="shared" si="17"/>
        <v/>
      </c>
      <c r="R96" s="69"/>
      <c r="S96">
        <f>'TMIS CA'!A87</f>
        <v>9086</v>
      </c>
      <c r="T96" t="str">
        <f>T('TMIS CA'!B87)</f>
        <v/>
      </c>
      <c r="U96" t="s">
        <v>4290</v>
      </c>
      <c r="V96" t="str">
        <f t="shared" si="19"/>
        <v/>
      </c>
      <c r="W96" t="str">
        <f t="shared" si="18"/>
        <v/>
      </c>
    </row>
    <row r="97" spans="1:23">
      <c r="A97">
        <f>'IPTV US'!A88</f>
        <v>10187</v>
      </c>
      <c r="B97" t="str">
        <f>T('IPTV US'!B88)</f>
        <v>Comedy Central Pluto TV</v>
      </c>
      <c r="C97" t="s">
        <v>4288</v>
      </c>
      <c r="D97" t="str">
        <f t="shared" si="12"/>
        <v/>
      </c>
      <c r="E97" t="str">
        <f t="shared" si="13"/>
        <v/>
      </c>
      <c r="F97" s="68" t="s">
        <v>4289</v>
      </c>
      <c r="G97">
        <f>'IPTV CA'!A88</f>
        <v>10487</v>
      </c>
      <c r="H97" t="str">
        <f>T('IPTV CA'!B88)</f>
        <v>Stingray DJAZZ</v>
      </c>
      <c r="I97" t="s">
        <v>4288</v>
      </c>
      <c r="J97" t="str">
        <f t="shared" si="14"/>
        <v/>
      </c>
      <c r="K97" t="str">
        <f t="shared" si="16"/>
        <v/>
      </c>
      <c r="L97" s="69"/>
      <c r="M97">
        <f>'TMIS US'!A88</f>
        <v>8187</v>
      </c>
      <c r="N97" t="str">
        <f>T('TMIS US'!B88)</f>
        <v>Comedy Central Pluto TV</v>
      </c>
      <c r="O97" t="s">
        <v>4288</v>
      </c>
      <c r="P97" t="str">
        <f t="shared" si="15"/>
        <v/>
      </c>
      <c r="Q97" t="str">
        <f t="shared" si="17"/>
        <v/>
      </c>
      <c r="R97" s="69"/>
      <c r="S97">
        <f>'TMIS CA'!A88</f>
        <v>9087</v>
      </c>
      <c r="T97" t="str">
        <f>T('TMIS CA'!B88)</f>
        <v>Stingray DJAZZ</v>
      </c>
      <c r="U97" t="s">
        <v>4288</v>
      </c>
      <c r="V97" t="str">
        <f t="shared" si="19"/>
        <v/>
      </c>
      <c r="W97" t="str">
        <f t="shared" si="18"/>
        <v/>
      </c>
    </row>
    <row r="98" spans="1:23">
      <c r="A98">
        <f>'IPTV US'!A89</f>
        <v>10188</v>
      </c>
      <c r="B98" t="str">
        <f>T('IPTV US'!B89)</f>
        <v/>
      </c>
      <c r="C98" t="s">
        <v>4290</v>
      </c>
      <c r="D98" t="str">
        <f t="shared" si="12"/>
        <v/>
      </c>
      <c r="E98" t="str">
        <f t="shared" si="13"/>
        <v/>
      </c>
      <c r="F98" s="68" t="s">
        <v>4289</v>
      </c>
      <c r="G98">
        <f>'IPTV CA'!A89</f>
        <v>10488</v>
      </c>
      <c r="H98" t="str">
        <f>T('IPTV CA'!B89)</f>
        <v/>
      </c>
      <c r="I98" t="s">
        <v>4290</v>
      </c>
      <c r="J98" t="str">
        <f t="shared" si="14"/>
        <v/>
      </c>
      <c r="K98" t="str">
        <f t="shared" si="16"/>
        <v/>
      </c>
      <c r="L98" s="69"/>
      <c r="M98">
        <f>'TMIS US'!A89</f>
        <v>8188</v>
      </c>
      <c r="N98" t="str">
        <f>T('TMIS US'!B89)</f>
        <v/>
      </c>
      <c r="O98" t="s">
        <v>4290</v>
      </c>
      <c r="P98" t="str">
        <f t="shared" si="15"/>
        <v/>
      </c>
      <c r="Q98" t="str">
        <f t="shared" si="17"/>
        <v/>
      </c>
      <c r="R98" s="69"/>
      <c r="S98">
        <f>'TMIS CA'!A89</f>
        <v>9088</v>
      </c>
      <c r="T98" t="str">
        <f>T('TMIS CA'!B89)</f>
        <v/>
      </c>
      <c r="U98" t="s">
        <v>4290</v>
      </c>
      <c r="V98" t="str">
        <f t="shared" si="19"/>
        <v/>
      </c>
      <c r="W98" t="str">
        <f t="shared" si="18"/>
        <v/>
      </c>
    </row>
    <row r="99" spans="1:23">
      <c r="A99">
        <f>'IPTV US'!A90</f>
        <v>10189</v>
      </c>
      <c r="B99" t="str">
        <f>T('IPTV US'!B90)</f>
        <v>Tosh.0</v>
      </c>
      <c r="C99" t="s">
        <v>4288</v>
      </c>
      <c r="D99" t="str">
        <f t="shared" si="12"/>
        <v/>
      </c>
      <c r="E99" t="str">
        <f t="shared" si="13"/>
        <v/>
      </c>
      <c r="F99" s="68" t="s">
        <v>4289</v>
      </c>
      <c r="G99">
        <f>'IPTV CA'!A90</f>
        <v>10489</v>
      </c>
      <c r="H99" t="str">
        <f>T('IPTV CA'!B90)</f>
        <v/>
      </c>
      <c r="I99" t="s">
        <v>4290</v>
      </c>
      <c r="J99" t="str">
        <f t="shared" si="14"/>
        <v/>
      </c>
      <c r="K99" t="str">
        <f t="shared" si="16"/>
        <v/>
      </c>
      <c r="L99" s="69"/>
      <c r="M99">
        <f>'TMIS US'!A90</f>
        <v>8189</v>
      </c>
      <c r="N99" t="str">
        <f>T('TMIS US'!B90)</f>
        <v>Tosh.0</v>
      </c>
      <c r="O99" t="s">
        <v>4288</v>
      </c>
      <c r="P99" t="str">
        <f t="shared" si="15"/>
        <v/>
      </c>
      <c r="Q99" t="str">
        <f t="shared" si="17"/>
        <v/>
      </c>
      <c r="R99" s="69"/>
      <c r="S99">
        <f>'TMIS CA'!A90</f>
        <v>9089</v>
      </c>
      <c r="T99" t="str">
        <f>T('TMIS CA'!B90)</f>
        <v/>
      </c>
      <c r="U99" t="s">
        <v>4290</v>
      </c>
      <c r="V99" t="str">
        <f t="shared" si="19"/>
        <v/>
      </c>
      <c r="W99" t="str">
        <f t="shared" si="18"/>
        <v/>
      </c>
    </row>
    <row r="100" spans="1:23">
      <c r="A100">
        <f>'IPTV US'!A91</f>
        <v>10190</v>
      </c>
      <c r="B100" t="str">
        <f>T('IPTV US'!B91)</f>
        <v>TV Land Sitcoms</v>
      </c>
      <c r="C100" t="s">
        <v>4288</v>
      </c>
      <c r="D100" t="str">
        <f t="shared" si="12"/>
        <v/>
      </c>
      <c r="E100" t="str">
        <f t="shared" si="13"/>
        <v/>
      </c>
      <c r="F100" s="68" t="s">
        <v>4289</v>
      </c>
      <c r="G100">
        <f>'IPTV CA'!A91</f>
        <v>10490</v>
      </c>
      <c r="H100" t="str">
        <f>T('IPTV CA'!B91)</f>
        <v/>
      </c>
      <c r="I100" t="s">
        <v>4290</v>
      </c>
      <c r="J100" t="str">
        <f t="shared" si="14"/>
        <v/>
      </c>
      <c r="K100" t="str">
        <f t="shared" si="16"/>
        <v/>
      </c>
      <c r="L100" s="69"/>
      <c r="M100">
        <f>'TMIS US'!A91</f>
        <v>8190</v>
      </c>
      <c r="N100" t="str">
        <f>T('TMIS US'!B91)</f>
        <v>TV Land Sitcoms</v>
      </c>
      <c r="O100" t="s">
        <v>4288</v>
      </c>
      <c r="P100" t="str">
        <f t="shared" si="15"/>
        <v/>
      </c>
      <c r="Q100" t="str">
        <f t="shared" si="17"/>
        <v/>
      </c>
      <c r="R100" s="69"/>
      <c r="S100">
        <f>'TMIS CA'!A91</f>
        <v>9090</v>
      </c>
      <c r="T100" t="str">
        <f>T('TMIS CA'!B91)</f>
        <v/>
      </c>
      <c r="U100" t="s">
        <v>4290</v>
      </c>
      <c r="V100" t="str">
        <f t="shared" si="19"/>
        <v/>
      </c>
      <c r="W100" t="str">
        <f t="shared" si="18"/>
        <v/>
      </c>
    </row>
    <row r="101" spans="1:23">
      <c r="A101">
        <f>'IPTV US'!A92</f>
        <v>10191</v>
      </c>
      <c r="B101" t="str">
        <f>T('IPTV US'!B92)</f>
        <v/>
      </c>
      <c r="C101" t="s">
        <v>4290</v>
      </c>
      <c r="D101" t="str">
        <f t="shared" si="12"/>
        <v/>
      </c>
      <c r="E101" t="str">
        <f t="shared" si="13"/>
        <v/>
      </c>
      <c r="F101" s="68" t="s">
        <v>4289</v>
      </c>
      <c r="G101">
        <f>'IPTV CA'!A92</f>
        <v>10491</v>
      </c>
      <c r="H101" t="str">
        <f>T('IPTV CA'!B92)</f>
        <v>Stingray Holidayscapes</v>
      </c>
      <c r="I101" t="s">
        <v>4288</v>
      </c>
      <c r="J101" t="str">
        <f t="shared" si="14"/>
        <v/>
      </c>
      <c r="K101" t="str">
        <f t="shared" si="16"/>
        <v/>
      </c>
      <c r="L101" s="69"/>
      <c r="M101">
        <f>'TMIS US'!A92</f>
        <v>8191</v>
      </c>
      <c r="N101" t="str">
        <f>T('TMIS US'!B92)</f>
        <v/>
      </c>
      <c r="O101" t="s">
        <v>4290</v>
      </c>
      <c r="P101" t="str">
        <f t="shared" si="15"/>
        <v/>
      </c>
      <c r="Q101" t="str">
        <f t="shared" si="17"/>
        <v/>
      </c>
      <c r="R101" s="69"/>
      <c r="S101">
        <f>'TMIS CA'!A92</f>
        <v>9091</v>
      </c>
      <c r="T101" t="str">
        <f>T('TMIS CA'!B92)</f>
        <v>Stingray Holidayscapes</v>
      </c>
      <c r="U101" t="s">
        <v>4288</v>
      </c>
      <c r="V101" t="str">
        <f t="shared" si="19"/>
        <v/>
      </c>
      <c r="W101" t="str">
        <f t="shared" si="18"/>
        <v/>
      </c>
    </row>
    <row r="102" spans="1:23">
      <c r="A102">
        <f>'IPTV US'!A93</f>
        <v>10192</v>
      </c>
      <c r="B102" t="str">
        <f>T('IPTV US'!B93)</f>
        <v>Wild 'N Out</v>
      </c>
      <c r="C102" t="s">
        <v>4288</v>
      </c>
      <c r="D102" t="str">
        <f t="shared" si="12"/>
        <v/>
      </c>
      <c r="E102" t="str">
        <f t="shared" si="13"/>
        <v/>
      </c>
      <c r="F102" s="68" t="s">
        <v>4289</v>
      </c>
      <c r="G102">
        <f>'IPTV CA'!A93</f>
        <v>10492</v>
      </c>
      <c r="H102" t="str">
        <f>T('IPTV CA'!B93)</f>
        <v/>
      </c>
      <c r="I102" t="s">
        <v>4290</v>
      </c>
      <c r="J102" t="str">
        <f t="shared" si="14"/>
        <v/>
      </c>
      <c r="K102" t="str">
        <f t="shared" si="16"/>
        <v/>
      </c>
      <c r="L102" s="69"/>
      <c r="M102">
        <f>'TMIS US'!A93</f>
        <v>8192</v>
      </c>
      <c r="N102" t="str">
        <f>T('TMIS US'!B93)</f>
        <v>Wild 'N Out</v>
      </c>
      <c r="O102" t="s">
        <v>4288</v>
      </c>
      <c r="P102" t="str">
        <f t="shared" si="15"/>
        <v/>
      </c>
      <c r="Q102" t="str">
        <f t="shared" si="17"/>
        <v/>
      </c>
      <c r="R102" s="69"/>
      <c r="S102">
        <f>'TMIS CA'!A93</f>
        <v>9092</v>
      </c>
      <c r="T102" t="str">
        <f>T('TMIS CA'!B93)</f>
        <v/>
      </c>
      <c r="U102" t="s">
        <v>4290</v>
      </c>
      <c r="V102" t="str">
        <f t="shared" si="19"/>
        <v/>
      </c>
      <c r="W102" t="str">
        <f t="shared" si="18"/>
        <v/>
      </c>
    </row>
    <row r="103" spans="1:23">
      <c r="A103">
        <f>'IPTV US'!A94</f>
        <v>10193</v>
      </c>
      <c r="B103" t="str">
        <f>T('IPTV US'!B94)</f>
        <v/>
      </c>
      <c r="C103" t="s">
        <v>4290</v>
      </c>
      <c r="D103" t="str">
        <f t="shared" si="12"/>
        <v/>
      </c>
      <c r="E103" t="str">
        <f t="shared" si="13"/>
        <v/>
      </c>
      <c r="F103" s="68" t="s">
        <v>4289</v>
      </c>
      <c r="G103">
        <f>'IPTV CA'!A94</f>
        <v>10493</v>
      </c>
      <c r="H103" t="str">
        <f>T('IPTV CA'!B94)</f>
        <v/>
      </c>
      <c r="I103" t="s">
        <v>4290</v>
      </c>
      <c r="J103" t="str">
        <f t="shared" si="14"/>
        <v/>
      </c>
      <c r="K103" t="str">
        <f t="shared" si="16"/>
        <v/>
      </c>
      <c r="L103" s="69"/>
      <c r="M103">
        <f>'TMIS US'!A94</f>
        <v>8193</v>
      </c>
      <c r="N103" t="str">
        <f>T('TMIS US'!B94)</f>
        <v/>
      </c>
      <c r="O103" t="s">
        <v>4290</v>
      </c>
      <c r="P103" t="str">
        <f t="shared" si="15"/>
        <v/>
      </c>
      <c r="Q103" t="str">
        <f t="shared" si="17"/>
        <v/>
      </c>
      <c r="R103" s="69"/>
      <c r="S103">
        <f>'TMIS CA'!A94</f>
        <v>9093</v>
      </c>
      <c r="T103" t="str">
        <f>T('TMIS CA'!B94)</f>
        <v/>
      </c>
      <c r="U103" t="s">
        <v>4290</v>
      </c>
      <c r="V103" t="str">
        <f t="shared" si="19"/>
        <v/>
      </c>
      <c r="W103" t="str">
        <f t="shared" si="18"/>
        <v/>
      </c>
    </row>
    <row r="104" spans="1:23">
      <c r="A104">
        <f>'IPTV US'!A95</f>
        <v>10194</v>
      </c>
      <c r="B104" t="str">
        <f>T('IPTV US'!B95)</f>
        <v>Pluto TV Cars</v>
      </c>
      <c r="C104" t="s">
        <v>4288</v>
      </c>
      <c r="D104" t="str">
        <f t="shared" si="12"/>
        <v/>
      </c>
      <c r="E104" t="str">
        <f t="shared" si="13"/>
        <v/>
      </c>
      <c r="F104" s="68" t="s">
        <v>4289</v>
      </c>
      <c r="G104">
        <f>'IPTV CA'!A95</f>
        <v>10494</v>
      </c>
      <c r="H104" t="str">
        <f>T('IPTV CA'!B95)</f>
        <v>ZenLIFE by Stingray</v>
      </c>
      <c r="I104" t="s">
        <v>4288</v>
      </c>
      <c r="J104" t="str">
        <f t="shared" si="14"/>
        <v/>
      </c>
      <c r="K104" t="str">
        <f t="shared" si="16"/>
        <v/>
      </c>
      <c r="L104" s="69"/>
      <c r="M104">
        <f>'TMIS US'!A95</f>
        <v>8194</v>
      </c>
      <c r="N104" t="str">
        <f>T('TMIS US'!B95)</f>
        <v>Pluto TV Cars</v>
      </c>
      <c r="O104" t="s">
        <v>4288</v>
      </c>
      <c r="P104" t="str">
        <f t="shared" si="15"/>
        <v/>
      </c>
      <c r="Q104" t="str">
        <f t="shared" si="17"/>
        <v/>
      </c>
      <c r="R104" s="69"/>
      <c r="S104">
        <f>'TMIS CA'!A95</f>
        <v>9094</v>
      </c>
      <c r="T104" t="str">
        <f>T('TMIS CA'!B95)</f>
        <v>ZenLIFE by Stingray</v>
      </c>
      <c r="U104" t="s">
        <v>4288</v>
      </c>
      <c r="V104" t="str">
        <f t="shared" si="19"/>
        <v/>
      </c>
      <c r="W104" t="str">
        <f t="shared" si="18"/>
        <v/>
      </c>
    </row>
    <row r="105" spans="1:23">
      <c r="A105">
        <f>'IPTV US'!A96</f>
        <v>10195</v>
      </c>
      <c r="B105" t="str">
        <f>T('IPTV US'!B96)</f>
        <v/>
      </c>
      <c r="C105" t="s">
        <v>4290</v>
      </c>
      <c r="D105" t="str">
        <f t="shared" si="12"/>
        <v/>
      </c>
      <c r="E105" t="str">
        <f t="shared" si="13"/>
        <v/>
      </c>
      <c r="F105" s="68" t="s">
        <v>4289</v>
      </c>
      <c r="G105">
        <f>'IPTV CA'!A96</f>
        <v>10495</v>
      </c>
      <c r="H105" t="str">
        <f>T('IPTV CA'!B96)</f>
        <v>Utimate Trivia by Stingray</v>
      </c>
      <c r="I105" t="s">
        <v>4288</v>
      </c>
      <c r="J105" t="str">
        <f t="shared" si="14"/>
        <v/>
      </c>
      <c r="K105" t="str">
        <f t="shared" si="16"/>
        <v/>
      </c>
      <c r="L105" s="69"/>
      <c r="M105">
        <f>'TMIS US'!A96</f>
        <v>8195</v>
      </c>
      <c r="N105" t="str">
        <f>T('TMIS US'!B96)</f>
        <v/>
      </c>
      <c r="O105" t="s">
        <v>4290</v>
      </c>
      <c r="P105" t="str">
        <f t="shared" si="15"/>
        <v/>
      </c>
      <c r="Q105" t="str">
        <f t="shared" si="17"/>
        <v/>
      </c>
      <c r="R105" s="69"/>
      <c r="S105">
        <f>'TMIS CA'!A96</f>
        <v>9095</v>
      </c>
      <c r="T105" t="str">
        <f>T('TMIS CA'!B96)</f>
        <v>Utimate Trivia by Stingray</v>
      </c>
      <c r="U105" t="s">
        <v>4288</v>
      </c>
      <c r="V105" t="str">
        <f t="shared" si="19"/>
        <v/>
      </c>
      <c r="W105" t="str">
        <f t="shared" si="18"/>
        <v/>
      </c>
    </row>
    <row r="106" spans="1:23">
      <c r="A106">
        <f>'IPTV US'!A97</f>
        <v>10196</v>
      </c>
      <c r="B106" t="str">
        <f>T('IPTV US'!B97)</f>
        <v/>
      </c>
      <c r="C106" t="s">
        <v>4290</v>
      </c>
      <c r="D106" t="str">
        <f t="shared" si="12"/>
        <v/>
      </c>
      <c r="E106" t="str">
        <f t="shared" si="13"/>
        <v/>
      </c>
      <c r="F106" s="68" t="s">
        <v>4289</v>
      </c>
      <c r="G106">
        <f>'IPTV CA'!A97</f>
        <v>10496</v>
      </c>
      <c r="H106" t="str">
        <f>T('IPTV CA'!B97)</f>
        <v/>
      </c>
      <c r="I106" t="s">
        <v>4290</v>
      </c>
      <c r="J106" t="str">
        <f t="shared" si="14"/>
        <v/>
      </c>
      <c r="K106" t="str">
        <f t="shared" si="16"/>
        <v/>
      </c>
      <c r="L106" s="69"/>
      <c r="M106">
        <f>'TMIS US'!A97</f>
        <v>8196</v>
      </c>
      <c r="N106" t="str">
        <f>T('TMIS US'!B97)</f>
        <v/>
      </c>
      <c r="O106" t="s">
        <v>4290</v>
      </c>
      <c r="P106" t="str">
        <f t="shared" si="15"/>
        <v/>
      </c>
      <c r="Q106" t="str">
        <f t="shared" si="17"/>
        <v/>
      </c>
      <c r="R106" s="69"/>
      <c r="S106">
        <f>'TMIS CA'!A97</f>
        <v>9096</v>
      </c>
      <c r="T106" t="str">
        <f>T('TMIS CA'!B97)</f>
        <v/>
      </c>
      <c r="U106" t="s">
        <v>4290</v>
      </c>
      <c r="V106" t="str">
        <f t="shared" si="19"/>
        <v/>
      </c>
      <c r="W106" t="str">
        <f t="shared" si="18"/>
        <v/>
      </c>
    </row>
    <row r="107" spans="1:23">
      <c r="A107">
        <f>'IPTV US'!A98</f>
        <v>10197</v>
      </c>
      <c r="B107" t="str">
        <f>T('IPTV US'!B98)</f>
        <v/>
      </c>
      <c r="C107" t="s">
        <v>4290</v>
      </c>
      <c r="D107" t="str">
        <f t="shared" si="12"/>
        <v/>
      </c>
      <c r="E107" t="str">
        <f t="shared" si="13"/>
        <v/>
      </c>
      <c r="F107" s="68" t="s">
        <v>4289</v>
      </c>
      <c r="G107">
        <f>'IPTV CA'!A98</f>
        <v>10497</v>
      </c>
      <c r="H107" t="str">
        <f>T('IPTV CA'!B98)</f>
        <v/>
      </c>
      <c r="I107" t="s">
        <v>4290</v>
      </c>
      <c r="J107" t="str">
        <f t="shared" si="14"/>
        <v/>
      </c>
      <c r="K107" t="str">
        <f t="shared" si="16"/>
        <v/>
      </c>
      <c r="L107" s="69"/>
      <c r="M107">
        <f>'TMIS US'!A98</f>
        <v>8197</v>
      </c>
      <c r="N107" t="str">
        <f>T('TMIS US'!B98)</f>
        <v/>
      </c>
      <c r="O107" t="s">
        <v>4290</v>
      </c>
      <c r="P107" t="str">
        <f t="shared" si="15"/>
        <v/>
      </c>
      <c r="Q107" t="str">
        <f t="shared" si="17"/>
        <v/>
      </c>
      <c r="R107" s="69"/>
      <c r="S107">
        <f>'TMIS CA'!A98</f>
        <v>9097</v>
      </c>
      <c r="T107" t="str">
        <f>T('TMIS CA'!B98)</f>
        <v/>
      </c>
      <c r="U107" t="s">
        <v>4290</v>
      </c>
      <c r="V107" t="str">
        <f t="shared" si="19"/>
        <v/>
      </c>
      <c r="W107" t="str">
        <f t="shared" si="18"/>
        <v/>
      </c>
    </row>
    <row r="108" spans="1:23">
      <c r="A108">
        <f>'IPTV US'!A99</f>
        <v>10198</v>
      </c>
      <c r="B108" t="str">
        <f>T('IPTV US'!B99)</f>
        <v>Survivor</v>
      </c>
      <c r="C108" t="s">
        <v>4288</v>
      </c>
      <c r="D108" t="str">
        <f t="shared" si="12"/>
        <v/>
      </c>
      <c r="E108" t="str">
        <f t="shared" si="13"/>
        <v/>
      </c>
      <c r="F108" s="68" t="s">
        <v>4289</v>
      </c>
      <c r="G108">
        <f>'IPTV CA'!A99</f>
        <v>10498</v>
      </c>
      <c r="H108" t="str">
        <f>T('IPTV CA'!B99)</f>
        <v/>
      </c>
      <c r="I108" t="s">
        <v>4290</v>
      </c>
      <c r="J108" t="str">
        <f t="shared" si="14"/>
        <v/>
      </c>
      <c r="K108" t="str">
        <f t="shared" si="16"/>
        <v/>
      </c>
      <c r="L108" s="69"/>
      <c r="M108">
        <f>'TMIS US'!A99</f>
        <v>8198</v>
      </c>
      <c r="N108" t="str">
        <f>T('TMIS US'!B99)</f>
        <v>Survivor</v>
      </c>
      <c r="O108" t="s">
        <v>4288</v>
      </c>
      <c r="P108" t="str">
        <f t="shared" si="15"/>
        <v/>
      </c>
      <c r="Q108" t="str">
        <f t="shared" si="17"/>
        <v/>
      </c>
      <c r="R108" s="69"/>
      <c r="S108">
        <f>'TMIS CA'!A99</f>
        <v>9098</v>
      </c>
      <c r="T108" t="str">
        <f>T('TMIS CA'!B99)</f>
        <v/>
      </c>
      <c r="U108" t="s">
        <v>4290</v>
      </c>
      <c r="V108" t="str">
        <f t="shared" si="19"/>
        <v/>
      </c>
      <c r="W108" t="str">
        <f t="shared" si="18"/>
        <v/>
      </c>
    </row>
    <row r="109" spans="1:23">
      <c r="A109">
        <f>'IPTV US'!A100</f>
        <v>10199</v>
      </c>
      <c r="B109" t="str">
        <f>T('IPTV US'!B100)</f>
        <v>The Amazing Race</v>
      </c>
      <c r="C109" t="s">
        <v>4288</v>
      </c>
      <c r="D109" t="str">
        <f t="shared" si="12"/>
        <v/>
      </c>
      <c r="E109" t="str">
        <f t="shared" si="13"/>
        <v/>
      </c>
      <c r="F109" s="68" t="s">
        <v>4289</v>
      </c>
      <c r="G109">
        <f>'IPTV CA'!A100</f>
        <v>10499</v>
      </c>
      <c r="H109" t="str">
        <f>T('IPTV CA'!B100)</f>
        <v/>
      </c>
      <c r="I109" t="s">
        <v>4290</v>
      </c>
      <c r="J109" t="str">
        <f t="shared" si="14"/>
        <v/>
      </c>
      <c r="K109" t="str">
        <f t="shared" si="16"/>
        <v/>
      </c>
      <c r="L109" s="69"/>
      <c r="M109">
        <f>'TMIS US'!A100</f>
        <v>8199</v>
      </c>
      <c r="N109" t="str">
        <f>T('TMIS US'!B100)</f>
        <v>The Amazing Race</v>
      </c>
      <c r="O109" t="s">
        <v>4288</v>
      </c>
      <c r="P109" t="str">
        <f t="shared" si="15"/>
        <v/>
      </c>
      <c r="Q109" t="str">
        <f t="shared" si="17"/>
        <v/>
      </c>
      <c r="R109" s="69"/>
      <c r="S109">
        <f>'TMIS CA'!A100</f>
        <v>9099</v>
      </c>
      <c r="T109" t="str">
        <f>T('TMIS CA'!B100)</f>
        <v/>
      </c>
      <c r="U109" t="s">
        <v>4290</v>
      </c>
      <c r="V109" t="str">
        <f t="shared" si="19"/>
        <v/>
      </c>
      <c r="W109" t="str">
        <f t="shared" si="18"/>
        <v/>
      </c>
    </row>
    <row r="110" spans="1:23">
      <c r="A110">
        <f>'IPTV US'!A101</f>
        <v>10200</v>
      </c>
      <c r="B110" t="str">
        <f>T('IPTV US'!B101)</f>
        <v>The Challenge</v>
      </c>
      <c r="C110" t="s">
        <v>4288</v>
      </c>
      <c r="D110" t="str">
        <f t="shared" si="12"/>
        <v/>
      </c>
      <c r="E110" t="str">
        <f t="shared" si="13"/>
        <v/>
      </c>
      <c r="F110" s="68" t="s">
        <v>4289</v>
      </c>
      <c r="G110">
        <f>'IPTV CA'!A101</f>
        <v>10500</v>
      </c>
      <c r="H110" t="str">
        <f>T('IPTV CA'!B101)</f>
        <v/>
      </c>
      <c r="I110" t="s">
        <v>4290</v>
      </c>
      <c r="J110" t="str">
        <f t="shared" si="14"/>
        <v/>
      </c>
      <c r="K110" t="str">
        <f t="shared" si="16"/>
        <v/>
      </c>
      <c r="L110" s="69"/>
      <c r="M110">
        <f>'TMIS US'!A101</f>
        <v>8200</v>
      </c>
      <c r="N110" t="str">
        <f>T('TMIS US'!B101)</f>
        <v>The Challenge</v>
      </c>
      <c r="O110" t="s">
        <v>4288</v>
      </c>
      <c r="P110" t="str">
        <f t="shared" si="15"/>
        <v/>
      </c>
      <c r="Q110" t="str">
        <f t="shared" si="17"/>
        <v/>
      </c>
      <c r="R110" s="69"/>
      <c r="S110">
        <f>'TMIS CA'!A101</f>
        <v>9100</v>
      </c>
      <c r="T110" t="str">
        <f>T('TMIS CA'!B101)</f>
        <v/>
      </c>
      <c r="U110" t="s">
        <v>4290</v>
      </c>
      <c r="V110" t="str">
        <f t="shared" si="19"/>
        <v/>
      </c>
      <c r="W110" t="str">
        <f t="shared" si="18"/>
        <v/>
      </c>
    </row>
    <row r="111" spans="1:23">
      <c r="A111">
        <f>'IPTV US'!A102</f>
        <v>10201</v>
      </c>
      <c r="B111" t="str">
        <f>T('IPTV US'!B102)</f>
        <v>MTV Pluto TV</v>
      </c>
      <c r="C111" t="s">
        <v>4288</v>
      </c>
      <c r="D111" t="str">
        <f t="shared" si="12"/>
        <v/>
      </c>
      <c r="E111" t="str">
        <f t="shared" si="13"/>
        <v/>
      </c>
      <c r="F111" s="68" t="s">
        <v>4289</v>
      </c>
      <c r="G111">
        <f>'IPTV CA'!A102</f>
        <v>10701</v>
      </c>
      <c r="H111" t="str">
        <f>T('IPTV CA'!B102)</f>
        <v/>
      </c>
      <c r="I111" t="s">
        <v>4290</v>
      </c>
      <c r="J111" t="str">
        <f t="shared" si="14"/>
        <v/>
      </c>
      <c r="K111" t="str">
        <f t="shared" si="16"/>
        <v/>
      </c>
      <c r="L111" s="69"/>
      <c r="M111">
        <f>'TMIS US'!A102</f>
        <v>8201</v>
      </c>
      <c r="N111" t="str">
        <f>T('TMIS US'!B102)</f>
        <v>MTV Pluto TV</v>
      </c>
      <c r="O111" t="s">
        <v>4288</v>
      </c>
      <c r="P111" t="str">
        <f t="shared" si="15"/>
        <v/>
      </c>
      <c r="Q111" t="str">
        <f t="shared" si="17"/>
        <v/>
      </c>
      <c r="R111" s="69"/>
      <c r="S111">
        <f>'TMIS CA'!A102</f>
        <v>9301</v>
      </c>
      <c r="T111" t="str">
        <f>T('TMIS CA'!B102)</f>
        <v/>
      </c>
      <c r="U111" t="s">
        <v>4290</v>
      </c>
      <c r="V111" t="str">
        <f t="shared" si="19"/>
        <v/>
      </c>
      <c r="W111" t="str">
        <f t="shared" si="18"/>
        <v/>
      </c>
    </row>
    <row r="112" spans="1:23">
      <c r="A112">
        <f>'IPTV US'!A103</f>
        <v>10202</v>
      </c>
      <c r="B112" t="str">
        <f>T('IPTV US'!B103)</f>
        <v>Jersey Shore</v>
      </c>
      <c r="C112" t="s">
        <v>4288</v>
      </c>
      <c r="D112" t="str">
        <f t="shared" si="12"/>
        <v/>
      </c>
      <c r="E112" t="str">
        <f t="shared" si="13"/>
        <v/>
      </c>
      <c r="F112" s="68" t="s">
        <v>4289</v>
      </c>
      <c r="G112">
        <f>'IPTV CA'!A103</f>
        <v>10702</v>
      </c>
      <c r="H112" t="str">
        <f>T('IPTV CA'!B103)</f>
        <v/>
      </c>
      <c r="I112" t="s">
        <v>4290</v>
      </c>
      <c r="J112" t="str">
        <f t="shared" si="14"/>
        <v/>
      </c>
      <c r="K112" t="str">
        <f t="shared" si="16"/>
        <v/>
      </c>
      <c r="L112" s="69"/>
      <c r="M112">
        <f>'TMIS US'!A103</f>
        <v>8202</v>
      </c>
      <c r="N112" t="str">
        <f>T('TMIS US'!B103)</f>
        <v>Jersey Shore</v>
      </c>
      <c r="O112" t="s">
        <v>4288</v>
      </c>
      <c r="P112" t="str">
        <f t="shared" si="15"/>
        <v/>
      </c>
      <c r="Q112" t="str">
        <f t="shared" si="17"/>
        <v/>
      </c>
      <c r="R112" s="69"/>
      <c r="S112">
        <f>'TMIS CA'!A103</f>
        <v>9302</v>
      </c>
      <c r="T112" t="str">
        <f>T('TMIS CA'!B103)</f>
        <v/>
      </c>
      <c r="U112" t="s">
        <v>4290</v>
      </c>
      <c r="V112" t="str">
        <f t="shared" si="19"/>
        <v/>
      </c>
      <c r="W112" t="str">
        <f t="shared" si="18"/>
        <v/>
      </c>
    </row>
    <row r="113" spans="1:23">
      <c r="A113">
        <f>'IPTV US'!A104</f>
        <v>10203</v>
      </c>
      <c r="B113" t="str">
        <f>T('IPTV US'!B104)</f>
        <v>Teen Mom</v>
      </c>
      <c r="C113" t="s">
        <v>4288</v>
      </c>
      <c r="D113" t="str">
        <f t="shared" si="12"/>
        <v/>
      </c>
      <c r="E113" t="str">
        <f t="shared" si="13"/>
        <v/>
      </c>
      <c r="F113" s="68" t="s">
        <v>4289</v>
      </c>
      <c r="G113">
        <f>'IPTV CA'!A104</f>
        <v>10703</v>
      </c>
      <c r="H113" t="str">
        <f>T('IPTV CA'!B104)</f>
        <v/>
      </c>
      <c r="I113" t="s">
        <v>4290</v>
      </c>
      <c r="J113" t="str">
        <f t="shared" si="14"/>
        <v/>
      </c>
      <c r="K113" t="str">
        <f t="shared" si="16"/>
        <v/>
      </c>
      <c r="L113" s="69"/>
      <c r="M113">
        <f>'TMIS US'!A104</f>
        <v>8203</v>
      </c>
      <c r="N113" t="str">
        <f>T('TMIS US'!B104)</f>
        <v>Teen Mom</v>
      </c>
      <c r="O113" t="s">
        <v>4288</v>
      </c>
      <c r="P113" t="str">
        <f t="shared" si="15"/>
        <v/>
      </c>
      <c r="Q113" t="str">
        <f t="shared" si="17"/>
        <v/>
      </c>
      <c r="R113" s="69"/>
      <c r="S113">
        <f>'TMIS CA'!A104</f>
        <v>9303</v>
      </c>
      <c r="T113" t="str">
        <f>T('TMIS CA'!B104)</f>
        <v/>
      </c>
      <c r="U113" t="s">
        <v>4290</v>
      </c>
      <c r="V113" t="str">
        <f t="shared" si="19"/>
        <v/>
      </c>
      <c r="W113" t="str">
        <f t="shared" si="18"/>
        <v/>
      </c>
    </row>
    <row r="114" spans="1:23">
      <c r="A114">
        <f>'IPTV US'!A105</f>
        <v>10204</v>
      </c>
      <c r="B114" t="str">
        <f>T('IPTV US'!B105)</f>
        <v/>
      </c>
      <c r="C114" t="s">
        <v>4290</v>
      </c>
      <c r="D114" t="str">
        <f t="shared" si="12"/>
        <v/>
      </c>
      <c r="E114" t="str">
        <f t="shared" si="13"/>
        <v/>
      </c>
      <c r="F114" s="68" t="s">
        <v>4289</v>
      </c>
      <c r="G114">
        <f>'IPTV CA'!A105</f>
        <v>10704</v>
      </c>
      <c r="H114" t="str">
        <f>T('IPTV CA'!B105)</f>
        <v>CTV News</v>
      </c>
      <c r="I114" t="s">
        <v>4288</v>
      </c>
      <c r="J114" t="str">
        <f t="shared" si="14"/>
        <v/>
      </c>
      <c r="K114" t="str">
        <f t="shared" si="16"/>
        <v/>
      </c>
      <c r="L114" s="69"/>
      <c r="M114">
        <f>'TMIS US'!A105</f>
        <v>8204</v>
      </c>
      <c r="N114" t="str">
        <f>T('TMIS US'!B105)</f>
        <v/>
      </c>
      <c r="O114" t="s">
        <v>4290</v>
      </c>
      <c r="P114" t="str">
        <f t="shared" si="15"/>
        <v/>
      </c>
      <c r="Q114" t="str">
        <f t="shared" si="17"/>
        <v/>
      </c>
      <c r="R114" s="69"/>
      <c r="S114">
        <f>'TMIS CA'!A105</f>
        <v>9304</v>
      </c>
      <c r="T114" t="str">
        <f>T('TMIS CA'!B105)</f>
        <v>CTV News</v>
      </c>
      <c r="U114" t="s">
        <v>4288</v>
      </c>
      <c r="V114" t="str">
        <f t="shared" si="19"/>
        <v/>
      </c>
      <c r="W114" t="str">
        <f t="shared" si="18"/>
        <v/>
      </c>
    </row>
    <row r="115" spans="1:23">
      <c r="A115">
        <f>'IPTV US'!A106</f>
        <v>10205</v>
      </c>
      <c r="B115" t="str">
        <f>T('IPTV US'!B106)</f>
        <v/>
      </c>
      <c r="C115" t="s">
        <v>4290</v>
      </c>
      <c r="D115" t="str">
        <f t="shared" si="12"/>
        <v/>
      </c>
      <c r="E115" t="str">
        <f t="shared" si="13"/>
        <v/>
      </c>
      <c r="F115" s="68" t="s">
        <v>4289</v>
      </c>
      <c r="G115">
        <f>'IPTV CA'!A106</f>
        <v>10705</v>
      </c>
      <c r="H115" t="str">
        <f>T('IPTV CA'!B106)</f>
        <v>CBC News Explore</v>
      </c>
      <c r="I115" t="s">
        <v>4288</v>
      </c>
      <c r="J115" t="str">
        <f t="shared" si="14"/>
        <v/>
      </c>
      <c r="K115" t="str">
        <f t="shared" si="16"/>
        <v/>
      </c>
      <c r="L115" s="69"/>
      <c r="M115">
        <f>'TMIS US'!A106</f>
        <v>8205</v>
      </c>
      <c r="N115" t="str">
        <f>T('TMIS US'!B106)</f>
        <v/>
      </c>
      <c r="O115" t="s">
        <v>4290</v>
      </c>
      <c r="P115" t="str">
        <f t="shared" si="15"/>
        <v/>
      </c>
      <c r="Q115" t="str">
        <f t="shared" si="17"/>
        <v/>
      </c>
      <c r="R115" s="69"/>
      <c r="S115">
        <f>'TMIS CA'!A106</f>
        <v>9305</v>
      </c>
      <c r="T115" t="str">
        <f>T('TMIS CA'!B106)</f>
        <v>CBC News Explore</v>
      </c>
      <c r="U115" t="s">
        <v>4288</v>
      </c>
      <c r="V115" t="str">
        <f t="shared" si="19"/>
        <v/>
      </c>
      <c r="W115" t="str">
        <f t="shared" si="18"/>
        <v/>
      </c>
    </row>
    <row r="116" spans="1:23">
      <c r="A116">
        <f>'IPTV US'!A107</f>
        <v>10206</v>
      </c>
      <c r="B116" t="str">
        <f>T('IPTV US'!B107)</f>
        <v/>
      </c>
      <c r="C116" t="s">
        <v>4290</v>
      </c>
      <c r="D116" t="str">
        <f t="shared" si="12"/>
        <v/>
      </c>
      <c r="E116" t="str">
        <f t="shared" si="13"/>
        <v/>
      </c>
      <c r="F116" s="68" t="s">
        <v>4289</v>
      </c>
      <c r="G116">
        <f>'IPTV CA'!A107</f>
        <v>10706</v>
      </c>
      <c r="H116" t="str">
        <f>T('IPTV CA'!B107)</f>
        <v/>
      </c>
      <c r="I116" t="s">
        <v>4290</v>
      </c>
      <c r="J116" t="str">
        <f t="shared" si="14"/>
        <v/>
      </c>
      <c r="K116" t="str">
        <f t="shared" si="16"/>
        <v/>
      </c>
      <c r="L116" s="69"/>
      <c r="M116">
        <f>'TMIS US'!A107</f>
        <v>8206</v>
      </c>
      <c r="N116" t="str">
        <f>T('TMIS US'!B107)</f>
        <v/>
      </c>
      <c r="O116" t="s">
        <v>4290</v>
      </c>
      <c r="P116" t="str">
        <f t="shared" si="15"/>
        <v/>
      </c>
      <c r="Q116" t="str">
        <f t="shared" si="17"/>
        <v/>
      </c>
      <c r="R116" s="69"/>
      <c r="S116">
        <f>'TMIS CA'!A107</f>
        <v>9306</v>
      </c>
      <c r="T116" t="str">
        <f>T('TMIS CA'!B107)</f>
        <v/>
      </c>
      <c r="U116" t="s">
        <v>4290</v>
      </c>
      <c r="V116" t="str">
        <f t="shared" si="19"/>
        <v/>
      </c>
      <c r="W116" t="str">
        <f t="shared" si="18"/>
        <v/>
      </c>
    </row>
    <row r="117" spans="1:23">
      <c r="A117">
        <f>'IPTV US'!A108</f>
        <v>10207</v>
      </c>
      <c r="B117" t="str">
        <f>T('IPTV US'!B108)</f>
        <v/>
      </c>
      <c r="C117" t="s">
        <v>4290</v>
      </c>
      <c r="D117" t="str">
        <f t="shared" si="12"/>
        <v/>
      </c>
      <c r="E117" t="str">
        <f t="shared" si="13"/>
        <v/>
      </c>
      <c r="F117" s="68" t="s">
        <v>4289</v>
      </c>
      <c r="G117">
        <f>'IPTV CA'!A108</f>
        <v>10707</v>
      </c>
      <c r="H117" t="str">
        <f>T('IPTV CA'!B108)</f>
        <v/>
      </c>
      <c r="I117" t="s">
        <v>4290</v>
      </c>
      <c r="J117" t="str">
        <f t="shared" si="14"/>
        <v/>
      </c>
      <c r="K117" t="str">
        <f t="shared" si="16"/>
        <v/>
      </c>
      <c r="L117" s="69"/>
      <c r="M117">
        <f>'TMIS US'!A108</f>
        <v>8207</v>
      </c>
      <c r="N117" t="str">
        <f>T('TMIS US'!B108)</f>
        <v/>
      </c>
      <c r="O117" t="s">
        <v>4290</v>
      </c>
      <c r="P117" t="str">
        <f t="shared" si="15"/>
        <v/>
      </c>
      <c r="Q117" t="str">
        <f t="shared" si="17"/>
        <v/>
      </c>
      <c r="R117" s="69"/>
      <c r="S117">
        <f>'TMIS CA'!A108</f>
        <v>9307</v>
      </c>
      <c r="T117" t="str">
        <f>T('TMIS CA'!B108)</f>
        <v/>
      </c>
      <c r="U117" t="s">
        <v>4290</v>
      </c>
      <c r="V117" t="str">
        <f t="shared" si="19"/>
        <v/>
      </c>
      <c r="W117" t="str">
        <f t="shared" si="18"/>
        <v/>
      </c>
    </row>
    <row r="118" spans="1:23">
      <c r="A118">
        <f>'IPTV US'!A109</f>
        <v>10208</v>
      </c>
      <c r="B118" t="str">
        <f>T('IPTV US'!B109)</f>
        <v/>
      </c>
      <c r="C118" t="s">
        <v>4290</v>
      </c>
      <c r="D118" t="str">
        <f t="shared" si="12"/>
        <v/>
      </c>
      <c r="E118" t="str">
        <f t="shared" si="13"/>
        <v/>
      </c>
      <c r="F118" s="68" t="s">
        <v>4289</v>
      </c>
      <c r="G118">
        <f>'IPTV CA'!A109</f>
        <v>10708</v>
      </c>
      <c r="H118" t="str">
        <f>T('IPTV CA'!B109)</f>
        <v>News 12 New York</v>
      </c>
      <c r="I118" t="s">
        <v>4288</v>
      </c>
      <c r="J118" t="str">
        <f t="shared" si="14"/>
        <v/>
      </c>
      <c r="K118" t="str">
        <f t="shared" si="16"/>
        <v/>
      </c>
      <c r="L118" s="69"/>
      <c r="M118">
        <f>'TMIS US'!A109</f>
        <v>8208</v>
      </c>
      <c r="N118" t="str">
        <f>T('TMIS US'!B109)</f>
        <v/>
      </c>
      <c r="O118" t="s">
        <v>4290</v>
      </c>
      <c r="P118" t="str">
        <f t="shared" si="15"/>
        <v/>
      </c>
      <c r="Q118" t="str">
        <f t="shared" si="17"/>
        <v/>
      </c>
      <c r="R118" s="69"/>
      <c r="S118">
        <f>'TMIS CA'!A109</f>
        <v>9308</v>
      </c>
      <c r="T118" t="str">
        <f>T('TMIS CA'!B109)</f>
        <v>News 12 New York</v>
      </c>
      <c r="U118" t="s">
        <v>4288</v>
      </c>
      <c r="V118" t="str">
        <f t="shared" si="19"/>
        <v/>
      </c>
      <c r="W118" t="str">
        <f t="shared" si="18"/>
        <v/>
      </c>
    </row>
    <row r="119" spans="1:23">
      <c r="A119">
        <f>'IPTV US'!A110</f>
        <v>10209</v>
      </c>
      <c r="B119" t="str">
        <f>T('IPTV US'!B110)</f>
        <v>BET Pluto TV</v>
      </c>
      <c r="C119" t="s">
        <v>4288</v>
      </c>
      <c r="D119" t="str">
        <f t="shared" si="12"/>
        <v/>
      </c>
      <c r="E119" t="str">
        <f t="shared" si="13"/>
        <v/>
      </c>
      <c r="F119" s="68" t="s">
        <v>4289</v>
      </c>
      <c r="G119">
        <f>'IPTV CA'!A110</f>
        <v>10709</v>
      </c>
      <c r="H119" t="str">
        <f>T('IPTV CA'!B110)</f>
        <v/>
      </c>
      <c r="I119" t="s">
        <v>4290</v>
      </c>
      <c r="J119" t="str">
        <f t="shared" si="14"/>
        <v/>
      </c>
      <c r="K119" t="str">
        <f t="shared" si="16"/>
        <v/>
      </c>
      <c r="L119" s="69"/>
      <c r="M119">
        <f>'TMIS US'!A110</f>
        <v>8209</v>
      </c>
      <c r="N119" t="str">
        <f>T('TMIS US'!B110)</f>
        <v>BET Pluto TV</v>
      </c>
      <c r="O119" t="s">
        <v>4288</v>
      </c>
      <c r="P119" t="str">
        <f t="shared" si="15"/>
        <v/>
      </c>
      <c r="Q119" t="str">
        <f t="shared" si="17"/>
        <v/>
      </c>
      <c r="R119" s="69"/>
      <c r="S119">
        <f>'TMIS CA'!A110</f>
        <v>9309</v>
      </c>
      <c r="T119" t="str">
        <f>T('TMIS CA'!B110)</f>
        <v/>
      </c>
      <c r="U119" t="s">
        <v>4290</v>
      </c>
      <c r="V119" t="str">
        <f t="shared" si="19"/>
        <v/>
      </c>
      <c r="W119" t="str">
        <f t="shared" si="18"/>
        <v/>
      </c>
    </row>
    <row r="120" spans="1:23">
      <c r="A120">
        <f>'IPTV US'!A111</f>
        <v>10210</v>
      </c>
      <c r="B120" t="str">
        <f>T('IPTV US'!B111)</f>
        <v/>
      </c>
      <c r="C120" t="s">
        <v>4290</v>
      </c>
      <c r="D120" t="str">
        <f t="shared" si="12"/>
        <v/>
      </c>
      <c r="E120" t="str">
        <f t="shared" si="13"/>
        <v/>
      </c>
      <c r="F120" s="68" t="s">
        <v>4289</v>
      </c>
      <c r="G120">
        <f>'IPTV CA'!A111</f>
        <v>10710</v>
      </c>
      <c r="H120" t="str">
        <f>T('IPTV CA'!B111)</f>
        <v/>
      </c>
      <c r="I120" t="s">
        <v>4290</v>
      </c>
      <c r="J120" t="str">
        <f t="shared" si="14"/>
        <v/>
      </c>
      <c r="K120" t="str">
        <f t="shared" si="16"/>
        <v/>
      </c>
      <c r="L120" s="69"/>
      <c r="M120">
        <f>'TMIS US'!A111</f>
        <v>8210</v>
      </c>
      <c r="N120" t="str">
        <f>T('TMIS US'!B111)</f>
        <v/>
      </c>
      <c r="O120" t="s">
        <v>4290</v>
      </c>
      <c r="P120" t="str">
        <f t="shared" si="15"/>
        <v/>
      </c>
      <c r="Q120" t="str">
        <f t="shared" si="17"/>
        <v/>
      </c>
      <c r="R120" s="69"/>
      <c r="S120">
        <f>'TMIS CA'!A111</f>
        <v>9310</v>
      </c>
      <c r="T120" t="str">
        <f>T('TMIS CA'!B111)</f>
        <v/>
      </c>
      <c r="U120" t="s">
        <v>4290</v>
      </c>
      <c r="V120" t="str">
        <f t="shared" si="19"/>
        <v/>
      </c>
      <c r="W120" t="str">
        <f t="shared" si="18"/>
        <v/>
      </c>
    </row>
    <row r="121" spans="1:23">
      <c r="A121">
        <f>'IPTV US'!A112</f>
        <v>10211</v>
      </c>
      <c r="B121" t="str">
        <f>T('IPTV US'!B112)</f>
        <v/>
      </c>
      <c r="C121" t="s">
        <v>4290</v>
      </c>
      <c r="D121" t="str">
        <f t="shared" si="12"/>
        <v/>
      </c>
      <c r="E121" t="str">
        <f t="shared" si="13"/>
        <v/>
      </c>
      <c r="F121" s="68" t="s">
        <v>4289</v>
      </c>
      <c r="G121">
        <f>'IPTV CA'!A112</f>
        <v>10711</v>
      </c>
      <c r="H121" t="str">
        <f>T('IPTV CA'!B112)</f>
        <v>Reuters TV</v>
      </c>
      <c r="I121" t="s">
        <v>4288</v>
      </c>
      <c r="J121" t="str">
        <f t="shared" si="14"/>
        <v/>
      </c>
      <c r="K121" t="str">
        <f t="shared" si="16"/>
        <v/>
      </c>
      <c r="L121" s="69"/>
      <c r="M121">
        <f>'TMIS US'!A112</f>
        <v>8211</v>
      </c>
      <c r="N121" t="str">
        <f>T('TMIS US'!B112)</f>
        <v/>
      </c>
      <c r="O121" t="s">
        <v>4290</v>
      </c>
      <c r="P121" t="str">
        <f t="shared" si="15"/>
        <v/>
      </c>
      <c r="Q121" t="str">
        <f t="shared" si="17"/>
        <v/>
      </c>
      <c r="R121" s="69"/>
      <c r="S121">
        <f>'TMIS CA'!A112</f>
        <v>9311</v>
      </c>
      <c r="T121" t="str">
        <f>T('TMIS CA'!B112)</f>
        <v>Reuters TV</v>
      </c>
      <c r="U121" t="s">
        <v>4288</v>
      </c>
      <c r="V121" t="str">
        <f t="shared" si="19"/>
        <v/>
      </c>
      <c r="W121" t="str">
        <f t="shared" si="18"/>
        <v/>
      </c>
    </row>
    <row r="122" spans="1:23">
      <c r="A122">
        <f>'IPTV US'!A113</f>
        <v>10212</v>
      </c>
      <c r="B122" t="str">
        <f>T('IPTV US'!B113)</f>
        <v>Love &amp; Hip Hop</v>
      </c>
      <c r="C122" t="s">
        <v>4288</v>
      </c>
      <c r="D122" t="str">
        <f t="shared" si="12"/>
        <v/>
      </c>
      <c r="E122" t="str">
        <f t="shared" si="13"/>
        <v/>
      </c>
      <c r="F122" s="68" t="s">
        <v>4289</v>
      </c>
      <c r="G122">
        <f>'IPTV CA'!A113</f>
        <v>10712</v>
      </c>
      <c r="H122" t="str">
        <f>T('IPTV CA'!B113)</f>
        <v>Newsmax2 TV</v>
      </c>
      <c r="I122" t="s">
        <v>4288</v>
      </c>
      <c r="J122" t="str">
        <f t="shared" si="14"/>
        <v/>
      </c>
      <c r="K122" t="str">
        <f t="shared" si="16"/>
        <v/>
      </c>
      <c r="L122" s="69"/>
      <c r="M122">
        <f>'TMIS US'!A113</f>
        <v>8212</v>
      </c>
      <c r="N122" t="str">
        <f>T('TMIS US'!B113)</f>
        <v>Love &amp; Hip Hop</v>
      </c>
      <c r="O122" t="s">
        <v>4288</v>
      </c>
      <c r="P122" t="str">
        <f t="shared" si="15"/>
        <v/>
      </c>
      <c r="Q122" t="str">
        <f t="shared" si="17"/>
        <v/>
      </c>
      <c r="R122" s="69"/>
      <c r="S122">
        <f>'TMIS CA'!A113</f>
        <v>9312</v>
      </c>
      <c r="T122" t="str">
        <f>T('TMIS CA'!B113)</f>
        <v>Newsmax2 TV</v>
      </c>
      <c r="U122" t="s">
        <v>4288</v>
      </c>
      <c r="V122" t="str">
        <f t="shared" si="19"/>
        <v/>
      </c>
      <c r="W122" t="str">
        <f t="shared" si="18"/>
        <v/>
      </c>
    </row>
    <row r="123" spans="1:23">
      <c r="A123">
        <f>'IPTV US'!A114</f>
        <v>10213</v>
      </c>
      <c r="B123" t="str">
        <f>T('IPTV US'!B114)</f>
        <v>Black Ink Crew</v>
      </c>
      <c r="C123" t="s">
        <v>4288</v>
      </c>
      <c r="D123" t="str">
        <f t="shared" si="12"/>
        <v/>
      </c>
      <c r="E123" t="str">
        <f t="shared" si="13"/>
        <v/>
      </c>
      <c r="F123" s="68" t="s">
        <v>4289</v>
      </c>
      <c r="G123">
        <f>'IPTV CA'!A114</f>
        <v>10713</v>
      </c>
      <c r="H123" t="str">
        <f>T('IPTV CA'!B114)</f>
        <v/>
      </c>
      <c r="I123" t="s">
        <v>4290</v>
      </c>
      <c r="J123" t="str">
        <f t="shared" si="14"/>
        <v/>
      </c>
      <c r="K123" t="str">
        <f t="shared" si="16"/>
        <v/>
      </c>
      <c r="L123" s="69"/>
      <c r="M123">
        <f>'TMIS US'!A114</f>
        <v>8213</v>
      </c>
      <c r="N123" t="str">
        <f>T('TMIS US'!B114)</f>
        <v>Black Ink Crew</v>
      </c>
      <c r="O123" t="s">
        <v>4288</v>
      </c>
      <c r="P123" t="str">
        <f t="shared" si="15"/>
        <v/>
      </c>
      <c r="Q123" t="str">
        <f t="shared" si="17"/>
        <v/>
      </c>
      <c r="R123" s="69"/>
      <c r="S123">
        <f>'TMIS CA'!A114</f>
        <v>9313</v>
      </c>
      <c r="T123" t="str">
        <f>T('TMIS CA'!B114)</f>
        <v/>
      </c>
      <c r="U123" t="s">
        <v>4290</v>
      </c>
      <c r="V123" t="str">
        <f t="shared" si="19"/>
        <v/>
      </c>
      <c r="W123" t="str">
        <f t="shared" si="18"/>
        <v/>
      </c>
    </row>
    <row r="124" spans="1:23">
      <c r="A124">
        <f>'IPTV US'!A115</f>
        <v>10214</v>
      </c>
      <c r="B124" t="str">
        <f>T('IPTV US'!B115)</f>
        <v>All Reality by WE TV</v>
      </c>
      <c r="C124" t="s">
        <v>4288</v>
      </c>
      <c r="D124" t="str">
        <f t="shared" si="12"/>
        <v/>
      </c>
      <c r="E124" t="str">
        <f t="shared" si="13"/>
        <v/>
      </c>
      <c r="F124" s="68" t="s">
        <v>4289</v>
      </c>
      <c r="G124">
        <f>'IPTV CA'!A115</f>
        <v>10714</v>
      </c>
      <c r="H124" t="str">
        <f>T('IPTV CA'!B115)</f>
        <v/>
      </c>
      <c r="I124" t="s">
        <v>4290</v>
      </c>
      <c r="J124" t="str">
        <f t="shared" si="14"/>
        <v/>
      </c>
      <c r="K124" t="str">
        <f t="shared" si="16"/>
        <v/>
      </c>
      <c r="L124" s="69"/>
      <c r="M124">
        <f>'TMIS US'!A115</f>
        <v>8214</v>
      </c>
      <c r="N124" t="str">
        <f>T('TMIS US'!B115)</f>
        <v>All Reality by WE TV</v>
      </c>
      <c r="O124" t="s">
        <v>4288</v>
      </c>
      <c r="P124" t="str">
        <f t="shared" si="15"/>
        <v/>
      </c>
      <c r="Q124" t="str">
        <f t="shared" si="17"/>
        <v/>
      </c>
      <c r="R124" s="69"/>
      <c r="S124">
        <f>'TMIS CA'!A115</f>
        <v>9314</v>
      </c>
      <c r="T124" t="str">
        <f>T('TMIS CA'!B115)</f>
        <v/>
      </c>
      <c r="U124" t="s">
        <v>4290</v>
      </c>
      <c r="V124" t="str">
        <f t="shared" si="19"/>
        <v/>
      </c>
      <c r="W124" t="str">
        <f t="shared" si="18"/>
        <v/>
      </c>
    </row>
    <row r="125" spans="1:23">
      <c r="A125">
        <f>'IPTV US'!A116</f>
        <v>10215</v>
      </c>
      <c r="B125" t="str">
        <f>T('IPTV US'!B116)</f>
        <v>Dallas Cowboys Cheerleaders</v>
      </c>
      <c r="C125" t="s">
        <v>4288</v>
      </c>
      <c r="D125" t="str">
        <f t="shared" si="12"/>
        <v/>
      </c>
      <c r="E125" t="str">
        <f t="shared" si="13"/>
        <v/>
      </c>
      <c r="F125" s="68" t="s">
        <v>4289</v>
      </c>
      <c r="G125">
        <f>'IPTV CA'!A116</f>
        <v>10715</v>
      </c>
      <c r="H125" t="str">
        <f>T('IPTV CA'!B116)</f>
        <v>USA TODAY</v>
      </c>
      <c r="I125" t="s">
        <v>4288</v>
      </c>
      <c r="J125" t="str">
        <f t="shared" si="14"/>
        <v/>
      </c>
      <c r="K125" t="str">
        <f t="shared" si="16"/>
        <v/>
      </c>
      <c r="L125" s="69"/>
      <c r="M125">
        <f>'TMIS US'!A116</f>
        <v>8215</v>
      </c>
      <c r="N125" t="str">
        <f>T('TMIS US'!B116)</f>
        <v>Dallas Cowboys Cheerleaders</v>
      </c>
      <c r="O125" t="s">
        <v>4288</v>
      </c>
      <c r="P125" t="str">
        <f t="shared" si="15"/>
        <v/>
      </c>
      <c r="Q125" t="str">
        <f t="shared" si="17"/>
        <v/>
      </c>
      <c r="R125" s="69"/>
      <c r="S125">
        <f>'TMIS CA'!A116</f>
        <v>9315</v>
      </c>
      <c r="T125" t="str">
        <f>T('TMIS CA'!B116)</f>
        <v>USA TODAY</v>
      </c>
      <c r="U125" t="s">
        <v>4288</v>
      </c>
      <c r="V125" t="str">
        <f t="shared" si="19"/>
        <v/>
      </c>
      <c r="W125" t="str">
        <f t="shared" si="18"/>
        <v/>
      </c>
    </row>
    <row r="126" spans="1:23">
      <c r="A126">
        <f>'IPTV US'!A117</f>
        <v>10216</v>
      </c>
      <c r="B126" t="str">
        <f>T('IPTV US'!B117)</f>
        <v>Smithsonian Channel Selects</v>
      </c>
      <c r="C126" t="s">
        <v>4288</v>
      </c>
      <c r="D126" t="str">
        <f t="shared" si="12"/>
        <v/>
      </c>
      <c r="E126" t="str">
        <f t="shared" si="13"/>
        <v/>
      </c>
      <c r="F126" s="68" t="s">
        <v>4289</v>
      </c>
      <c r="G126">
        <f>'IPTV CA'!A117</f>
        <v>10716</v>
      </c>
      <c r="H126" t="str">
        <f>T('IPTV CA'!B117)</f>
        <v>Cheddar</v>
      </c>
      <c r="I126" t="s">
        <v>4288</v>
      </c>
      <c r="J126" t="str">
        <f t="shared" si="14"/>
        <v/>
      </c>
      <c r="K126" t="str">
        <f t="shared" si="16"/>
        <v/>
      </c>
      <c r="L126" s="69"/>
      <c r="M126">
        <f>'TMIS US'!A117</f>
        <v>8216</v>
      </c>
      <c r="N126" t="str">
        <f>T('TMIS US'!B117)</f>
        <v>Smithsonian Channel Selects</v>
      </c>
      <c r="O126" t="s">
        <v>4288</v>
      </c>
      <c r="P126" t="str">
        <f t="shared" si="15"/>
        <v/>
      </c>
      <c r="Q126" t="str">
        <f t="shared" si="17"/>
        <v/>
      </c>
      <c r="R126" s="69"/>
      <c r="S126">
        <f>'TMIS CA'!A117</f>
        <v>9316</v>
      </c>
      <c r="T126" t="str">
        <f>T('TMIS CA'!B117)</f>
        <v>Cheddar</v>
      </c>
      <c r="U126" t="s">
        <v>4288</v>
      </c>
      <c r="V126" t="str">
        <f t="shared" si="19"/>
        <v/>
      </c>
      <c r="W126" t="str">
        <f t="shared" si="18"/>
        <v/>
      </c>
    </row>
    <row r="127" spans="1:23">
      <c r="A127">
        <f>'IPTV US'!A118</f>
        <v>10217</v>
      </c>
      <c r="B127" t="str">
        <f>T('IPTV US'!B118)</f>
        <v>60 Minutes</v>
      </c>
      <c r="C127" t="s">
        <v>4288</v>
      </c>
      <c r="D127" t="str">
        <f t="shared" si="12"/>
        <v/>
      </c>
      <c r="E127" t="str">
        <f t="shared" si="13"/>
        <v/>
      </c>
      <c r="F127" s="68" t="s">
        <v>4289</v>
      </c>
      <c r="G127">
        <f>'IPTV CA'!A118</f>
        <v>10717</v>
      </c>
      <c r="H127" t="str">
        <f>T('IPTV CA'!B118)</f>
        <v>Yahoo Finance</v>
      </c>
      <c r="I127" t="s">
        <v>4288</v>
      </c>
      <c r="J127" t="str">
        <f t="shared" si="14"/>
        <v/>
      </c>
      <c r="K127" t="str">
        <f t="shared" si="16"/>
        <v/>
      </c>
      <c r="L127" s="69"/>
      <c r="M127">
        <f>'TMIS US'!A118</f>
        <v>8217</v>
      </c>
      <c r="N127" t="str">
        <f>T('TMIS US'!B118)</f>
        <v>60 Minutes</v>
      </c>
      <c r="O127" t="s">
        <v>4288</v>
      </c>
      <c r="P127" t="str">
        <f t="shared" si="15"/>
        <v/>
      </c>
      <c r="Q127" t="str">
        <f t="shared" si="17"/>
        <v/>
      </c>
      <c r="R127" s="69"/>
      <c r="S127">
        <f>'TMIS CA'!A118</f>
        <v>9317</v>
      </c>
      <c r="T127" t="str">
        <f>T('TMIS CA'!B118)</f>
        <v>Yahoo Finance</v>
      </c>
      <c r="U127" t="s">
        <v>4288</v>
      </c>
      <c r="V127" t="str">
        <f t="shared" si="19"/>
        <v/>
      </c>
      <c r="W127" t="str">
        <f t="shared" si="18"/>
        <v/>
      </c>
    </row>
    <row r="128" spans="1:23">
      <c r="A128">
        <f>'IPTV US'!A119</f>
        <v>10218</v>
      </c>
      <c r="B128" t="str">
        <f>T('IPTV US'!B119)</f>
        <v/>
      </c>
      <c r="C128" t="s">
        <v>4290</v>
      </c>
      <c r="D128" t="str">
        <f t="shared" si="12"/>
        <v/>
      </c>
      <c r="E128" t="str">
        <f t="shared" si="13"/>
        <v/>
      </c>
      <c r="F128" s="68" t="s">
        <v>4289</v>
      </c>
      <c r="G128">
        <f>'IPTV CA'!A119</f>
        <v>10718</v>
      </c>
      <c r="H128" t="str">
        <f>T('IPTV CA'!B119)</f>
        <v/>
      </c>
      <c r="I128" t="s">
        <v>4290</v>
      </c>
      <c r="J128" t="str">
        <f t="shared" si="14"/>
        <v/>
      </c>
      <c r="K128" t="str">
        <f t="shared" si="16"/>
        <v/>
      </c>
      <c r="L128" s="69"/>
      <c r="M128">
        <f>'TMIS US'!A119</f>
        <v>8218</v>
      </c>
      <c r="N128" t="str">
        <f>T('TMIS US'!B119)</f>
        <v/>
      </c>
      <c r="O128" t="s">
        <v>4290</v>
      </c>
      <c r="P128" t="str">
        <f t="shared" si="15"/>
        <v/>
      </c>
      <c r="Q128" t="str">
        <f t="shared" si="17"/>
        <v/>
      </c>
      <c r="R128" s="69"/>
      <c r="S128">
        <f>'TMIS CA'!A119</f>
        <v>9318</v>
      </c>
      <c r="T128" t="str">
        <f>T('TMIS CA'!B119)</f>
        <v/>
      </c>
      <c r="U128" t="s">
        <v>4290</v>
      </c>
      <c r="V128" t="str">
        <f t="shared" si="19"/>
        <v/>
      </c>
      <c r="W128" t="str">
        <f t="shared" si="18"/>
        <v/>
      </c>
    </row>
    <row r="129" spans="1:23">
      <c r="A129">
        <f>'IPTV US'!A120</f>
        <v>10219</v>
      </c>
      <c r="B129" t="str">
        <f>T('IPTV US'!B120)</f>
        <v/>
      </c>
      <c r="C129" t="s">
        <v>4290</v>
      </c>
      <c r="D129" t="str">
        <f t="shared" si="12"/>
        <v/>
      </c>
      <c r="E129" t="str">
        <f t="shared" si="13"/>
        <v/>
      </c>
      <c r="F129" s="68" t="s">
        <v>4289</v>
      </c>
      <c r="G129">
        <f>'IPTV CA'!A120</f>
        <v>10719</v>
      </c>
      <c r="H129" t="str">
        <f>T('IPTV CA'!B120)</f>
        <v/>
      </c>
      <c r="I129" t="s">
        <v>4290</v>
      </c>
      <c r="J129" t="str">
        <f t="shared" si="14"/>
        <v/>
      </c>
      <c r="K129" t="str">
        <f t="shared" si="16"/>
        <v/>
      </c>
      <c r="L129" s="69"/>
      <c r="M129">
        <f>'TMIS US'!A120</f>
        <v>8219</v>
      </c>
      <c r="N129" t="str">
        <f>T('TMIS US'!B120)</f>
        <v/>
      </c>
      <c r="O129" t="s">
        <v>4290</v>
      </c>
      <c r="P129" t="str">
        <f t="shared" si="15"/>
        <v/>
      </c>
      <c r="Q129" t="str">
        <f t="shared" si="17"/>
        <v/>
      </c>
      <c r="R129" s="69"/>
      <c r="S129">
        <f>'TMIS CA'!A120</f>
        <v>9319</v>
      </c>
      <c r="T129" t="str">
        <f>T('TMIS CA'!B120)</f>
        <v/>
      </c>
      <c r="U129" t="s">
        <v>4290</v>
      </c>
      <c r="V129" t="str">
        <f t="shared" si="19"/>
        <v/>
      </c>
      <c r="W129" t="str">
        <f t="shared" si="18"/>
        <v/>
      </c>
    </row>
    <row r="130" spans="1:23">
      <c r="A130">
        <f>'IPTV US'!A121</f>
        <v>10220</v>
      </c>
      <c r="B130" t="str">
        <f>T('IPTV US'!B121)</f>
        <v>Antiques Roadshow UK</v>
      </c>
      <c r="C130" t="s">
        <v>4288</v>
      </c>
      <c r="D130" t="str">
        <f t="shared" si="12"/>
        <v/>
      </c>
      <c r="E130" t="str">
        <f t="shared" si="13"/>
        <v/>
      </c>
      <c r="F130" s="68" t="s">
        <v>4289</v>
      </c>
      <c r="G130">
        <f>'IPTV CA'!A121</f>
        <v>10720</v>
      </c>
      <c r="H130" t="str">
        <f>T('IPTV CA'!B121)</f>
        <v/>
      </c>
      <c r="I130" t="s">
        <v>4290</v>
      </c>
      <c r="J130" t="str">
        <f t="shared" si="14"/>
        <v/>
      </c>
      <c r="K130" t="str">
        <f t="shared" si="16"/>
        <v/>
      </c>
      <c r="L130" s="69"/>
      <c r="M130">
        <f>'TMIS US'!A121</f>
        <v>8220</v>
      </c>
      <c r="N130" t="str">
        <f>T('TMIS US'!B121)</f>
        <v>Antiques Roadshow UK</v>
      </c>
      <c r="O130" t="s">
        <v>4288</v>
      </c>
      <c r="P130" t="str">
        <f t="shared" si="15"/>
        <v/>
      </c>
      <c r="Q130" t="str">
        <f t="shared" si="17"/>
        <v/>
      </c>
      <c r="R130" s="69"/>
      <c r="S130">
        <f>'TMIS CA'!A121</f>
        <v>9320</v>
      </c>
      <c r="T130" t="str">
        <f>T('TMIS CA'!B121)</f>
        <v/>
      </c>
      <c r="U130" t="s">
        <v>4290</v>
      </c>
      <c r="V130" t="str">
        <f t="shared" si="19"/>
        <v/>
      </c>
      <c r="W130" t="str">
        <f t="shared" si="18"/>
        <v/>
      </c>
    </row>
    <row r="131" spans="1:23">
      <c r="A131">
        <f>'IPTV US'!A122</f>
        <v>10221</v>
      </c>
      <c r="B131" t="str">
        <f>T('IPTV US'!B122)</f>
        <v/>
      </c>
      <c r="C131" t="s">
        <v>4290</v>
      </c>
      <c r="D131" t="str">
        <f t="shared" si="12"/>
        <v/>
      </c>
      <c r="E131" t="str">
        <f t="shared" si="13"/>
        <v/>
      </c>
      <c r="F131" s="68" t="s">
        <v>4289</v>
      </c>
      <c r="G131">
        <f>'IPTV CA'!A122</f>
        <v>10721</v>
      </c>
      <c r="H131" t="str">
        <f>T('IPTV CA'!B122)</f>
        <v/>
      </c>
      <c r="I131" t="s">
        <v>4290</v>
      </c>
      <c r="J131" t="str">
        <f t="shared" si="14"/>
        <v/>
      </c>
      <c r="K131" t="str">
        <f t="shared" si="16"/>
        <v/>
      </c>
      <c r="L131" s="69"/>
      <c r="M131">
        <f>'TMIS US'!A122</f>
        <v>8221</v>
      </c>
      <c r="N131" t="str">
        <f>T('TMIS US'!B122)</f>
        <v/>
      </c>
      <c r="O131" t="s">
        <v>4290</v>
      </c>
      <c r="P131" t="str">
        <f t="shared" si="15"/>
        <v/>
      </c>
      <c r="Q131" t="str">
        <f t="shared" si="17"/>
        <v/>
      </c>
      <c r="R131" s="69"/>
      <c r="S131">
        <f>'TMIS CA'!A122</f>
        <v>9321</v>
      </c>
      <c r="T131" t="str">
        <f>T('TMIS CA'!B122)</f>
        <v/>
      </c>
      <c r="U131" t="s">
        <v>4290</v>
      </c>
      <c r="V131" t="str">
        <f t="shared" si="19"/>
        <v/>
      </c>
      <c r="W131" t="str">
        <f t="shared" si="18"/>
        <v/>
      </c>
    </row>
    <row r="132" spans="1:23">
      <c r="A132">
        <f>'IPTV US'!A123</f>
        <v>10222</v>
      </c>
      <c r="B132" t="str">
        <f>T('IPTV US'!B123)</f>
        <v/>
      </c>
      <c r="C132" t="s">
        <v>4290</v>
      </c>
      <c r="D132" t="str">
        <f t="shared" si="12"/>
        <v/>
      </c>
      <c r="E132" t="str">
        <f t="shared" si="13"/>
        <v/>
      </c>
      <c r="F132" s="68" t="s">
        <v>4289</v>
      </c>
      <c r="G132">
        <f>'IPTV CA'!A123</f>
        <v>10722</v>
      </c>
      <c r="H132" t="str">
        <f>T('IPTV CA'!B123)</f>
        <v>FilmRise Free Movies</v>
      </c>
      <c r="I132" t="s">
        <v>4288</v>
      </c>
      <c r="J132" t="str">
        <f t="shared" si="14"/>
        <v/>
      </c>
      <c r="K132" t="str">
        <f t="shared" si="16"/>
        <v/>
      </c>
      <c r="L132" s="69"/>
      <c r="M132">
        <f>'TMIS US'!A123</f>
        <v>8222</v>
      </c>
      <c r="N132" t="str">
        <f>T('TMIS US'!B123)</f>
        <v/>
      </c>
      <c r="O132" t="s">
        <v>4290</v>
      </c>
      <c r="P132" t="str">
        <f t="shared" si="15"/>
        <v/>
      </c>
      <c r="Q132" t="str">
        <f t="shared" si="17"/>
        <v/>
      </c>
      <c r="R132" s="69"/>
      <c r="S132">
        <f>'TMIS CA'!A123</f>
        <v>9322</v>
      </c>
      <c r="T132" t="str">
        <f>T('TMIS CA'!B123)</f>
        <v>FilmRise Free Movies</v>
      </c>
      <c r="U132" t="s">
        <v>4288</v>
      </c>
      <c r="V132" t="str">
        <f t="shared" si="19"/>
        <v/>
      </c>
      <c r="W132" t="str">
        <f t="shared" si="18"/>
        <v/>
      </c>
    </row>
    <row r="133" spans="1:23">
      <c r="A133">
        <f>'IPTV US'!A124</f>
        <v>10223</v>
      </c>
      <c r="B133" t="str">
        <f>T('IPTV US'!B124)</f>
        <v/>
      </c>
      <c r="C133" t="s">
        <v>4290</v>
      </c>
      <c r="D133" t="str">
        <f t="shared" si="12"/>
        <v/>
      </c>
      <c r="E133" t="str">
        <f t="shared" si="13"/>
        <v/>
      </c>
      <c r="F133" s="68" t="s">
        <v>4289</v>
      </c>
      <c r="G133">
        <f>'IPTV CA'!A124</f>
        <v>10723</v>
      </c>
      <c r="H133" t="str">
        <f>T('IPTV CA'!B124)</f>
        <v>FilmRise Made In Canada</v>
      </c>
      <c r="I133" t="s">
        <v>4288</v>
      </c>
      <c r="J133" t="str">
        <f t="shared" si="14"/>
        <v/>
      </c>
      <c r="K133" t="str">
        <f t="shared" si="16"/>
        <v/>
      </c>
      <c r="L133" s="69"/>
      <c r="M133">
        <f>'TMIS US'!A124</f>
        <v>8223</v>
      </c>
      <c r="N133" t="str">
        <f>T('TMIS US'!B124)</f>
        <v/>
      </c>
      <c r="O133" t="s">
        <v>4290</v>
      </c>
      <c r="P133" t="str">
        <f t="shared" si="15"/>
        <v/>
      </c>
      <c r="Q133" t="str">
        <f t="shared" si="17"/>
        <v/>
      </c>
      <c r="R133" s="69"/>
      <c r="S133">
        <f>'TMIS CA'!A124</f>
        <v>9323</v>
      </c>
      <c r="T133" t="str">
        <f>T('TMIS CA'!B124)</f>
        <v>FilmRise Made In Canada</v>
      </c>
      <c r="U133" t="s">
        <v>4288</v>
      </c>
      <c r="V133" t="str">
        <f t="shared" si="19"/>
        <v/>
      </c>
      <c r="W133" t="str">
        <f t="shared" si="18"/>
        <v/>
      </c>
    </row>
    <row r="134" spans="1:23">
      <c r="A134">
        <f>'IPTV US'!A125</f>
        <v>10224</v>
      </c>
      <c r="B134" t="str">
        <f>T('IPTV US'!B125)</f>
        <v>This Old House</v>
      </c>
      <c r="C134" t="s">
        <v>4288</v>
      </c>
      <c r="D134" t="str">
        <f t="shared" si="12"/>
        <v/>
      </c>
      <c r="E134" t="str">
        <f t="shared" si="13"/>
        <v/>
      </c>
      <c r="F134" s="68" t="s">
        <v>4289</v>
      </c>
      <c r="G134">
        <f>'IPTV CA'!A125</f>
        <v>10724</v>
      </c>
      <c r="H134" t="str">
        <f>T('IPTV CA'!B125)</f>
        <v/>
      </c>
      <c r="I134" t="s">
        <v>4290</v>
      </c>
      <c r="J134" t="str">
        <f t="shared" si="14"/>
        <v/>
      </c>
      <c r="K134" t="str">
        <f t="shared" si="16"/>
        <v/>
      </c>
      <c r="L134" s="69"/>
      <c r="M134">
        <f>'TMIS US'!A125</f>
        <v>8224</v>
      </c>
      <c r="N134" t="str">
        <f>T('TMIS US'!B125)</f>
        <v>This Old House</v>
      </c>
      <c r="O134" t="s">
        <v>4288</v>
      </c>
      <c r="P134" t="str">
        <f t="shared" si="15"/>
        <v/>
      </c>
      <c r="Q134" t="str">
        <f t="shared" si="17"/>
        <v/>
      </c>
      <c r="R134" s="69"/>
      <c r="S134">
        <f>'TMIS CA'!A125</f>
        <v>9324</v>
      </c>
      <c r="T134" t="str">
        <f>T('TMIS CA'!B125)</f>
        <v/>
      </c>
      <c r="U134" t="s">
        <v>4290</v>
      </c>
      <c r="V134" t="str">
        <f t="shared" si="19"/>
        <v/>
      </c>
      <c r="W134" t="str">
        <f t="shared" si="18"/>
        <v/>
      </c>
    </row>
    <row r="135" spans="1:23">
      <c r="A135">
        <f>'IPTV US'!A126</f>
        <v>10225</v>
      </c>
      <c r="B135" t="str">
        <f>T('IPTV US'!B126)</f>
        <v>America's Test Kitchen</v>
      </c>
      <c r="C135" t="s">
        <v>4288</v>
      </c>
      <c r="D135" t="str">
        <f t="shared" si="12"/>
        <v/>
      </c>
      <c r="E135" t="str">
        <f t="shared" si="13"/>
        <v/>
      </c>
      <c r="F135" s="68" t="s">
        <v>4289</v>
      </c>
      <c r="G135">
        <f>'IPTV CA'!A126</f>
        <v>10725</v>
      </c>
      <c r="H135" t="str">
        <f>T('IPTV CA'!B126)</f>
        <v/>
      </c>
      <c r="I135" t="s">
        <v>4290</v>
      </c>
      <c r="J135" t="str">
        <f t="shared" si="14"/>
        <v/>
      </c>
      <c r="K135" t="str">
        <f t="shared" si="16"/>
        <v/>
      </c>
      <c r="L135" s="69"/>
      <c r="M135">
        <f>'TMIS US'!A126</f>
        <v>8225</v>
      </c>
      <c r="N135" t="str">
        <f>T('TMIS US'!B126)</f>
        <v>America's Test Kitchen</v>
      </c>
      <c r="O135" t="s">
        <v>4288</v>
      </c>
      <c r="P135" t="str">
        <f t="shared" si="15"/>
        <v/>
      </c>
      <c r="Q135" t="str">
        <f t="shared" si="17"/>
        <v/>
      </c>
      <c r="R135" s="69"/>
      <c r="S135">
        <f>'TMIS CA'!A126</f>
        <v>9325</v>
      </c>
      <c r="T135" t="str">
        <f>T('TMIS CA'!B126)</f>
        <v/>
      </c>
      <c r="U135" t="s">
        <v>4290</v>
      </c>
      <c r="V135" t="str">
        <f t="shared" si="19"/>
        <v/>
      </c>
      <c r="W135" t="str">
        <f t="shared" si="18"/>
        <v/>
      </c>
    </row>
    <row r="136" spans="1:23">
      <c r="A136">
        <f>'IPTV US'!A127</f>
        <v>10226</v>
      </c>
      <c r="B136" t="str">
        <f>T('IPTV US'!B127)</f>
        <v>NFL Channel</v>
      </c>
      <c r="C136" t="s">
        <v>4288</v>
      </c>
      <c r="D136" t="str">
        <f t="shared" si="12"/>
        <v/>
      </c>
      <c r="E136" t="str">
        <f t="shared" si="13"/>
        <v/>
      </c>
      <c r="F136" s="68" t="s">
        <v>4289</v>
      </c>
      <c r="G136">
        <f>'IPTV CA'!A127</f>
        <v>10726</v>
      </c>
      <c r="H136" t="str">
        <f>T('IPTV CA'!B127)</f>
        <v>Gravitas Movies</v>
      </c>
      <c r="I136" t="s">
        <v>4288</v>
      </c>
      <c r="J136" t="str">
        <f t="shared" si="14"/>
        <v/>
      </c>
      <c r="K136" t="str">
        <f t="shared" si="16"/>
        <v/>
      </c>
      <c r="L136" s="69"/>
      <c r="M136">
        <f>'TMIS US'!A127</f>
        <v>8226</v>
      </c>
      <c r="N136" t="str">
        <f>T('TMIS US'!B127)</f>
        <v>NFL Channel</v>
      </c>
      <c r="O136" t="s">
        <v>4288</v>
      </c>
      <c r="P136" t="str">
        <f t="shared" si="15"/>
        <v/>
      </c>
      <c r="Q136" t="str">
        <f t="shared" si="17"/>
        <v/>
      </c>
      <c r="R136" s="69"/>
      <c r="S136">
        <f>'TMIS CA'!A127</f>
        <v>9326</v>
      </c>
      <c r="T136" t="str">
        <f>T('TMIS CA'!B127)</f>
        <v>Gravitas Movies</v>
      </c>
      <c r="U136" t="s">
        <v>4288</v>
      </c>
      <c r="V136" t="str">
        <f t="shared" si="19"/>
        <v/>
      </c>
      <c r="W136" t="str">
        <f t="shared" si="18"/>
        <v/>
      </c>
    </row>
    <row r="137" spans="1:23">
      <c r="A137">
        <f>'IPTV US'!A128</f>
        <v>10227</v>
      </c>
      <c r="B137" t="str">
        <f>T('IPTV US'!B128)</f>
        <v>MLB</v>
      </c>
      <c r="C137" t="s">
        <v>4288</v>
      </c>
      <c r="D137" t="str">
        <f t="shared" si="12"/>
        <v/>
      </c>
      <c r="E137" t="str">
        <f t="shared" si="13"/>
        <v/>
      </c>
      <c r="F137" s="68" t="s">
        <v>4289</v>
      </c>
      <c r="G137">
        <f>'IPTV CA'!A128</f>
        <v>10727</v>
      </c>
      <c r="H137" t="str">
        <f>T('IPTV CA'!B128)</f>
        <v/>
      </c>
      <c r="I137" t="s">
        <v>4290</v>
      </c>
      <c r="J137" t="str">
        <f t="shared" si="14"/>
        <v/>
      </c>
      <c r="K137" t="str">
        <f t="shared" si="16"/>
        <v/>
      </c>
      <c r="L137" s="69"/>
      <c r="M137">
        <f>'TMIS US'!A128</f>
        <v>8227</v>
      </c>
      <c r="N137" t="str">
        <f>T('TMIS US'!B128)</f>
        <v>MLB</v>
      </c>
      <c r="O137" t="s">
        <v>4288</v>
      </c>
      <c r="P137" t="str">
        <f t="shared" si="15"/>
        <v/>
      </c>
      <c r="Q137" t="str">
        <f t="shared" si="17"/>
        <v/>
      </c>
      <c r="R137" s="69"/>
      <c r="S137">
        <f>'TMIS CA'!A128</f>
        <v>9327</v>
      </c>
      <c r="T137" t="str">
        <f>T('TMIS CA'!B128)</f>
        <v/>
      </c>
      <c r="U137" t="s">
        <v>4290</v>
      </c>
      <c r="V137" t="str">
        <f t="shared" si="19"/>
        <v/>
      </c>
      <c r="W137" t="str">
        <f t="shared" si="18"/>
        <v/>
      </c>
    </row>
    <row r="138" spans="1:23">
      <c r="A138">
        <f>'IPTV US'!A129</f>
        <v>10228</v>
      </c>
      <c r="B138" t="str">
        <f>T('IPTV US'!B129)</f>
        <v>PBR RidePass</v>
      </c>
      <c r="C138" t="s">
        <v>4288</v>
      </c>
      <c r="D138" t="str">
        <f t="shared" si="12"/>
        <v/>
      </c>
      <c r="E138" t="str">
        <f t="shared" si="13"/>
        <v/>
      </c>
      <c r="F138" s="68" t="s">
        <v>4289</v>
      </c>
      <c r="G138">
        <f>'IPTV CA'!A129</f>
        <v>10728</v>
      </c>
      <c r="H138" t="str">
        <f>T('IPTV CA'!B129)</f>
        <v/>
      </c>
      <c r="I138" t="s">
        <v>4290</v>
      </c>
      <c r="J138" t="str">
        <f t="shared" si="14"/>
        <v/>
      </c>
      <c r="K138" t="str">
        <f t="shared" si="16"/>
        <v/>
      </c>
      <c r="L138" s="69"/>
      <c r="M138">
        <f>'TMIS US'!A129</f>
        <v>8228</v>
      </c>
      <c r="N138" t="str">
        <f>T('TMIS US'!B129)</f>
        <v>PBR RidePass</v>
      </c>
      <c r="O138" t="s">
        <v>4288</v>
      </c>
      <c r="P138" t="str">
        <f t="shared" si="15"/>
        <v/>
      </c>
      <c r="Q138" t="str">
        <f t="shared" si="17"/>
        <v/>
      </c>
      <c r="R138" s="69"/>
      <c r="S138">
        <f>'TMIS CA'!A129</f>
        <v>9328</v>
      </c>
      <c r="T138" t="str">
        <f>T('TMIS CA'!B129)</f>
        <v/>
      </c>
      <c r="U138" t="s">
        <v>4290</v>
      </c>
      <c r="V138" t="str">
        <f t="shared" si="19"/>
        <v/>
      </c>
      <c r="W138" t="str">
        <f t="shared" si="18"/>
        <v/>
      </c>
    </row>
    <row r="139" spans="1:23">
      <c r="A139">
        <f>'IPTV US'!A130</f>
        <v>10229</v>
      </c>
      <c r="B139" t="str">
        <f>T('IPTV US'!B130)</f>
        <v>FOX Sports</v>
      </c>
      <c r="C139" t="s">
        <v>4288</v>
      </c>
      <c r="D139" t="str">
        <f t="shared" ref="D139:D202" si="20">IF(C139="Active",IF(B139="","Please Notify - Channel Removed",""),"")</f>
        <v/>
      </c>
      <c r="E139" t="str">
        <f t="shared" ref="E139:E202" si="21">IF(C139="Vacant",IF(B139="","","Please Notify - Channel Added"),"")</f>
        <v/>
      </c>
      <c r="F139" s="68" t="s">
        <v>4289</v>
      </c>
      <c r="G139">
        <f>'IPTV CA'!A130</f>
        <v>10729</v>
      </c>
      <c r="H139" t="str">
        <f>T('IPTV CA'!B130)</f>
        <v>Fresh Movies</v>
      </c>
      <c r="I139" t="s">
        <v>4288</v>
      </c>
      <c r="J139" t="str">
        <f t="shared" ref="J139:J202" si="22">IF(I139="Active",IF(H139="","Please Notify - Channel Removed",""),"")</f>
        <v/>
      </c>
      <c r="K139" t="str">
        <f t="shared" si="16"/>
        <v/>
      </c>
      <c r="L139" s="69"/>
      <c r="M139">
        <f>'TMIS US'!A130</f>
        <v>8229</v>
      </c>
      <c r="N139" t="str">
        <f>T('TMIS US'!B130)</f>
        <v>FOX Sports</v>
      </c>
      <c r="O139" t="s">
        <v>4288</v>
      </c>
      <c r="P139" t="str">
        <f t="shared" ref="P139:P202" si="23">IF(O139="Active",IF(N139="","Please Notify - Channel Removed",""),"")</f>
        <v/>
      </c>
      <c r="Q139" t="str">
        <f t="shared" si="17"/>
        <v/>
      </c>
      <c r="R139" s="69"/>
      <c r="S139">
        <f>'TMIS CA'!A130</f>
        <v>9329</v>
      </c>
      <c r="T139" t="str">
        <f>T('TMIS CA'!B130)</f>
        <v>Fresh Movies</v>
      </c>
      <c r="U139" t="s">
        <v>4288</v>
      </c>
      <c r="V139" t="str">
        <f t="shared" si="19"/>
        <v/>
      </c>
      <c r="W139" t="str">
        <f t="shared" si="18"/>
        <v/>
      </c>
    </row>
    <row r="140" spans="1:23">
      <c r="A140">
        <f>'IPTV US'!A131</f>
        <v>10230</v>
      </c>
      <c r="B140" t="str">
        <f>T('IPTV US'!B131)</f>
        <v>CBS Sports HQ</v>
      </c>
      <c r="C140" t="s">
        <v>4288</v>
      </c>
      <c r="D140" t="str">
        <f t="shared" si="20"/>
        <v/>
      </c>
      <c r="E140" t="str">
        <f t="shared" si="21"/>
        <v/>
      </c>
      <c r="F140" s="68" t="s">
        <v>4289</v>
      </c>
      <c r="G140">
        <f>'IPTV CA'!A131</f>
        <v>10730</v>
      </c>
      <c r="H140" t="str">
        <f>T('IPTV CA'!B131)</f>
        <v>Dove</v>
      </c>
      <c r="I140" t="s">
        <v>4288</v>
      </c>
      <c r="J140" t="str">
        <f t="shared" si="22"/>
        <v/>
      </c>
      <c r="K140" t="str">
        <f t="shared" ref="K140:K203" si="24">IF(I140="Vacant",IF(H140="","","Please Notify - Channel Added"),"")</f>
        <v/>
      </c>
      <c r="L140" s="69"/>
      <c r="M140">
        <f>'TMIS US'!A131</f>
        <v>8230</v>
      </c>
      <c r="N140" t="str">
        <f>T('TMIS US'!B131)</f>
        <v>CBS Sports HQ</v>
      </c>
      <c r="O140" t="s">
        <v>4288</v>
      </c>
      <c r="P140" t="str">
        <f t="shared" si="23"/>
        <v/>
      </c>
      <c r="Q140" t="str">
        <f t="shared" ref="Q140:Q203" si="25">IF(O140="Vacant",IF(N140="","","Please Notify - Channel Added"),"")</f>
        <v/>
      </c>
      <c r="R140" s="69"/>
      <c r="S140">
        <f>'TMIS CA'!A131</f>
        <v>9330</v>
      </c>
      <c r="T140" t="str">
        <f>T('TMIS CA'!B131)</f>
        <v>Dove</v>
      </c>
      <c r="U140" t="s">
        <v>4288</v>
      </c>
      <c r="V140" t="str">
        <f t="shared" si="19"/>
        <v/>
      </c>
      <c r="W140" t="str">
        <f t="shared" ref="W140:W203" si="26">IF(U140="Vacant",IF(T140="","","Please Notify - Channel Added"),"")</f>
        <v/>
      </c>
    </row>
    <row r="141" spans="1:23">
      <c r="A141">
        <f>'IPTV US'!A132</f>
        <v>10231</v>
      </c>
      <c r="B141" t="str">
        <f>T('IPTV US'!B132)</f>
        <v>World Poker Tour</v>
      </c>
      <c r="C141" t="s">
        <v>4288</v>
      </c>
      <c r="D141" t="str">
        <f t="shared" si="20"/>
        <v/>
      </c>
      <c r="E141" t="str">
        <f t="shared" si="21"/>
        <v/>
      </c>
      <c r="F141" s="68" t="s">
        <v>4289</v>
      </c>
      <c r="G141">
        <f>'IPTV CA'!A132</f>
        <v>10731</v>
      </c>
      <c r="H141" t="str">
        <f>T('IPTV CA'!B132)</f>
        <v/>
      </c>
      <c r="I141" t="s">
        <v>4290</v>
      </c>
      <c r="J141" t="str">
        <f t="shared" si="22"/>
        <v/>
      </c>
      <c r="K141" t="str">
        <f t="shared" si="24"/>
        <v/>
      </c>
      <c r="L141" s="69"/>
      <c r="M141">
        <f>'TMIS US'!A132</f>
        <v>8231</v>
      </c>
      <c r="N141" t="str">
        <f>T('TMIS US'!B132)</f>
        <v>World Poker Tour</v>
      </c>
      <c r="O141" t="s">
        <v>4288</v>
      </c>
      <c r="P141" t="str">
        <f t="shared" si="23"/>
        <v/>
      </c>
      <c r="Q141" t="str">
        <f t="shared" si="25"/>
        <v/>
      </c>
      <c r="R141" s="69"/>
      <c r="S141">
        <f>'TMIS CA'!A132</f>
        <v>9331</v>
      </c>
      <c r="T141" t="str">
        <f>T('TMIS CA'!B132)</f>
        <v/>
      </c>
      <c r="U141" t="s">
        <v>4290</v>
      </c>
      <c r="V141" t="str">
        <f t="shared" si="19"/>
        <v/>
      </c>
      <c r="W141" t="str">
        <f t="shared" si="26"/>
        <v/>
      </c>
    </row>
    <row r="142" spans="1:23">
      <c r="A142">
        <f>'IPTV US'!A133</f>
        <v>10232</v>
      </c>
      <c r="B142" t="str">
        <f>T('IPTV US'!B133)</f>
        <v>Bellator MMA</v>
      </c>
      <c r="C142" t="s">
        <v>4288</v>
      </c>
      <c r="D142" t="str">
        <f t="shared" si="20"/>
        <v/>
      </c>
      <c r="E142" t="str">
        <f t="shared" si="21"/>
        <v/>
      </c>
      <c r="F142" s="68" t="s">
        <v>4289</v>
      </c>
      <c r="G142">
        <f>'IPTV CA'!A133</f>
        <v>10732</v>
      </c>
      <c r="H142" t="str">
        <f>T('IPTV CA'!B133)</f>
        <v>FilmRise Action</v>
      </c>
      <c r="I142" t="s">
        <v>4288</v>
      </c>
      <c r="J142" t="str">
        <f t="shared" si="22"/>
        <v/>
      </c>
      <c r="K142" t="str">
        <f t="shared" si="24"/>
        <v/>
      </c>
      <c r="L142" s="69"/>
      <c r="M142">
        <f>'TMIS US'!A133</f>
        <v>8232</v>
      </c>
      <c r="N142" t="str">
        <f>T('TMIS US'!B133)</f>
        <v>Bellator MMA</v>
      </c>
      <c r="O142" t="s">
        <v>4288</v>
      </c>
      <c r="P142" t="str">
        <f t="shared" si="23"/>
        <v/>
      </c>
      <c r="Q142" t="str">
        <f t="shared" si="25"/>
        <v/>
      </c>
      <c r="R142" s="69"/>
      <c r="S142">
        <f>'TMIS CA'!A133</f>
        <v>9332</v>
      </c>
      <c r="T142" t="str">
        <f>T('TMIS CA'!B133)</f>
        <v>FilmRise Action</v>
      </c>
      <c r="U142" t="s">
        <v>4288</v>
      </c>
      <c r="V142" t="str">
        <f t="shared" ref="V142:V205" si="27">IF(U142="Active",IF(T142="","Please Notify - Channel Removed",""),"")</f>
        <v/>
      </c>
      <c r="W142" t="str">
        <f t="shared" si="26"/>
        <v/>
      </c>
    </row>
    <row r="143" spans="1:23">
      <c r="A143">
        <f>'IPTV US'!A134</f>
        <v>10233</v>
      </c>
      <c r="B143" t="str">
        <f>T('IPTV US'!B134)</f>
        <v>TNA Wrestling</v>
      </c>
      <c r="C143" t="s">
        <v>4288</v>
      </c>
      <c r="D143" t="str">
        <f t="shared" si="20"/>
        <v/>
      </c>
      <c r="E143" t="str">
        <f t="shared" si="21"/>
        <v/>
      </c>
      <c r="F143" s="68" t="s">
        <v>4289</v>
      </c>
      <c r="G143">
        <f>'IPTV CA'!A134</f>
        <v>10733</v>
      </c>
      <c r="H143" t="str">
        <f>T('IPTV CA'!B134)</f>
        <v/>
      </c>
      <c r="I143" t="s">
        <v>4290</v>
      </c>
      <c r="J143" t="str">
        <f t="shared" si="22"/>
        <v/>
      </c>
      <c r="K143" t="str">
        <f t="shared" si="24"/>
        <v/>
      </c>
      <c r="L143" s="69"/>
      <c r="M143">
        <f>'TMIS US'!A134</f>
        <v>8233</v>
      </c>
      <c r="N143" t="str">
        <f>T('TMIS US'!B134)</f>
        <v>TNA Wrestling</v>
      </c>
      <c r="O143" t="s">
        <v>4288</v>
      </c>
      <c r="P143" t="str">
        <f t="shared" si="23"/>
        <v/>
      </c>
      <c r="Q143" t="str">
        <f t="shared" si="25"/>
        <v/>
      </c>
      <c r="R143" s="69"/>
      <c r="S143">
        <f>'TMIS CA'!A134</f>
        <v>9333</v>
      </c>
      <c r="T143" t="str">
        <f>T('TMIS CA'!B134)</f>
        <v/>
      </c>
      <c r="U143" t="s">
        <v>4290</v>
      </c>
      <c r="V143" t="str">
        <f t="shared" si="27"/>
        <v/>
      </c>
      <c r="W143" t="str">
        <f t="shared" si="26"/>
        <v/>
      </c>
    </row>
    <row r="144" spans="1:23">
      <c r="A144">
        <f>'IPTV US'!A135</f>
        <v>10234</v>
      </c>
      <c r="B144" t="str">
        <f>T('IPTV US'!B135)</f>
        <v>Golazo Network</v>
      </c>
      <c r="C144" t="s">
        <v>4288</v>
      </c>
      <c r="D144" t="str">
        <f t="shared" si="20"/>
        <v/>
      </c>
      <c r="E144" t="str">
        <f t="shared" si="21"/>
        <v/>
      </c>
      <c r="F144" s="68" t="s">
        <v>4289</v>
      </c>
      <c r="G144">
        <f>'IPTV CA'!A135</f>
        <v>10734</v>
      </c>
      <c r="H144" t="str">
        <f>T('IPTV CA'!B135)</f>
        <v/>
      </c>
      <c r="I144" t="s">
        <v>4290</v>
      </c>
      <c r="J144" t="str">
        <f t="shared" si="22"/>
        <v/>
      </c>
      <c r="K144" t="str">
        <f t="shared" si="24"/>
        <v/>
      </c>
      <c r="L144" s="69"/>
      <c r="M144">
        <f>'TMIS US'!A135</f>
        <v>8234</v>
      </c>
      <c r="N144" t="str">
        <f>T('TMIS US'!B135)</f>
        <v>Golazo Network</v>
      </c>
      <c r="O144" t="s">
        <v>4288</v>
      </c>
      <c r="P144" t="str">
        <f t="shared" si="23"/>
        <v/>
      </c>
      <c r="Q144" t="str">
        <f t="shared" si="25"/>
        <v/>
      </c>
      <c r="R144" s="69"/>
      <c r="S144">
        <f>'TMIS CA'!A135</f>
        <v>9334</v>
      </c>
      <c r="T144" t="str">
        <f>T('TMIS CA'!B135)</f>
        <v/>
      </c>
      <c r="U144" t="s">
        <v>4290</v>
      </c>
      <c r="V144" t="str">
        <f t="shared" si="27"/>
        <v/>
      </c>
      <c r="W144" t="str">
        <f t="shared" si="26"/>
        <v/>
      </c>
    </row>
    <row r="145" spans="1:23">
      <c r="A145">
        <f>'IPTV US'!A136</f>
        <v>10235</v>
      </c>
      <c r="B145" t="str">
        <f>T('IPTV US'!B136)</f>
        <v/>
      </c>
      <c r="C145" t="s">
        <v>4290</v>
      </c>
      <c r="D145" t="str">
        <f t="shared" si="20"/>
        <v/>
      </c>
      <c r="E145" t="str">
        <f t="shared" si="21"/>
        <v/>
      </c>
      <c r="F145" s="68" t="s">
        <v>4289</v>
      </c>
      <c r="G145">
        <f>'IPTV CA'!A136</f>
        <v>10735</v>
      </c>
      <c r="H145" t="str">
        <f>T('IPTV CA'!B136)</f>
        <v>Action Hollywood Movies</v>
      </c>
      <c r="I145" t="s">
        <v>4288</v>
      </c>
      <c r="J145" t="str">
        <f t="shared" si="22"/>
        <v/>
      </c>
      <c r="K145" t="str">
        <f t="shared" si="24"/>
        <v/>
      </c>
      <c r="L145" s="69"/>
      <c r="M145">
        <f>'TMIS US'!A136</f>
        <v>8235</v>
      </c>
      <c r="N145" t="str">
        <f>T('TMIS US'!B136)</f>
        <v/>
      </c>
      <c r="O145" t="s">
        <v>4290</v>
      </c>
      <c r="P145" t="str">
        <f t="shared" si="23"/>
        <v/>
      </c>
      <c r="Q145" t="str">
        <f t="shared" si="25"/>
        <v/>
      </c>
      <c r="R145" s="69"/>
      <c r="S145">
        <f>'TMIS CA'!A136</f>
        <v>9335</v>
      </c>
      <c r="T145" t="str">
        <f>T('TMIS CA'!B136)</f>
        <v>Action Hollywood Movies</v>
      </c>
      <c r="U145" t="s">
        <v>4288</v>
      </c>
      <c r="V145" t="str">
        <f t="shared" si="27"/>
        <v/>
      </c>
      <c r="W145" t="str">
        <f t="shared" si="26"/>
        <v/>
      </c>
    </row>
    <row r="146" spans="1:23">
      <c r="A146">
        <f>'IPTV US'!A137</f>
        <v>10236</v>
      </c>
      <c r="B146" t="str">
        <f>T('IPTV US'!B137)</f>
        <v/>
      </c>
      <c r="C146" t="s">
        <v>4290</v>
      </c>
      <c r="D146" t="str">
        <f t="shared" si="20"/>
        <v/>
      </c>
      <c r="E146" t="str">
        <f t="shared" si="21"/>
        <v/>
      </c>
      <c r="F146" s="68" t="s">
        <v>4289</v>
      </c>
      <c r="G146">
        <f>'IPTV CA'!A137</f>
        <v>10736</v>
      </c>
      <c r="H146" t="str">
        <f>T('IPTV CA'!B137)</f>
        <v/>
      </c>
      <c r="I146" t="s">
        <v>4290</v>
      </c>
      <c r="J146" t="str">
        <f t="shared" si="22"/>
        <v/>
      </c>
      <c r="K146" t="str">
        <f t="shared" si="24"/>
        <v/>
      </c>
      <c r="L146" s="69"/>
      <c r="M146">
        <f>'TMIS US'!A137</f>
        <v>8236</v>
      </c>
      <c r="N146" t="str">
        <f>T('TMIS US'!B137)</f>
        <v/>
      </c>
      <c r="O146" t="s">
        <v>4290</v>
      </c>
      <c r="P146" t="str">
        <f t="shared" si="23"/>
        <v/>
      </c>
      <c r="Q146" t="str">
        <f t="shared" si="25"/>
        <v/>
      </c>
      <c r="R146" s="69"/>
      <c r="S146">
        <f>'TMIS CA'!A137</f>
        <v>9336</v>
      </c>
      <c r="T146" t="str">
        <f>T('TMIS CA'!B137)</f>
        <v/>
      </c>
      <c r="U146" t="s">
        <v>4290</v>
      </c>
      <c r="V146" t="str">
        <f t="shared" si="27"/>
        <v/>
      </c>
      <c r="W146" t="str">
        <f t="shared" si="26"/>
        <v/>
      </c>
    </row>
    <row r="147" spans="1:23">
      <c r="A147">
        <f>'IPTV US'!A138</f>
        <v>10237</v>
      </c>
      <c r="B147" t="str">
        <f>T('IPTV US'!B138)</f>
        <v/>
      </c>
      <c r="C147" t="s">
        <v>4290</v>
      </c>
      <c r="D147" t="str">
        <f t="shared" si="20"/>
        <v/>
      </c>
      <c r="E147" t="str">
        <f t="shared" si="21"/>
        <v/>
      </c>
      <c r="F147" s="68" t="s">
        <v>4289</v>
      </c>
      <c r="G147">
        <f>'IPTV CA'!A138</f>
        <v>10737</v>
      </c>
      <c r="H147" t="str">
        <f>T('IPTV CA'!B138)</f>
        <v/>
      </c>
      <c r="I147" t="s">
        <v>4290</v>
      </c>
      <c r="J147" t="str">
        <f t="shared" si="22"/>
        <v/>
      </c>
      <c r="K147" t="str">
        <f t="shared" si="24"/>
        <v/>
      </c>
      <c r="L147" s="69"/>
      <c r="M147">
        <f>'TMIS US'!A138</f>
        <v>8237</v>
      </c>
      <c r="N147" t="str">
        <f>T('TMIS US'!B138)</f>
        <v/>
      </c>
      <c r="O147" t="s">
        <v>4290</v>
      </c>
      <c r="P147" t="str">
        <f t="shared" si="23"/>
        <v/>
      </c>
      <c r="Q147" t="str">
        <f t="shared" si="25"/>
        <v/>
      </c>
      <c r="R147" s="69"/>
      <c r="S147">
        <f>'TMIS CA'!A138</f>
        <v>9337</v>
      </c>
      <c r="T147" t="str">
        <f>T('TMIS CA'!B138)</f>
        <v/>
      </c>
      <c r="U147" t="s">
        <v>4290</v>
      </c>
      <c r="V147" t="str">
        <f t="shared" si="27"/>
        <v/>
      </c>
      <c r="W147" t="str">
        <f t="shared" si="26"/>
        <v/>
      </c>
    </row>
    <row r="148" spans="1:23">
      <c r="A148">
        <f>'IPTV US'!A139</f>
        <v>10238</v>
      </c>
      <c r="B148" t="str">
        <f>T('IPTV US'!B139)</f>
        <v>Lucha Libre AAA</v>
      </c>
      <c r="C148" t="s">
        <v>4288</v>
      </c>
      <c r="D148" t="str">
        <f t="shared" si="20"/>
        <v/>
      </c>
      <c r="E148" t="str">
        <f t="shared" si="21"/>
        <v/>
      </c>
      <c r="F148" s="68" t="s">
        <v>4289</v>
      </c>
      <c r="G148">
        <f>'IPTV CA'!A139</f>
        <v>10738</v>
      </c>
      <c r="H148" t="str">
        <f>T('IPTV CA'!B139)</f>
        <v>Gravitas Adrenaline</v>
      </c>
      <c r="I148" t="s">
        <v>4288</v>
      </c>
      <c r="J148" t="str">
        <f t="shared" si="22"/>
        <v/>
      </c>
      <c r="K148" t="str">
        <f t="shared" si="24"/>
        <v/>
      </c>
      <c r="L148" s="69"/>
      <c r="M148">
        <f>'TMIS US'!A139</f>
        <v>8238</v>
      </c>
      <c r="N148" t="str">
        <f>T('TMIS US'!B139)</f>
        <v>Lucha Libre AAA</v>
      </c>
      <c r="O148" t="s">
        <v>4288</v>
      </c>
      <c r="P148" t="str">
        <f t="shared" si="23"/>
        <v/>
      </c>
      <c r="Q148" t="str">
        <f t="shared" si="25"/>
        <v/>
      </c>
      <c r="R148" s="69"/>
      <c r="S148">
        <f>'TMIS CA'!A139</f>
        <v>9338</v>
      </c>
      <c r="T148" t="str">
        <f>T('TMIS CA'!B139)</f>
        <v/>
      </c>
      <c r="U148" t="s">
        <v>4290</v>
      </c>
      <c r="V148" t="str">
        <f t="shared" si="27"/>
        <v/>
      </c>
      <c r="W148" t="str">
        <f t="shared" si="26"/>
        <v/>
      </c>
    </row>
    <row r="149" spans="1:23">
      <c r="A149">
        <f>'IPTV US'!A140</f>
        <v>10239</v>
      </c>
      <c r="B149" t="str">
        <f>T('IPTV US'!B140)</f>
        <v>Anime All Day</v>
      </c>
      <c r="C149" t="s">
        <v>4288</v>
      </c>
      <c r="D149" t="str">
        <f t="shared" si="20"/>
        <v/>
      </c>
      <c r="E149" t="str">
        <f t="shared" si="21"/>
        <v/>
      </c>
      <c r="F149" s="68" t="s">
        <v>4289</v>
      </c>
      <c r="G149">
        <f>'IPTV CA'!A140</f>
        <v>10739</v>
      </c>
      <c r="H149" t="str">
        <f>T('IPTV CA'!B140)</f>
        <v>24 Hour Free Movies</v>
      </c>
      <c r="I149" t="s">
        <v>4288</v>
      </c>
      <c r="J149" t="str">
        <f t="shared" si="22"/>
        <v/>
      </c>
      <c r="K149" t="str">
        <f t="shared" si="24"/>
        <v/>
      </c>
      <c r="L149" s="69"/>
      <c r="M149">
        <f>'TMIS US'!A140</f>
        <v>8239</v>
      </c>
      <c r="N149" t="str">
        <f>T('TMIS US'!B140)</f>
        <v>Anime All Day</v>
      </c>
      <c r="O149" t="s">
        <v>4288</v>
      </c>
      <c r="P149" t="str">
        <f t="shared" si="23"/>
        <v/>
      </c>
      <c r="Q149" t="str">
        <f t="shared" si="25"/>
        <v/>
      </c>
      <c r="R149" s="69"/>
      <c r="S149">
        <f>'TMIS CA'!A140</f>
        <v>9339</v>
      </c>
      <c r="T149" t="str">
        <f>T('TMIS CA'!B140)</f>
        <v>24 Hour Free Movies</v>
      </c>
      <c r="U149" t="s">
        <v>4288</v>
      </c>
      <c r="V149" t="str">
        <f t="shared" si="27"/>
        <v/>
      </c>
      <c r="W149" t="str">
        <f t="shared" si="26"/>
        <v/>
      </c>
    </row>
    <row r="150" spans="1:23">
      <c r="A150">
        <f>'IPTV US'!A141</f>
        <v>10240</v>
      </c>
      <c r="B150" t="str">
        <f>T('IPTV US'!B141)</f>
        <v>One Piece</v>
      </c>
      <c r="C150" t="s">
        <v>4288</v>
      </c>
      <c r="D150" t="str">
        <f t="shared" si="20"/>
        <v/>
      </c>
      <c r="E150" t="str">
        <f t="shared" si="21"/>
        <v/>
      </c>
      <c r="F150" s="68" t="s">
        <v>4289</v>
      </c>
      <c r="G150">
        <f>'IPTV CA'!A141</f>
        <v>10740</v>
      </c>
      <c r="H150" t="str">
        <f>T('IPTV CA'!B141)</f>
        <v/>
      </c>
      <c r="I150" t="s">
        <v>4290</v>
      </c>
      <c r="J150" t="str">
        <f t="shared" si="22"/>
        <v/>
      </c>
      <c r="K150" t="str">
        <f t="shared" si="24"/>
        <v/>
      </c>
      <c r="L150" s="69"/>
      <c r="M150">
        <f>'TMIS US'!A141</f>
        <v>8240</v>
      </c>
      <c r="N150" t="str">
        <f>T('TMIS US'!B141)</f>
        <v>One Piece</v>
      </c>
      <c r="O150" t="s">
        <v>4288</v>
      </c>
      <c r="P150" t="str">
        <f t="shared" si="23"/>
        <v/>
      </c>
      <c r="Q150" t="str">
        <f t="shared" si="25"/>
        <v/>
      </c>
      <c r="R150" s="69"/>
      <c r="S150">
        <f>'TMIS CA'!A141</f>
        <v>9340</v>
      </c>
      <c r="T150" t="str">
        <f>T('TMIS CA'!B141)</f>
        <v/>
      </c>
      <c r="U150" t="s">
        <v>4290</v>
      </c>
      <c r="V150" t="str">
        <f t="shared" si="27"/>
        <v/>
      </c>
      <c r="W150" t="str">
        <f t="shared" si="26"/>
        <v/>
      </c>
    </row>
    <row r="151" spans="1:23">
      <c r="A151">
        <f>'IPTV US'!A142</f>
        <v>10241</v>
      </c>
      <c r="B151" t="str">
        <f>T('IPTV US'!B142)</f>
        <v>Naruto</v>
      </c>
      <c r="C151" t="s">
        <v>4288</v>
      </c>
      <c r="D151" t="str">
        <f t="shared" si="20"/>
        <v/>
      </c>
      <c r="E151" t="str">
        <f t="shared" si="21"/>
        <v/>
      </c>
      <c r="F151" s="68" t="s">
        <v>4289</v>
      </c>
      <c r="G151">
        <f>'IPTV CA'!A142</f>
        <v>10741</v>
      </c>
      <c r="H151" t="str">
        <f>T('IPTV CA'!B142)</f>
        <v/>
      </c>
      <c r="I151" t="s">
        <v>4290</v>
      </c>
      <c r="J151" t="str">
        <f t="shared" si="22"/>
        <v/>
      </c>
      <c r="K151" t="str">
        <f t="shared" si="24"/>
        <v/>
      </c>
      <c r="L151" s="69"/>
      <c r="M151">
        <f>'TMIS US'!A142</f>
        <v>8241</v>
      </c>
      <c r="N151" t="str">
        <f>T('TMIS US'!B142)</f>
        <v>Naruto</v>
      </c>
      <c r="O151" t="s">
        <v>4288</v>
      </c>
      <c r="P151" t="str">
        <f t="shared" si="23"/>
        <v/>
      </c>
      <c r="Q151" t="str">
        <f t="shared" si="25"/>
        <v/>
      </c>
      <c r="R151" s="69"/>
      <c r="S151">
        <f>'TMIS CA'!A142</f>
        <v>9341</v>
      </c>
      <c r="T151" t="str">
        <f>T('TMIS CA'!B142)</f>
        <v/>
      </c>
      <c r="U151" t="s">
        <v>4290</v>
      </c>
      <c r="V151" t="str">
        <f t="shared" si="27"/>
        <v/>
      </c>
      <c r="W151" t="str">
        <f t="shared" si="26"/>
        <v/>
      </c>
    </row>
    <row r="152" spans="1:23">
      <c r="A152">
        <f>'IPTV US'!A143</f>
        <v>10242</v>
      </c>
      <c r="B152" t="str">
        <f>T('IPTV US'!B143)</f>
        <v>Yu-Gi-Oh</v>
      </c>
      <c r="C152" t="s">
        <v>4288</v>
      </c>
      <c r="D152" t="str">
        <f t="shared" si="20"/>
        <v/>
      </c>
      <c r="E152" t="str">
        <f t="shared" si="21"/>
        <v/>
      </c>
      <c r="F152" s="68" t="s">
        <v>4289</v>
      </c>
      <c r="G152">
        <f>'IPTV CA'!A143</f>
        <v>10742</v>
      </c>
      <c r="H152" t="str">
        <f>T('IPTV CA'!B143)</f>
        <v>RCM</v>
      </c>
      <c r="I152" t="s">
        <v>4288</v>
      </c>
      <c r="J152" t="str">
        <f t="shared" si="22"/>
        <v/>
      </c>
      <c r="K152" t="str">
        <f t="shared" si="24"/>
        <v/>
      </c>
      <c r="L152" s="69"/>
      <c r="M152">
        <f>'TMIS US'!A143</f>
        <v>8242</v>
      </c>
      <c r="N152" t="str">
        <f>T('TMIS US'!B143)</f>
        <v>Yu-Gi-Oh</v>
      </c>
      <c r="O152" t="s">
        <v>4288</v>
      </c>
      <c r="P152" t="str">
        <f t="shared" si="23"/>
        <v/>
      </c>
      <c r="Q152" t="str">
        <f t="shared" si="25"/>
        <v/>
      </c>
      <c r="R152" s="69"/>
      <c r="S152">
        <f>'TMIS CA'!A143</f>
        <v>9342</v>
      </c>
      <c r="T152" t="str">
        <f>T('TMIS CA'!B143)</f>
        <v>RCM</v>
      </c>
      <c r="U152" t="s">
        <v>4288</v>
      </c>
      <c r="V152" t="str">
        <f t="shared" si="27"/>
        <v/>
      </c>
      <c r="W152" t="str">
        <f t="shared" si="26"/>
        <v/>
      </c>
    </row>
    <row r="153" spans="1:23">
      <c r="A153">
        <f>'IPTV US'!A144</f>
        <v>10243</v>
      </c>
      <c r="B153" t="str">
        <f>T('IPTV US'!B144)</f>
        <v/>
      </c>
      <c r="C153" t="s">
        <v>4290</v>
      </c>
      <c r="D153" t="str">
        <f t="shared" si="20"/>
        <v/>
      </c>
      <c r="E153" t="str">
        <f t="shared" si="21"/>
        <v/>
      </c>
      <c r="F153" s="68" t="s">
        <v>4289</v>
      </c>
      <c r="G153">
        <f>'IPTV CA'!A144</f>
        <v>10743</v>
      </c>
      <c r="H153" t="str">
        <f>T('IPTV CA'!B144)</f>
        <v>Tribeca Channel</v>
      </c>
      <c r="I153" t="s">
        <v>4288</v>
      </c>
      <c r="J153" t="str">
        <f t="shared" si="22"/>
        <v/>
      </c>
      <c r="K153" t="str">
        <f t="shared" si="24"/>
        <v/>
      </c>
      <c r="L153" s="69"/>
      <c r="M153">
        <f>'TMIS US'!A144</f>
        <v>8243</v>
      </c>
      <c r="N153" t="str">
        <f>T('TMIS US'!B144)</f>
        <v/>
      </c>
      <c r="O153" t="s">
        <v>4290</v>
      </c>
      <c r="P153" t="str">
        <f t="shared" si="23"/>
        <v/>
      </c>
      <c r="Q153" t="str">
        <f t="shared" si="25"/>
        <v/>
      </c>
      <c r="R153" s="69"/>
      <c r="S153">
        <f>'TMIS CA'!A144</f>
        <v>9343</v>
      </c>
      <c r="T153" t="str">
        <f>T('TMIS CA'!B144)</f>
        <v>Tribeca Channel</v>
      </c>
      <c r="U153" t="s">
        <v>4288</v>
      </c>
      <c r="V153" t="str">
        <f t="shared" si="27"/>
        <v/>
      </c>
      <c r="W153" t="str">
        <f t="shared" si="26"/>
        <v/>
      </c>
    </row>
    <row r="154" spans="1:23">
      <c r="A154">
        <f>'IPTV US'!A145</f>
        <v>10244</v>
      </c>
      <c r="B154" t="str">
        <f>T('IPTV US'!B145)</f>
        <v/>
      </c>
      <c r="C154" t="s">
        <v>4290</v>
      </c>
      <c r="D154" t="str">
        <f t="shared" si="20"/>
        <v/>
      </c>
      <c r="E154" t="str">
        <f t="shared" si="21"/>
        <v/>
      </c>
      <c r="F154" s="68" t="s">
        <v>4289</v>
      </c>
      <c r="G154">
        <f>'IPTV CA'!A145</f>
        <v>10744</v>
      </c>
      <c r="H154" t="str">
        <f>T('IPTV CA'!B145)</f>
        <v/>
      </c>
      <c r="I154" t="s">
        <v>4290</v>
      </c>
      <c r="J154" t="str">
        <f t="shared" si="22"/>
        <v/>
      </c>
      <c r="K154" t="str">
        <f t="shared" si="24"/>
        <v/>
      </c>
      <c r="L154" s="69"/>
      <c r="M154">
        <f>'TMIS US'!A145</f>
        <v>8244</v>
      </c>
      <c r="N154" t="str">
        <f>T('TMIS US'!B145)</f>
        <v/>
      </c>
      <c r="O154" t="s">
        <v>4290</v>
      </c>
      <c r="P154" t="str">
        <f t="shared" si="23"/>
        <v/>
      </c>
      <c r="Q154" t="str">
        <f t="shared" si="25"/>
        <v/>
      </c>
      <c r="R154" s="69"/>
      <c r="S154">
        <f>'TMIS CA'!A145</f>
        <v>9344</v>
      </c>
      <c r="T154" t="str">
        <f>T('TMIS CA'!B145)</f>
        <v/>
      </c>
      <c r="U154" t="s">
        <v>4290</v>
      </c>
      <c r="V154" t="str">
        <f t="shared" si="27"/>
        <v/>
      </c>
      <c r="W154" t="str">
        <f t="shared" si="26"/>
        <v/>
      </c>
    </row>
    <row r="155" spans="1:23">
      <c r="A155">
        <f>'IPTV US'!A146</f>
        <v>10245</v>
      </c>
      <c r="B155" t="str">
        <f>T('IPTV US'!B146)</f>
        <v/>
      </c>
      <c r="C155" t="s">
        <v>4290</v>
      </c>
      <c r="D155" t="str">
        <f t="shared" si="20"/>
        <v/>
      </c>
      <c r="E155" t="str">
        <f t="shared" si="21"/>
        <v/>
      </c>
      <c r="F155" s="68" t="s">
        <v>4289</v>
      </c>
      <c r="G155">
        <f>'IPTV CA'!A146</f>
        <v>10745</v>
      </c>
      <c r="H155" t="str">
        <f>T('IPTV CA'!B146)</f>
        <v>Spark TV Light &amp; Love</v>
      </c>
      <c r="I155" t="s">
        <v>4288</v>
      </c>
      <c r="J155" t="str">
        <f t="shared" si="22"/>
        <v/>
      </c>
      <c r="K155" t="str">
        <f t="shared" si="24"/>
        <v/>
      </c>
      <c r="L155" s="69"/>
      <c r="M155">
        <f>'TMIS US'!A146</f>
        <v>8245</v>
      </c>
      <c r="N155" t="str">
        <f>T('TMIS US'!B146)</f>
        <v/>
      </c>
      <c r="O155" t="s">
        <v>4290</v>
      </c>
      <c r="P155" t="str">
        <f t="shared" si="23"/>
        <v/>
      </c>
      <c r="Q155" t="str">
        <f t="shared" si="25"/>
        <v/>
      </c>
      <c r="R155" s="69"/>
      <c r="S155">
        <f>'TMIS CA'!A146</f>
        <v>9345</v>
      </c>
      <c r="T155" t="str">
        <f>T('TMIS CA'!B146)</f>
        <v>Spark TV Light &amp; Love</v>
      </c>
      <c r="U155" t="s">
        <v>4288</v>
      </c>
      <c r="V155" t="str">
        <f t="shared" si="27"/>
        <v/>
      </c>
      <c r="W155" t="str">
        <f t="shared" si="26"/>
        <v/>
      </c>
    </row>
    <row r="156" spans="1:23">
      <c r="A156">
        <f>'IPTV US'!A147</f>
        <v>10246</v>
      </c>
      <c r="B156" t="str">
        <f>T('IPTV US'!B147)</f>
        <v/>
      </c>
      <c r="C156" t="s">
        <v>4290</v>
      </c>
      <c r="D156" t="str">
        <f t="shared" si="20"/>
        <v/>
      </c>
      <c r="E156" t="str">
        <f t="shared" si="21"/>
        <v/>
      </c>
      <c r="F156" s="68" t="s">
        <v>4289</v>
      </c>
      <c r="G156">
        <f>'IPTV CA'!A147</f>
        <v>10746</v>
      </c>
      <c r="H156" t="str">
        <f>T('IPTV CA'!B147)</f>
        <v>Super Channel Hearties</v>
      </c>
      <c r="I156" t="s">
        <v>4288</v>
      </c>
      <c r="J156" t="str">
        <f t="shared" si="22"/>
        <v/>
      </c>
      <c r="K156" t="str">
        <f t="shared" si="24"/>
        <v/>
      </c>
      <c r="L156" s="69"/>
      <c r="M156">
        <f>'TMIS US'!A147</f>
        <v>8246</v>
      </c>
      <c r="N156" t="str">
        <f>T('TMIS US'!B147)</f>
        <v/>
      </c>
      <c r="O156" t="s">
        <v>4290</v>
      </c>
      <c r="P156" t="str">
        <f t="shared" si="23"/>
        <v/>
      </c>
      <c r="Q156" t="str">
        <f t="shared" si="25"/>
        <v/>
      </c>
      <c r="R156" s="69"/>
      <c r="S156">
        <f>'TMIS CA'!A147</f>
        <v>9346</v>
      </c>
      <c r="T156" t="str">
        <f>T('TMIS CA'!B147)</f>
        <v>Super Channel Hearties</v>
      </c>
      <c r="U156" t="s">
        <v>4288</v>
      </c>
      <c r="V156" t="str">
        <f t="shared" si="27"/>
        <v/>
      </c>
      <c r="W156" t="str">
        <f t="shared" si="26"/>
        <v/>
      </c>
    </row>
    <row r="157" spans="1:23">
      <c r="A157">
        <f>'IPTV US'!A148</f>
        <v>10247</v>
      </c>
      <c r="B157" t="str">
        <f>T('IPTV US'!B148)</f>
        <v>Nickelodeon Pluto TV</v>
      </c>
      <c r="C157" t="s">
        <v>4288</v>
      </c>
      <c r="D157" t="str">
        <f t="shared" si="20"/>
        <v/>
      </c>
      <c r="E157" t="str">
        <f t="shared" si="21"/>
        <v/>
      </c>
      <c r="F157" s="68" t="s">
        <v>4289</v>
      </c>
      <c r="G157">
        <f>'IPTV CA'!A148</f>
        <v>10747</v>
      </c>
      <c r="H157" t="str">
        <f>T('IPTV CA'!B148)</f>
        <v/>
      </c>
      <c r="I157" t="s">
        <v>4290</v>
      </c>
      <c r="J157" t="str">
        <f t="shared" si="22"/>
        <v/>
      </c>
      <c r="K157" t="str">
        <f t="shared" si="24"/>
        <v/>
      </c>
      <c r="L157" s="69"/>
      <c r="M157">
        <f>'TMIS US'!A148</f>
        <v>8247</v>
      </c>
      <c r="N157" t="str">
        <f>T('TMIS US'!B148)</f>
        <v>Nickelodeon Pluto TV</v>
      </c>
      <c r="O157" t="s">
        <v>4288</v>
      </c>
      <c r="P157" t="str">
        <f t="shared" si="23"/>
        <v/>
      </c>
      <c r="Q157" t="str">
        <f t="shared" si="25"/>
        <v/>
      </c>
      <c r="R157" s="69"/>
      <c r="S157">
        <f>'TMIS CA'!A148</f>
        <v>9347</v>
      </c>
      <c r="T157" t="str">
        <f>T('TMIS CA'!B148)</f>
        <v/>
      </c>
      <c r="U157" t="s">
        <v>4290</v>
      </c>
      <c r="V157" t="str">
        <f t="shared" si="27"/>
        <v/>
      </c>
      <c r="W157" t="str">
        <f t="shared" si="26"/>
        <v/>
      </c>
    </row>
    <row r="158" spans="1:23">
      <c r="A158">
        <f>'IPTV US'!A149</f>
        <v>10248</v>
      </c>
      <c r="B158" t="str">
        <f>T('IPTV US'!B149)</f>
        <v>Nick Jr. Pluto TV</v>
      </c>
      <c r="C158" t="s">
        <v>4288</v>
      </c>
      <c r="D158" t="str">
        <f t="shared" si="20"/>
        <v/>
      </c>
      <c r="E158" t="str">
        <f t="shared" si="21"/>
        <v/>
      </c>
      <c r="F158" s="68" t="s">
        <v>4289</v>
      </c>
      <c r="G158">
        <f>'IPTV CA'!A149</f>
        <v>10748</v>
      </c>
      <c r="H158" t="str">
        <f>T('IPTV CA'!B149)</f>
        <v/>
      </c>
      <c r="I158" t="s">
        <v>4290</v>
      </c>
      <c r="J158" t="str">
        <f t="shared" si="22"/>
        <v/>
      </c>
      <c r="K158" t="str">
        <f t="shared" si="24"/>
        <v/>
      </c>
      <c r="L158" s="69"/>
      <c r="M158">
        <f>'TMIS US'!A149</f>
        <v>8248</v>
      </c>
      <c r="N158" t="str">
        <f>T('TMIS US'!B149)</f>
        <v>Nick Jr. Pluto TV</v>
      </c>
      <c r="O158" t="s">
        <v>4288</v>
      </c>
      <c r="P158" t="str">
        <f t="shared" si="23"/>
        <v/>
      </c>
      <c r="Q158" t="str">
        <f t="shared" si="25"/>
        <v/>
      </c>
      <c r="R158" s="69"/>
      <c r="S158">
        <f>'TMIS CA'!A149</f>
        <v>9348</v>
      </c>
      <c r="T158" t="str">
        <f>T('TMIS CA'!B149)</f>
        <v/>
      </c>
      <c r="U158" t="s">
        <v>4290</v>
      </c>
      <c r="V158" t="str">
        <f t="shared" si="27"/>
        <v/>
      </c>
      <c r="W158" t="str">
        <f t="shared" si="26"/>
        <v/>
      </c>
    </row>
    <row r="159" spans="1:23">
      <c r="A159">
        <f>'IPTV US'!A150</f>
        <v>10249</v>
      </c>
      <c r="B159" t="str">
        <f>T('IPTV US'!B150)</f>
        <v>Peppa Pig</v>
      </c>
      <c r="C159" t="s">
        <v>4288</v>
      </c>
      <c r="D159" t="str">
        <f t="shared" si="20"/>
        <v/>
      </c>
      <c r="E159" t="str">
        <f t="shared" si="21"/>
        <v/>
      </c>
      <c r="F159" s="68" t="s">
        <v>4289</v>
      </c>
      <c r="G159">
        <f>'IPTV CA'!A150</f>
        <v>10749</v>
      </c>
      <c r="H159" t="str">
        <f>T('IPTV CA'!B150)</f>
        <v>Documentary+</v>
      </c>
      <c r="I159" t="s">
        <v>4288</v>
      </c>
      <c r="J159" t="str">
        <f t="shared" si="22"/>
        <v/>
      </c>
      <c r="K159" t="str">
        <f t="shared" si="24"/>
        <v/>
      </c>
      <c r="L159" s="69"/>
      <c r="M159">
        <f>'TMIS US'!A150</f>
        <v>8249</v>
      </c>
      <c r="N159" t="str">
        <f>T('TMIS US'!B150)</f>
        <v>Peppa Pig</v>
      </c>
      <c r="O159" t="s">
        <v>4288</v>
      </c>
      <c r="P159" t="str">
        <f t="shared" si="23"/>
        <v/>
      </c>
      <c r="Q159" t="str">
        <f t="shared" si="25"/>
        <v/>
      </c>
      <c r="R159" s="69"/>
      <c r="S159">
        <f>'TMIS CA'!A150</f>
        <v>9349</v>
      </c>
      <c r="T159" t="str">
        <f>T('TMIS CA'!B150)</f>
        <v>Documentary+</v>
      </c>
      <c r="U159" t="s">
        <v>4288</v>
      </c>
      <c r="V159" t="str">
        <f t="shared" si="27"/>
        <v/>
      </c>
      <c r="W159" t="str">
        <f t="shared" si="26"/>
        <v/>
      </c>
    </row>
    <row r="160" spans="1:23">
      <c r="A160">
        <f>'IPTV US'!A151</f>
        <v>10250</v>
      </c>
      <c r="B160" t="str">
        <f>T('IPTV US'!B151)</f>
        <v>Little Angel's Playroom</v>
      </c>
      <c r="C160" t="s">
        <v>4288</v>
      </c>
      <c r="D160" t="str">
        <f t="shared" si="20"/>
        <v/>
      </c>
      <c r="E160" t="str">
        <f t="shared" si="21"/>
        <v/>
      </c>
      <c r="F160" s="68" t="s">
        <v>4289</v>
      </c>
      <c r="G160">
        <f>'IPTV CA'!A151</f>
        <v>10750</v>
      </c>
      <c r="H160" t="str">
        <f>T('IPTV CA'!B151)</f>
        <v/>
      </c>
      <c r="I160" t="s">
        <v>4290</v>
      </c>
      <c r="J160" t="str">
        <f t="shared" si="22"/>
        <v/>
      </c>
      <c r="K160" t="str">
        <f t="shared" si="24"/>
        <v/>
      </c>
      <c r="L160" s="69"/>
      <c r="M160">
        <f>'TMIS US'!A151</f>
        <v>8250</v>
      </c>
      <c r="N160" t="str">
        <f>T('TMIS US'!B151)</f>
        <v>Little Angel's Playroom</v>
      </c>
      <c r="O160" t="s">
        <v>4288</v>
      </c>
      <c r="P160" t="str">
        <f t="shared" si="23"/>
        <v/>
      </c>
      <c r="Q160" t="str">
        <f t="shared" si="25"/>
        <v/>
      </c>
      <c r="R160" s="69"/>
      <c r="S160">
        <f>'TMIS CA'!A151</f>
        <v>9350</v>
      </c>
      <c r="T160" t="str">
        <f>T('TMIS CA'!B151)</f>
        <v/>
      </c>
      <c r="U160" t="s">
        <v>4290</v>
      </c>
      <c r="V160" t="str">
        <f t="shared" si="27"/>
        <v/>
      </c>
      <c r="W160" t="str">
        <f t="shared" si="26"/>
        <v/>
      </c>
    </row>
    <row r="161" spans="1:23">
      <c r="A161">
        <f>'IPTV US'!A152</f>
        <v>10251</v>
      </c>
      <c r="B161" t="str">
        <f>T('IPTV US'!B152)</f>
        <v/>
      </c>
      <c r="C161" t="s">
        <v>4290</v>
      </c>
      <c r="D161" t="str">
        <f t="shared" si="20"/>
        <v/>
      </c>
      <c r="E161" t="str">
        <f t="shared" si="21"/>
        <v/>
      </c>
      <c r="F161" s="68" t="s">
        <v>4289</v>
      </c>
      <c r="G161">
        <f>'IPTV CA'!A152</f>
        <v>10751</v>
      </c>
      <c r="H161" t="str">
        <f>T('IPTV CA'!B152)</f>
        <v/>
      </c>
      <c r="I161" t="s">
        <v>4290</v>
      </c>
      <c r="J161" t="str">
        <f t="shared" si="22"/>
        <v/>
      </c>
      <c r="K161" t="str">
        <f t="shared" si="24"/>
        <v/>
      </c>
      <c r="L161" s="69"/>
      <c r="M161">
        <f>'TMIS US'!A152</f>
        <v>8251</v>
      </c>
      <c r="N161" t="str">
        <f>T('TMIS US'!B152)</f>
        <v/>
      </c>
      <c r="O161" t="s">
        <v>4290</v>
      </c>
      <c r="P161" t="str">
        <f t="shared" si="23"/>
        <v/>
      </c>
      <c r="Q161" t="str">
        <f t="shared" si="25"/>
        <v/>
      </c>
      <c r="R161" s="69"/>
      <c r="S161">
        <f>'TMIS CA'!A152</f>
        <v>9351</v>
      </c>
      <c r="T161" t="str">
        <f>T('TMIS CA'!B152)</f>
        <v/>
      </c>
      <c r="U161" t="s">
        <v>4290</v>
      </c>
      <c r="V161" t="str">
        <f t="shared" si="27"/>
        <v/>
      </c>
      <c r="W161" t="str">
        <f t="shared" si="26"/>
        <v/>
      </c>
    </row>
    <row r="162" spans="1:23">
      <c r="A162">
        <f>'IPTV US'!A153</f>
        <v>10252</v>
      </c>
      <c r="B162" t="str">
        <f>T('IPTV US'!B153)</f>
        <v/>
      </c>
      <c r="C162" t="s">
        <v>4290</v>
      </c>
      <c r="D162" t="str">
        <f t="shared" si="20"/>
        <v/>
      </c>
      <c r="E162" t="str">
        <f t="shared" si="21"/>
        <v/>
      </c>
      <c r="F162" s="68" t="s">
        <v>4289</v>
      </c>
      <c r="G162">
        <f>'IPTV CA'!A153</f>
        <v>10752</v>
      </c>
      <c r="H162" t="str">
        <f>T('IPTV CA'!B153)</f>
        <v/>
      </c>
      <c r="I162" t="s">
        <v>4290</v>
      </c>
      <c r="J162" t="str">
        <f t="shared" si="22"/>
        <v/>
      </c>
      <c r="K162" t="str">
        <f t="shared" si="24"/>
        <v/>
      </c>
      <c r="L162" s="69"/>
      <c r="M162">
        <f>'TMIS US'!A153</f>
        <v>8252</v>
      </c>
      <c r="N162" t="str">
        <f>T('TMIS US'!B153)</f>
        <v/>
      </c>
      <c r="O162" t="s">
        <v>4290</v>
      </c>
      <c r="P162" t="str">
        <f t="shared" si="23"/>
        <v/>
      </c>
      <c r="Q162" t="str">
        <f t="shared" si="25"/>
        <v/>
      </c>
      <c r="R162" s="69"/>
      <c r="S162">
        <f>'TMIS CA'!A153</f>
        <v>9352</v>
      </c>
      <c r="T162" t="str">
        <f>T('TMIS CA'!B153)</f>
        <v/>
      </c>
      <c r="U162" t="s">
        <v>4290</v>
      </c>
      <c r="V162" t="str">
        <f t="shared" si="27"/>
        <v/>
      </c>
      <c r="W162" t="str">
        <f t="shared" si="26"/>
        <v/>
      </c>
    </row>
    <row r="163" spans="1:23">
      <c r="A163">
        <f>'IPTV US'!A154</f>
        <v>10253</v>
      </c>
      <c r="B163" t="str">
        <f>T('IPTV US'!B154)</f>
        <v/>
      </c>
      <c r="C163" t="s">
        <v>4290</v>
      </c>
      <c r="D163" t="str">
        <f t="shared" si="20"/>
        <v/>
      </c>
      <c r="E163" t="str">
        <f t="shared" si="21"/>
        <v/>
      </c>
      <c r="F163" s="68" t="s">
        <v>4289</v>
      </c>
      <c r="G163">
        <f>'IPTV CA'!A154</f>
        <v>10753</v>
      </c>
      <c r="H163" t="str">
        <f>T('IPTV CA'!B154)</f>
        <v>Project Runway</v>
      </c>
      <c r="I163" t="s">
        <v>4288</v>
      </c>
      <c r="J163" t="str">
        <f t="shared" si="22"/>
        <v/>
      </c>
      <c r="K163" t="str">
        <f t="shared" si="24"/>
        <v/>
      </c>
      <c r="L163" s="69"/>
      <c r="M163">
        <f>'TMIS US'!A154</f>
        <v>8253</v>
      </c>
      <c r="N163" t="str">
        <f>T('TMIS US'!B154)</f>
        <v/>
      </c>
      <c r="O163" t="s">
        <v>4290</v>
      </c>
      <c r="P163" t="str">
        <f t="shared" si="23"/>
        <v/>
      </c>
      <c r="Q163" t="str">
        <f t="shared" si="25"/>
        <v/>
      </c>
      <c r="R163" s="69"/>
      <c r="S163">
        <f>'TMIS CA'!A154</f>
        <v>9353</v>
      </c>
      <c r="T163" t="str">
        <f>T('TMIS CA'!B154)</f>
        <v>Project Runway</v>
      </c>
      <c r="U163" t="s">
        <v>4288</v>
      </c>
      <c r="V163" t="str">
        <f t="shared" si="27"/>
        <v/>
      </c>
      <c r="W163" t="str">
        <f t="shared" si="26"/>
        <v/>
      </c>
    </row>
    <row r="164" spans="1:23">
      <c r="A164">
        <f>'IPTV US'!A155</f>
        <v>10254</v>
      </c>
      <c r="B164" t="str">
        <f>T('IPTV US'!B155)</f>
        <v/>
      </c>
      <c r="C164" t="s">
        <v>4290</v>
      </c>
      <c r="D164" t="str">
        <f t="shared" si="20"/>
        <v/>
      </c>
      <c r="E164" t="str">
        <f t="shared" si="21"/>
        <v/>
      </c>
      <c r="F164" s="68" t="s">
        <v>4289</v>
      </c>
      <c r="G164">
        <f>'IPTV CA'!A155</f>
        <v>10754</v>
      </c>
      <c r="H164" t="str">
        <f>T('IPTV CA'!B155)</f>
        <v/>
      </c>
      <c r="I164" t="s">
        <v>4290</v>
      </c>
      <c r="J164" t="str">
        <f t="shared" si="22"/>
        <v/>
      </c>
      <c r="K164" t="str">
        <f t="shared" si="24"/>
        <v/>
      </c>
      <c r="L164" s="69"/>
      <c r="M164">
        <f>'TMIS US'!A155</f>
        <v>8254</v>
      </c>
      <c r="N164" t="str">
        <f>T('TMIS US'!B155)</f>
        <v/>
      </c>
      <c r="O164" t="s">
        <v>4290</v>
      </c>
      <c r="P164" t="str">
        <f t="shared" si="23"/>
        <v/>
      </c>
      <c r="Q164" t="str">
        <f t="shared" si="25"/>
        <v/>
      </c>
      <c r="R164" s="69"/>
      <c r="S164">
        <f>'TMIS CA'!A155</f>
        <v>9354</v>
      </c>
      <c r="T164" t="str">
        <f>T('TMIS CA'!B155)</f>
        <v/>
      </c>
      <c r="U164" t="s">
        <v>4290</v>
      </c>
      <c r="V164" t="str">
        <f t="shared" si="27"/>
        <v/>
      </c>
      <c r="W164" t="str">
        <f t="shared" si="26"/>
        <v/>
      </c>
    </row>
    <row r="165" spans="1:23">
      <c r="A165">
        <f>'IPTV US'!A156</f>
        <v>10255</v>
      </c>
      <c r="B165" t="str">
        <f>T('IPTV US'!B156)</f>
        <v>Nickelodeon en Español</v>
      </c>
      <c r="C165" t="s">
        <v>4288</v>
      </c>
      <c r="D165" t="str">
        <f t="shared" si="20"/>
        <v/>
      </c>
      <c r="E165" t="str">
        <f t="shared" si="21"/>
        <v/>
      </c>
      <c r="F165" s="68" t="s">
        <v>4289</v>
      </c>
      <c r="G165">
        <f>'IPTV CA'!A156</f>
        <v>10755</v>
      </c>
      <c r="H165" t="str">
        <f>T('IPTV CA'!B156)</f>
        <v/>
      </c>
      <c r="I165" t="s">
        <v>4290</v>
      </c>
      <c r="J165" t="str">
        <f t="shared" si="22"/>
        <v/>
      </c>
      <c r="K165" t="str">
        <f t="shared" si="24"/>
        <v/>
      </c>
      <c r="L165" s="69"/>
      <c r="M165">
        <f>'TMIS US'!A156</f>
        <v>8255</v>
      </c>
      <c r="N165" t="str">
        <f>T('TMIS US'!B156)</f>
        <v>Nickelodeon en Español</v>
      </c>
      <c r="O165" t="s">
        <v>4288</v>
      </c>
      <c r="P165" t="str">
        <f t="shared" si="23"/>
        <v/>
      </c>
      <c r="Q165" t="str">
        <f t="shared" si="25"/>
        <v/>
      </c>
      <c r="R165" s="69"/>
      <c r="S165">
        <f>'TMIS CA'!A156</f>
        <v>9355</v>
      </c>
      <c r="T165" t="str">
        <f>T('TMIS CA'!B156)</f>
        <v/>
      </c>
      <c r="U165" t="s">
        <v>4290</v>
      </c>
      <c r="V165" t="str">
        <f t="shared" si="27"/>
        <v/>
      </c>
      <c r="W165" t="str">
        <f t="shared" si="26"/>
        <v/>
      </c>
    </row>
    <row r="166" spans="1:23">
      <c r="A166">
        <f>'IPTV US'!A157</f>
        <v>10256</v>
      </c>
      <c r="B166" t="str">
        <f>T('IPTV US'!B157)</f>
        <v/>
      </c>
      <c r="C166" t="s">
        <v>4290</v>
      </c>
      <c r="D166" t="str">
        <f t="shared" si="20"/>
        <v/>
      </c>
      <c r="E166" t="str">
        <f t="shared" si="21"/>
        <v/>
      </c>
      <c r="F166" s="68" t="s">
        <v>4289</v>
      </c>
      <c r="G166">
        <f>'IPTV CA'!A157</f>
        <v>10756</v>
      </c>
      <c r="H166" t="str">
        <f>T('IPTV CA'!B157)</f>
        <v>McLeods Daughters</v>
      </c>
      <c r="I166" t="s">
        <v>4288</v>
      </c>
      <c r="J166" t="str">
        <f t="shared" si="22"/>
        <v/>
      </c>
      <c r="K166" t="str">
        <f t="shared" si="24"/>
        <v/>
      </c>
      <c r="L166" s="69"/>
      <c r="M166">
        <f>'TMIS US'!A157</f>
        <v>8256</v>
      </c>
      <c r="N166" t="str">
        <f>T('TMIS US'!B157)</f>
        <v/>
      </c>
      <c r="O166" t="s">
        <v>4290</v>
      </c>
      <c r="P166" t="str">
        <f t="shared" si="23"/>
        <v/>
      </c>
      <c r="Q166" t="str">
        <f t="shared" si="25"/>
        <v/>
      </c>
      <c r="R166" s="69"/>
      <c r="S166">
        <f>'TMIS CA'!A157</f>
        <v>9356</v>
      </c>
      <c r="T166" t="str">
        <f>T('TMIS CA'!B157)</f>
        <v>McLeods Daughters</v>
      </c>
      <c r="U166" t="s">
        <v>4288</v>
      </c>
      <c r="V166" t="str">
        <f t="shared" si="27"/>
        <v/>
      </c>
      <c r="W166" t="str">
        <f t="shared" si="26"/>
        <v/>
      </c>
    </row>
    <row r="167" spans="1:23">
      <c r="A167">
        <f>'IPTV US'!A158</f>
        <v>10257</v>
      </c>
      <c r="B167" t="str">
        <f>T('IPTV US'!B158)</f>
        <v/>
      </c>
      <c r="C167" t="s">
        <v>4290</v>
      </c>
      <c r="D167" t="str">
        <f t="shared" si="20"/>
        <v/>
      </c>
      <c r="E167" t="str">
        <f t="shared" si="21"/>
        <v/>
      </c>
      <c r="F167" s="68" t="s">
        <v>4289</v>
      </c>
      <c r="G167">
        <f>'IPTV CA'!A158</f>
        <v>10757</v>
      </c>
      <c r="H167" t="str">
        <f>T('IPTV CA'!B158)</f>
        <v>The Conners</v>
      </c>
      <c r="I167" t="s">
        <v>4288</v>
      </c>
      <c r="J167" t="str">
        <f t="shared" si="22"/>
        <v/>
      </c>
      <c r="K167" t="str">
        <f t="shared" si="24"/>
        <v/>
      </c>
      <c r="L167" s="69"/>
      <c r="M167">
        <f>'TMIS US'!A158</f>
        <v>8257</v>
      </c>
      <c r="N167" t="str">
        <f>T('TMIS US'!B158)</f>
        <v/>
      </c>
      <c r="O167" t="s">
        <v>4290</v>
      </c>
      <c r="P167" t="str">
        <f t="shared" si="23"/>
        <v/>
      </c>
      <c r="Q167" t="str">
        <f t="shared" si="25"/>
        <v/>
      </c>
      <c r="R167" s="69"/>
      <c r="S167">
        <f>'TMIS CA'!A158</f>
        <v>9357</v>
      </c>
      <c r="T167" t="str">
        <f>T('TMIS CA'!B158)</f>
        <v>The Conners</v>
      </c>
      <c r="U167" t="s">
        <v>4288</v>
      </c>
      <c r="V167" t="str">
        <f t="shared" si="27"/>
        <v/>
      </c>
      <c r="W167" t="str">
        <f t="shared" si="26"/>
        <v/>
      </c>
    </row>
    <row r="168" spans="1:23">
      <c r="A168">
        <f>'IPTV US'!A159</f>
        <v>10258</v>
      </c>
      <c r="B168" t="str">
        <f>T('IPTV US'!B159)</f>
        <v/>
      </c>
      <c r="C168" t="s">
        <v>4290</v>
      </c>
      <c r="D168" t="str">
        <f t="shared" si="20"/>
        <v/>
      </c>
      <c r="E168" t="str">
        <f t="shared" si="21"/>
        <v/>
      </c>
      <c r="F168" s="68" t="s">
        <v>4289</v>
      </c>
      <c r="G168">
        <f>'IPTV CA'!A159</f>
        <v>10758</v>
      </c>
      <c r="H168" t="str">
        <f>T('IPTV CA'!B159)</f>
        <v/>
      </c>
      <c r="I168" t="s">
        <v>4290</v>
      </c>
      <c r="J168" t="str">
        <f t="shared" si="22"/>
        <v/>
      </c>
      <c r="K168" t="str">
        <f t="shared" si="24"/>
        <v/>
      </c>
      <c r="L168" s="69"/>
      <c r="M168">
        <f>'TMIS US'!A159</f>
        <v>8258</v>
      </c>
      <c r="N168" t="str">
        <f>T('TMIS US'!B159)</f>
        <v/>
      </c>
      <c r="O168" t="s">
        <v>4290</v>
      </c>
      <c r="P168" t="str">
        <f t="shared" si="23"/>
        <v/>
      </c>
      <c r="Q168" t="str">
        <f t="shared" si="25"/>
        <v/>
      </c>
      <c r="R168" s="69"/>
      <c r="S168">
        <f>'TMIS CA'!A159</f>
        <v>9358</v>
      </c>
      <c r="T168" t="str">
        <f>T('TMIS CA'!B159)</f>
        <v/>
      </c>
      <c r="U168" t="s">
        <v>4290</v>
      </c>
      <c r="V168" t="str">
        <f t="shared" si="27"/>
        <v/>
      </c>
      <c r="W168" t="str">
        <f t="shared" si="26"/>
        <v/>
      </c>
    </row>
    <row r="169" spans="1:23">
      <c r="A169">
        <f>'IPTV US'!A160</f>
        <v>10259</v>
      </c>
      <c r="B169" t="str">
        <f>T('IPTV US'!B160)</f>
        <v/>
      </c>
      <c r="C169" t="s">
        <v>4290</v>
      </c>
      <c r="D169" t="str">
        <f t="shared" si="20"/>
        <v/>
      </c>
      <c r="E169" t="str">
        <f t="shared" si="21"/>
        <v/>
      </c>
      <c r="F169" s="68" t="s">
        <v>4289</v>
      </c>
      <c r="G169">
        <f>'IPTV CA'!A160</f>
        <v>10759</v>
      </c>
      <c r="H169" t="str">
        <f>T('IPTV CA'!B160)</f>
        <v/>
      </c>
      <c r="I169" t="s">
        <v>4290</v>
      </c>
      <c r="J169" t="str">
        <f t="shared" si="22"/>
        <v/>
      </c>
      <c r="K169" t="str">
        <f t="shared" si="24"/>
        <v/>
      </c>
      <c r="L169" s="69"/>
      <c r="M169">
        <f>'TMIS US'!A160</f>
        <v>8259</v>
      </c>
      <c r="N169" t="str">
        <f>T('TMIS US'!B160)</f>
        <v/>
      </c>
      <c r="O169" t="s">
        <v>4290</v>
      </c>
      <c r="P169" t="str">
        <f t="shared" si="23"/>
        <v/>
      </c>
      <c r="Q169" t="str">
        <f t="shared" si="25"/>
        <v/>
      </c>
      <c r="R169" s="69"/>
      <c r="S169">
        <f>'TMIS CA'!A160</f>
        <v>9359</v>
      </c>
      <c r="T169" t="str">
        <f>T('TMIS CA'!B160)</f>
        <v/>
      </c>
      <c r="U169" t="s">
        <v>4290</v>
      </c>
      <c r="V169" t="str">
        <f t="shared" si="27"/>
        <v/>
      </c>
      <c r="W169" t="str">
        <f t="shared" si="26"/>
        <v/>
      </c>
    </row>
    <row r="170" spans="1:23">
      <c r="A170">
        <f>'IPTV US'!A161</f>
        <v>10260</v>
      </c>
      <c r="B170" t="str">
        <f>T('IPTV US'!B161)</f>
        <v>Cine Premiere</v>
      </c>
      <c r="C170" t="s">
        <v>4288</v>
      </c>
      <c r="D170" t="str">
        <f t="shared" si="20"/>
        <v/>
      </c>
      <c r="E170" t="str">
        <f t="shared" si="21"/>
        <v/>
      </c>
      <c r="F170" s="68" t="s">
        <v>4289</v>
      </c>
      <c r="G170">
        <f>'IPTV CA'!A161</f>
        <v>10760</v>
      </c>
      <c r="H170" t="str">
        <f>T('IPTV CA'!B161)</f>
        <v>Baywatch</v>
      </c>
      <c r="I170" t="s">
        <v>4288</v>
      </c>
      <c r="J170" t="str">
        <f t="shared" si="22"/>
        <v/>
      </c>
      <c r="K170" t="str">
        <f t="shared" si="24"/>
        <v/>
      </c>
      <c r="L170" s="69"/>
      <c r="M170">
        <f>'TMIS US'!A161</f>
        <v>8260</v>
      </c>
      <c r="N170" t="str">
        <f>T('TMIS US'!B161)</f>
        <v>Cine Premiere</v>
      </c>
      <c r="O170" t="s">
        <v>4288</v>
      </c>
      <c r="P170" t="str">
        <f t="shared" si="23"/>
        <v/>
      </c>
      <c r="Q170" t="str">
        <f t="shared" si="25"/>
        <v/>
      </c>
      <c r="R170" s="69"/>
      <c r="S170">
        <f>'TMIS CA'!A161</f>
        <v>9360</v>
      </c>
      <c r="T170" t="str">
        <f>T('TMIS CA'!B161)</f>
        <v>Baywatch</v>
      </c>
      <c r="U170" t="s">
        <v>4288</v>
      </c>
      <c r="V170" t="str">
        <f t="shared" si="27"/>
        <v/>
      </c>
      <c r="W170" t="str">
        <f t="shared" si="26"/>
        <v/>
      </c>
    </row>
    <row r="171" spans="1:23">
      <c r="A171">
        <f>'IPTV US'!A162</f>
        <v>10261</v>
      </c>
      <c r="B171" t="str">
        <f>T('IPTV US'!B162)</f>
        <v>Cine en español</v>
      </c>
      <c r="C171" t="s">
        <v>4288</v>
      </c>
      <c r="D171" t="str">
        <f t="shared" si="20"/>
        <v/>
      </c>
      <c r="E171" t="str">
        <f t="shared" si="21"/>
        <v/>
      </c>
      <c r="F171" s="68" t="s">
        <v>4289</v>
      </c>
      <c r="G171">
        <f>'IPTV CA'!A162</f>
        <v>10761</v>
      </c>
      <c r="H171" t="str">
        <f>T('IPTV CA'!B162)</f>
        <v>Nashville</v>
      </c>
      <c r="I171" t="s">
        <v>4288</v>
      </c>
      <c r="J171" t="str">
        <f t="shared" si="22"/>
        <v/>
      </c>
      <c r="K171" t="str">
        <f t="shared" si="24"/>
        <v/>
      </c>
      <c r="L171" s="69"/>
      <c r="M171">
        <f>'TMIS US'!A162</f>
        <v>8261</v>
      </c>
      <c r="N171" t="str">
        <f>T('TMIS US'!B162)</f>
        <v>Cine en español</v>
      </c>
      <c r="O171" t="s">
        <v>4288</v>
      </c>
      <c r="P171" t="str">
        <f t="shared" si="23"/>
        <v/>
      </c>
      <c r="Q171" t="str">
        <f t="shared" si="25"/>
        <v/>
      </c>
      <c r="R171" s="69"/>
      <c r="S171">
        <f>'TMIS CA'!A162</f>
        <v>9361</v>
      </c>
      <c r="T171" t="str">
        <f>T('TMIS CA'!B162)</f>
        <v>Nashville</v>
      </c>
      <c r="U171" t="s">
        <v>4288</v>
      </c>
      <c r="V171" t="str">
        <f t="shared" si="27"/>
        <v/>
      </c>
      <c r="W171" t="str">
        <f t="shared" si="26"/>
        <v/>
      </c>
    </row>
    <row r="172" spans="1:23">
      <c r="A172">
        <f>'IPTV US'!A163</f>
        <v>10262</v>
      </c>
      <c r="B172" t="str">
        <f>T('IPTV US'!B163)</f>
        <v>Cine adrenalina</v>
      </c>
      <c r="C172" t="s">
        <v>4288</v>
      </c>
      <c r="D172" t="str">
        <f t="shared" si="20"/>
        <v/>
      </c>
      <c r="E172" t="str">
        <f t="shared" si="21"/>
        <v/>
      </c>
      <c r="F172" s="68" t="s">
        <v>4289</v>
      </c>
      <c r="G172">
        <f>'IPTV CA'!A163</f>
        <v>10762</v>
      </c>
      <c r="H172" t="str">
        <f>T('IPTV CA'!B163)</f>
        <v>Nip/Tuck</v>
      </c>
      <c r="I172" t="s">
        <v>4288</v>
      </c>
      <c r="J172" t="str">
        <f t="shared" si="22"/>
        <v/>
      </c>
      <c r="K172" t="str">
        <f t="shared" si="24"/>
        <v/>
      </c>
      <c r="L172" s="69"/>
      <c r="M172">
        <f>'TMIS US'!A163</f>
        <v>8262</v>
      </c>
      <c r="N172" t="str">
        <f>T('TMIS US'!B163)</f>
        <v>Cine adrenalina</v>
      </c>
      <c r="O172" t="s">
        <v>4288</v>
      </c>
      <c r="P172" t="str">
        <f t="shared" si="23"/>
        <v/>
      </c>
      <c r="Q172" t="str">
        <f t="shared" si="25"/>
        <v/>
      </c>
      <c r="R172" s="69"/>
      <c r="S172">
        <f>'TMIS CA'!A163</f>
        <v>9362</v>
      </c>
      <c r="T172" t="str">
        <f>T('TMIS CA'!B163)</f>
        <v>Nip/Tuck</v>
      </c>
      <c r="U172" t="s">
        <v>4288</v>
      </c>
      <c r="V172" t="str">
        <f t="shared" si="27"/>
        <v/>
      </c>
      <c r="W172" t="str">
        <f t="shared" si="26"/>
        <v/>
      </c>
    </row>
    <row r="173" spans="1:23">
      <c r="A173">
        <f>'IPTV US'!A164</f>
        <v>10263</v>
      </c>
      <c r="B173" t="str">
        <f>T('IPTV US'!B164)</f>
        <v>Cine Terror</v>
      </c>
      <c r="C173" t="s">
        <v>4288</v>
      </c>
      <c r="D173" t="str">
        <f t="shared" si="20"/>
        <v/>
      </c>
      <c r="E173" t="str">
        <f t="shared" si="21"/>
        <v/>
      </c>
      <c r="F173" s="68" t="s">
        <v>4289</v>
      </c>
      <c r="G173">
        <f>'IPTV CA'!A164</f>
        <v>10763</v>
      </c>
      <c r="H173" t="str">
        <f>T('IPTV CA'!B164)</f>
        <v>Nash Bridges</v>
      </c>
      <c r="I173" t="s">
        <v>4288</v>
      </c>
      <c r="J173" t="str">
        <f t="shared" si="22"/>
        <v/>
      </c>
      <c r="K173" t="str">
        <f t="shared" si="24"/>
        <v/>
      </c>
      <c r="L173" s="69"/>
      <c r="M173">
        <f>'TMIS US'!A164</f>
        <v>8263</v>
      </c>
      <c r="N173" t="str">
        <f>T('TMIS US'!B164)</f>
        <v>Cine Terror</v>
      </c>
      <c r="O173" t="s">
        <v>4288</v>
      </c>
      <c r="P173" t="str">
        <f t="shared" si="23"/>
        <v/>
      </c>
      <c r="Q173" t="str">
        <f t="shared" si="25"/>
        <v/>
      </c>
      <c r="R173" s="69"/>
      <c r="S173">
        <f>'TMIS CA'!A164</f>
        <v>9363</v>
      </c>
      <c r="T173" t="str">
        <f>T('TMIS CA'!B164)</f>
        <v>Nash Bridges</v>
      </c>
      <c r="U173" t="s">
        <v>4288</v>
      </c>
      <c r="V173" t="str">
        <f t="shared" si="27"/>
        <v/>
      </c>
      <c r="W173" t="str">
        <f t="shared" si="26"/>
        <v/>
      </c>
    </row>
    <row r="174" spans="1:23">
      <c r="A174">
        <f>'IPTV US'!A165</f>
        <v>10264</v>
      </c>
      <c r="B174" t="str">
        <f>T('IPTV US'!B165)</f>
        <v/>
      </c>
      <c r="C174" t="s">
        <v>4290</v>
      </c>
      <c r="D174" t="str">
        <f t="shared" si="20"/>
        <v/>
      </c>
      <c r="E174" t="str">
        <f t="shared" si="21"/>
        <v/>
      </c>
      <c r="F174" s="68" t="s">
        <v>4289</v>
      </c>
      <c r="G174">
        <f>'IPTV CA'!A165</f>
        <v>10764</v>
      </c>
      <c r="H174" t="str">
        <f>T('IPTV CA'!B165)</f>
        <v>21 Jump Street</v>
      </c>
      <c r="I174" t="s">
        <v>4288</v>
      </c>
      <c r="J174" t="str">
        <f t="shared" si="22"/>
        <v/>
      </c>
      <c r="K174" t="str">
        <f t="shared" si="24"/>
        <v/>
      </c>
      <c r="L174" s="69"/>
      <c r="M174">
        <f>'TMIS US'!A165</f>
        <v>8264</v>
      </c>
      <c r="N174" t="str">
        <f>T('TMIS US'!B165)</f>
        <v/>
      </c>
      <c r="O174" t="s">
        <v>4290</v>
      </c>
      <c r="P174" t="str">
        <f t="shared" si="23"/>
        <v/>
      </c>
      <c r="Q174" t="str">
        <f t="shared" si="25"/>
        <v/>
      </c>
      <c r="R174" s="69"/>
      <c r="S174">
        <f>'TMIS CA'!A165</f>
        <v>9364</v>
      </c>
      <c r="T174" t="str">
        <f>T('TMIS CA'!B165)</f>
        <v>21 Jump Street</v>
      </c>
      <c r="U174" t="s">
        <v>4288</v>
      </c>
      <c r="V174" t="str">
        <f t="shared" si="27"/>
        <v/>
      </c>
      <c r="W174" t="str">
        <f t="shared" si="26"/>
        <v/>
      </c>
    </row>
    <row r="175" spans="1:23">
      <c r="A175">
        <f>'IPTV US'!A166</f>
        <v>10265</v>
      </c>
      <c r="B175" t="str">
        <f>T('IPTV US'!B166)</f>
        <v>CSI en Español</v>
      </c>
      <c r="C175" t="s">
        <v>4288</v>
      </c>
      <c r="D175" t="str">
        <f t="shared" si="20"/>
        <v/>
      </c>
      <c r="E175" t="str">
        <f t="shared" si="21"/>
        <v/>
      </c>
      <c r="F175" s="68" t="s">
        <v>4289</v>
      </c>
      <c r="G175">
        <f>'IPTV CA'!A166</f>
        <v>10765</v>
      </c>
      <c r="H175" t="str">
        <f>T('IPTV CA'!B166)</f>
        <v>Highway to Heaven</v>
      </c>
      <c r="I175" t="s">
        <v>4288</v>
      </c>
      <c r="J175" t="str">
        <f t="shared" si="22"/>
        <v/>
      </c>
      <c r="K175" t="str">
        <f t="shared" si="24"/>
        <v/>
      </c>
      <c r="L175" s="69"/>
      <c r="M175">
        <f>'TMIS US'!A166</f>
        <v>8265</v>
      </c>
      <c r="N175" t="str">
        <f>T('TMIS US'!B166)</f>
        <v>CSI en Español</v>
      </c>
      <c r="O175" t="s">
        <v>4288</v>
      </c>
      <c r="P175" t="str">
        <f t="shared" si="23"/>
        <v/>
      </c>
      <c r="Q175" t="str">
        <f t="shared" si="25"/>
        <v/>
      </c>
      <c r="R175" s="69"/>
      <c r="S175">
        <f>'TMIS CA'!A166</f>
        <v>9365</v>
      </c>
      <c r="T175" t="str">
        <f>T('TMIS CA'!B166)</f>
        <v>Highway to Heaven</v>
      </c>
      <c r="U175" t="s">
        <v>4288</v>
      </c>
      <c r="V175" t="str">
        <f t="shared" si="27"/>
        <v/>
      </c>
      <c r="W175" t="str">
        <f t="shared" si="26"/>
        <v/>
      </c>
    </row>
    <row r="176" spans="1:23">
      <c r="A176">
        <f>'IPTV US'!A167</f>
        <v>10266</v>
      </c>
      <c r="B176" t="str">
        <f>T('IPTV US'!B167)</f>
        <v>CSI: Miami en español</v>
      </c>
      <c r="C176" t="s">
        <v>4288</v>
      </c>
      <c r="D176" t="str">
        <f t="shared" si="20"/>
        <v/>
      </c>
      <c r="E176" t="str">
        <f t="shared" si="21"/>
        <v/>
      </c>
      <c r="F176" s="68" t="s">
        <v>4289</v>
      </c>
      <c r="G176">
        <f>'IPTV CA'!A167</f>
        <v>10766</v>
      </c>
      <c r="H176" t="str">
        <f>T('IPTV CA'!B167)</f>
        <v/>
      </c>
      <c r="I176" t="s">
        <v>4290</v>
      </c>
      <c r="J176" t="str">
        <f t="shared" si="22"/>
        <v/>
      </c>
      <c r="K176" t="str">
        <f t="shared" si="24"/>
        <v/>
      </c>
      <c r="L176" s="69"/>
      <c r="M176">
        <f>'TMIS US'!A167</f>
        <v>8266</v>
      </c>
      <c r="N176" t="str">
        <f>T('TMIS US'!B167)</f>
        <v>CSI: Miami en español</v>
      </c>
      <c r="O176" t="s">
        <v>4288</v>
      </c>
      <c r="P176" t="str">
        <f t="shared" si="23"/>
        <v/>
      </c>
      <c r="Q176" t="str">
        <f t="shared" si="25"/>
        <v/>
      </c>
      <c r="R176" s="69"/>
      <c r="S176">
        <f>'TMIS CA'!A167</f>
        <v>9366</v>
      </c>
      <c r="T176" t="str">
        <f>T('TMIS CA'!B167)</f>
        <v/>
      </c>
      <c r="U176" t="s">
        <v>4290</v>
      </c>
      <c r="V176" t="str">
        <f t="shared" si="27"/>
        <v/>
      </c>
      <c r="W176" t="str">
        <f t="shared" si="26"/>
        <v/>
      </c>
    </row>
    <row r="177" spans="1:23">
      <c r="A177">
        <f>'IPTV US'!A168</f>
        <v>10267</v>
      </c>
      <c r="B177" t="str">
        <f>T('IPTV US'!B168)</f>
        <v>CSI: NY en español</v>
      </c>
      <c r="C177" t="s">
        <v>4288</v>
      </c>
      <c r="D177" t="str">
        <f t="shared" si="20"/>
        <v/>
      </c>
      <c r="E177" t="str">
        <f t="shared" si="21"/>
        <v/>
      </c>
      <c r="F177" s="68" t="s">
        <v>4289</v>
      </c>
      <c r="G177">
        <f>'IPTV CA'!A168</f>
        <v>10767</v>
      </c>
      <c r="H177" t="str">
        <f>T('IPTV CA'!B168)</f>
        <v/>
      </c>
      <c r="I177" t="s">
        <v>4290</v>
      </c>
      <c r="J177" t="str">
        <f t="shared" si="22"/>
        <v/>
      </c>
      <c r="K177" t="str">
        <f t="shared" si="24"/>
        <v/>
      </c>
      <c r="L177" s="69"/>
      <c r="M177">
        <f>'TMIS US'!A168</f>
        <v>8267</v>
      </c>
      <c r="N177" t="str">
        <f>T('TMIS US'!B168)</f>
        <v>CSI: NY en español</v>
      </c>
      <c r="O177" t="s">
        <v>4288</v>
      </c>
      <c r="P177" t="str">
        <f t="shared" si="23"/>
        <v/>
      </c>
      <c r="Q177" t="str">
        <f t="shared" si="25"/>
        <v/>
      </c>
      <c r="R177" s="69"/>
      <c r="S177">
        <f>'TMIS CA'!A168</f>
        <v>9367</v>
      </c>
      <c r="T177" t="str">
        <f>T('TMIS CA'!B168)</f>
        <v/>
      </c>
      <c r="U177" t="s">
        <v>4290</v>
      </c>
      <c r="V177" t="str">
        <f t="shared" si="27"/>
        <v/>
      </c>
      <c r="W177" t="str">
        <f t="shared" si="26"/>
        <v/>
      </c>
    </row>
    <row r="178" spans="1:23">
      <c r="A178">
        <f>'IPTV US'!A169</f>
        <v>10268</v>
      </c>
      <c r="B178" t="str">
        <f>T('IPTV US'!B169)</f>
        <v>The Walking Dead en Español</v>
      </c>
      <c r="C178" t="s">
        <v>4288</v>
      </c>
      <c r="D178" t="str">
        <f t="shared" si="20"/>
        <v/>
      </c>
      <c r="E178" t="str">
        <f t="shared" si="21"/>
        <v/>
      </c>
      <c r="F178" s="68" t="s">
        <v>4289</v>
      </c>
      <c r="G178">
        <f>'IPTV CA'!A169</f>
        <v>10768</v>
      </c>
      <c r="H178" t="str">
        <f>T('IPTV CA'!B169)</f>
        <v>Three's Company</v>
      </c>
      <c r="I178" t="s">
        <v>4288</v>
      </c>
      <c r="J178" t="str">
        <f t="shared" si="22"/>
        <v/>
      </c>
      <c r="K178" t="str">
        <f t="shared" si="24"/>
        <v/>
      </c>
      <c r="L178" s="69"/>
      <c r="M178">
        <f>'TMIS US'!A169</f>
        <v>8268</v>
      </c>
      <c r="N178" t="str">
        <f>T('TMIS US'!B169)</f>
        <v>The Walking Dead en Español</v>
      </c>
      <c r="O178" t="s">
        <v>4288</v>
      </c>
      <c r="P178" t="str">
        <f t="shared" si="23"/>
        <v/>
      </c>
      <c r="Q178" t="str">
        <f t="shared" si="25"/>
        <v/>
      </c>
      <c r="R178" s="69"/>
      <c r="S178">
        <f>'TMIS CA'!A169</f>
        <v>9368</v>
      </c>
      <c r="T178" t="str">
        <f>T('TMIS CA'!B169)</f>
        <v>Three's Company</v>
      </c>
      <c r="U178" t="s">
        <v>4288</v>
      </c>
      <c r="V178" t="str">
        <f t="shared" si="27"/>
        <v/>
      </c>
      <c r="W178" t="str">
        <f t="shared" si="26"/>
        <v/>
      </c>
    </row>
    <row r="179" spans="1:23">
      <c r="A179">
        <f>'IPTV US'!A170</f>
        <v>10269</v>
      </c>
      <c r="B179" t="str">
        <f>T('IPTV US'!B170)</f>
        <v/>
      </c>
      <c r="C179" t="s">
        <v>4290</v>
      </c>
      <c r="D179" t="str">
        <f t="shared" si="20"/>
        <v/>
      </c>
      <c r="E179" t="str">
        <f t="shared" si="21"/>
        <v/>
      </c>
      <c r="F179" s="68" t="s">
        <v>4289</v>
      </c>
      <c r="G179">
        <f>'IPTV CA'!A170</f>
        <v>10769</v>
      </c>
      <c r="H179" t="str">
        <f>T('IPTV CA'!B170)</f>
        <v/>
      </c>
      <c r="I179" t="s">
        <v>4290</v>
      </c>
      <c r="J179" t="str">
        <f t="shared" si="22"/>
        <v/>
      </c>
      <c r="K179" t="str">
        <f t="shared" si="24"/>
        <v/>
      </c>
      <c r="L179" s="69"/>
      <c r="M179">
        <f>'TMIS US'!A170</f>
        <v>8269</v>
      </c>
      <c r="N179" t="str">
        <f>T('TMIS US'!B170)</f>
        <v/>
      </c>
      <c r="O179" t="s">
        <v>4290</v>
      </c>
      <c r="P179" t="str">
        <f t="shared" si="23"/>
        <v/>
      </c>
      <c r="Q179" t="str">
        <f t="shared" si="25"/>
        <v/>
      </c>
      <c r="R179" s="69"/>
      <c r="S179">
        <f>'TMIS CA'!A170</f>
        <v>9369</v>
      </c>
      <c r="T179" t="str">
        <f>T('TMIS CA'!B170)</f>
        <v/>
      </c>
      <c r="U179" t="s">
        <v>4290</v>
      </c>
      <c r="V179" t="str">
        <f t="shared" si="27"/>
        <v/>
      </c>
      <c r="W179" t="str">
        <f t="shared" si="26"/>
        <v/>
      </c>
    </row>
    <row r="180" spans="1:23">
      <c r="A180">
        <f>'IPTV US'!A171</f>
        <v>10270</v>
      </c>
      <c r="B180" t="str">
        <f>T('IPTV US'!B171)</f>
        <v/>
      </c>
      <c r="C180" t="s">
        <v>4290</v>
      </c>
      <c r="D180" t="str">
        <f t="shared" si="20"/>
        <v/>
      </c>
      <c r="E180" t="str">
        <f t="shared" si="21"/>
        <v/>
      </c>
      <c r="F180" s="68" t="s">
        <v>4289</v>
      </c>
      <c r="G180">
        <f>'IPTV CA'!A171</f>
        <v>10770</v>
      </c>
      <c r="H180" t="str">
        <f>T('IPTV CA'!B171)</f>
        <v/>
      </c>
      <c r="I180" t="s">
        <v>4290</v>
      </c>
      <c r="J180" t="str">
        <f t="shared" si="22"/>
        <v/>
      </c>
      <c r="K180" t="str">
        <f t="shared" si="24"/>
        <v/>
      </c>
      <c r="L180" s="69"/>
      <c r="M180">
        <f>'TMIS US'!A171</f>
        <v>8270</v>
      </c>
      <c r="N180" t="str">
        <f>T('TMIS US'!B171)</f>
        <v/>
      </c>
      <c r="O180" t="s">
        <v>4290</v>
      </c>
      <c r="P180" t="str">
        <f t="shared" si="23"/>
        <v/>
      </c>
      <c r="Q180" t="str">
        <f t="shared" si="25"/>
        <v/>
      </c>
      <c r="R180" s="69"/>
      <c r="S180">
        <f>'TMIS CA'!A171</f>
        <v>9370</v>
      </c>
      <c r="T180" t="str">
        <f>T('TMIS CA'!B171)</f>
        <v/>
      </c>
      <c r="U180" t="s">
        <v>4290</v>
      </c>
      <c r="V180" t="str">
        <f t="shared" si="27"/>
        <v/>
      </c>
      <c r="W180" t="str">
        <f t="shared" si="26"/>
        <v/>
      </c>
    </row>
    <row r="181" spans="1:23">
      <c r="A181">
        <f>'IPTV US'!A172</f>
        <v>10271</v>
      </c>
      <c r="B181" t="str">
        <f>T('IPTV US'!B172)</f>
        <v/>
      </c>
      <c r="C181" t="s">
        <v>4290</v>
      </c>
      <c r="D181" t="str">
        <f t="shared" si="20"/>
        <v/>
      </c>
      <c r="E181" t="str">
        <f t="shared" si="21"/>
        <v/>
      </c>
      <c r="F181" s="68" t="s">
        <v>4289</v>
      </c>
      <c r="G181">
        <f>'IPTV CA'!A172</f>
        <v>10771</v>
      </c>
      <c r="H181" t="str">
        <f>T('IPTV CA'!B172)</f>
        <v>Primetime Soaps</v>
      </c>
      <c r="I181" t="s">
        <v>4288</v>
      </c>
      <c r="J181" t="str">
        <f t="shared" si="22"/>
        <v/>
      </c>
      <c r="K181" t="str">
        <f t="shared" si="24"/>
        <v/>
      </c>
      <c r="L181" s="69"/>
      <c r="M181">
        <f>'TMIS US'!A172</f>
        <v>8271</v>
      </c>
      <c r="N181" t="str">
        <f>T('TMIS US'!B172)</f>
        <v/>
      </c>
      <c r="O181" t="s">
        <v>4290</v>
      </c>
      <c r="P181" t="str">
        <f t="shared" si="23"/>
        <v/>
      </c>
      <c r="Q181" t="str">
        <f t="shared" si="25"/>
        <v/>
      </c>
      <c r="R181" s="69"/>
      <c r="S181">
        <f>'TMIS CA'!A172</f>
        <v>9371</v>
      </c>
      <c r="T181" t="str">
        <f>T('TMIS CA'!B172)</f>
        <v>Primetime Soaps</v>
      </c>
      <c r="U181" t="s">
        <v>4288</v>
      </c>
      <c r="V181" t="str">
        <f t="shared" si="27"/>
        <v/>
      </c>
      <c r="W181" t="str">
        <f t="shared" si="26"/>
        <v/>
      </c>
    </row>
    <row r="182" spans="1:23">
      <c r="A182">
        <f>'IPTV US'!A173</f>
        <v>10272</v>
      </c>
      <c r="B182" t="str">
        <f>T('IPTV US'!B173)</f>
        <v/>
      </c>
      <c r="C182" t="s">
        <v>4290</v>
      </c>
      <c r="D182" t="str">
        <f t="shared" si="20"/>
        <v/>
      </c>
      <c r="E182" t="str">
        <f t="shared" si="21"/>
        <v/>
      </c>
      <c r="F182" s="68" t="s">
        <v>4289</v>
      </c>
      <c r="G182">
        <f>'IPTV CA'!A173</f>
        <v>10772</v>
      </c>
      <c r="H182" t="str">
        <f>T('IPTV CA'!B173)</f>
        <v>Hunter</v>
      </c>
      <c r="I182" t="s">
        <v>4288</v>
      </c>
      <c r="J182" t="str">
        <f t="shared" si="22"/>
        <v/>
      </c>
      <c r="K182" t="str">
        <f t="shared" si="24"/>
        <v/>
      </c>
      <c r="L182" s="69"/>
      <c r="M182">
        <f>'TMIS US'!A173</f>
        <v>8272</v>
      </c>
      <c r="N182" t="str">
        <f>T('TMIS US'!B173)</f>
        <v/>
      </c>
      <c r="O182" t="s">
        <v>4290</v>
      </c>
      <c r="P182" t="str">
        <f t="shared" si="23"/>
        <v/>
      </c>
      <c r="Q182" t="str">
        <f t="shared" si="25"/>
        <v/>
      </c>
      <c r="R182" s="69"/>
      <c r="S182">
        <f>'TMIS CA'!A173</f>
        <v>9372</v>
      </c>
      <c r="T182" t="str">
        <f>T('TMIS CA'!B173)</f>
        <v>Hunter</v>
      </c>
      <c r="U182" t="s">
        <v>4288</v>
      </c>
      <c r="V182" t="str">
        <f t="shared" si="27"/>
        <v/>
      </c>
      <c r="W182" t="str">
        <f t="shared" si="26"/>
        <v/>
      </c>
    </row>
    <row r="183" spans="1:23">
      <c r="A183">
        <f>'IPTV US'!A174</f>
        <v>10273</v>
      </c>
      <c r="B183" t="str">
        <f>T('IPTV US'!B174)</f>
        <v/>
      </c>
      <c r="C183" t="s">
        <v>4290</v>
      </c>
      <c r="D183" t="str">
        <f t="shared" si="20"/>
        <v/>
      </c>
      <c r="E183" t="str">
        <f t="shared" si="21"/>
        <v/>
      </c>
      <c r="F183" s="68" t="s">
        <v>4289</v>
      </c>
      <c r="G183">
        <f>'IPTV CA'!A174</f>
        <v>10773</v>
      </c>
      <c r="H183" t="str">
        <f>T('IPTV CA'!B174)</f>
        <v>Non-Stop '90s</v>
      </c>
      <c r="I183" t="s">
        <v>4288</v>
      </c>
      <c r="J183" t="str">
        <f t="shared" si="22"/>
        <v/>
      </c>
      <c r="K183" t="str">
        <f t="shared" si="24"/>
        <v/>
      </c>
      <c r="L183" s="69"/>
      <c r="M183">
        <f>'TMIS US'!A174</f>
        <v>8273</v>
      </c>
      <c r="N183" t="str">
        <f>T('TMIS US'!B174)</f>
        <v/>
      </c>
      <c r="O183" t="s">
        <v>4290</v>
      </c>
      <c r="P183" t="str">
        <f t="shared" si="23"/>
        <v/>
      </c>
      <c r="Q183" t="str">
        <f t="shared" si="25"/>
        <v/>
      </c>
      <c r="R183" s="69"/>
      <c r="S183">
        <f>'TMIS CA'!A174</f>
        <v>9373</v>
      </c>
      <c r="T183" t="str">
        <f>T('TMIS CA'!B174)</f>
        <v>Non-Stop '90s</v>
      </c>
      <c r="U183" t="s">
        <v>4288</v>
      </c>
      <c r="V183" t="str">
        <f t="shared" si="27"/>
        <v/>
      </c>
      <c r="W183" t="str">
        <f t="shared" si="26"/>
        <v/>
      </c>
    </row>
    <row r="184" spans="1:23">
      <c r="A184">
        <f>'IPTV US'!A175</f>
        <v>10274</v>
      </c>
      <c r="B184" t="str">
        <f>T('IPTV US'!B175)</f>
        <v/>
      </c>
      <c r="C184" t="s">
        <v>4290</v>
      </c>
      <c r="D184" t="str">
        <f t="shared" si="20"/>
        <v/>
      </c>
      <c r="E184" t="str">
        <f t="shared" si="21"/>
        <v/>
      </c>
      <c r="F184" s="68" t="s">
        <v>4289</v>
      </c>
      <c r="G184">
        <f>'IPTV CA'!A175</f>
        <v>10774</v>
      </c>
      <c r="H184" t="str">
        <f>T('IPTV CA'!B175)</f>
        <v>Mr. Bean Live Action</v>
      </c>
      <c r="I184" t="s">
        <v>4288</v>
      </c>
      <c r="J184" t="str">
        <f t="shared" si="22"/>
        <v/>
      </c>
      <c r="K184" t="str">
        <f t="shared" si="24"/>
        <v/>
      </c>
      <c r="L184" s="69"/>
      <c r="M184">
        <f>'TMIS US'!A175</f>
        <v>8274</v>
      </c>
      <c r="N184" t="str">
        <f>T('TMIS US'!B175)</f>
        <v/>
      </c>
      <c r="O184" t="s">
        <v>4290</v>
      </c>
      <c r="P184" t="str">
        <f t="shared" si="23"/>
        <v/>
      </c>
      <c r="Q184" t="str">
        <f t="shared" si="25"/>
        <v/>
      </c>
      <c r="R184" s="69"/>
      <c r="S184">
        <f>'TMIS CA'!A175</f>
        <v>9374</v>
      </c>
      <c r="T184" t="str">
        <f>T('TMIS CA'!B175)</f>
        <v>Mr. Bean Live Action</v>
      </c>
      <c r="U184" t="s">
        <v>4288</v>
      </c>
      <c r="V184" t="str">
        <f t="shared" si="27"/>
        <v/>
      </c>
      <c r="W184" t="str">
        <f t="shared" si="26"/>
        <v/>
      </c>
    </row>
    <row r="185" spans="1:23">
      <c r="A185">
        <f>'IPTV US'!A176</f>
        <v>10275</v>
      </c>
      <c r="B185" t="str">
        <f>T('IPTV US'!B176)</f>
        <v>Comedy Central en Español</v>
      </c>
      <c r="C185" t="s">
        <v>4288</v>
      </c>
      <c r="D185" t="str">
        <f t="shared" si="20"/>
        <v/>
      </c>
      <c r="E185" t="str">
        <f t="shared" si="21"/>
        <v/>
      </c>
      <c r="F185" s="68" t="s">
        <v>4289</v>
      </c>
      <c r="G185">
        <f>'IPTV CA'!A176</f>
        <v>10775</v>
      </c>
      <c r="H185" t="str">
        <f>T('IPTV CA'!B176)</f>
        <v/>
      </c>
      <c r="I185" t="s">
        <v>4290</v>
      </c>
      <c r="J185" t="str">
        <f t="shared" si="22"/>
        <v/>
      </c>
      <c r="K185" t="str">
        <f t="shared" si="24"/>
        <v/>
      </c>
      <c r="L185" s="69"/>
      <c r="M185">
        <f>'TMIS US'!A176</f>
        <v>8275</v>
      </c>
      <c r="N185" t="str">
        <f>T('TMIS US'!B176)</f>
        <v>Comedy Central en Español</v>
      </c>
      <c r="O185" t="s">
        <v>4288</v>
      </c>
      <c r="P185" t="str">
        <f t="shared" si="23"/>
        <v/>
      </c>
      <c r="Q185" t="str">
        <f t="shared" si="25"/>
        <v/>
      </c>
      <c r="R185" s="69"/>
      <c r="S185">
        <f>'TMIS CA'!A176</f>
        <v>9375</v>
      </c>
      <c r="T185" t="str">
        <f>T('TMIS CA'!B176)</f>
        <v/>
      </c>
      <c r="U185" t="s">
        <v>4290</v>
      </c>
      <c r="V185" t="str">
        <f t="shared" si="27"/>
        <v/>
      </c>
      <c r="W185" t="str">
        <f t="shared" si="26"/>
        <v/>
      </c>
    </row>
    <row r="186" spans="1:23">
      <c r="A186">
        <f>'IPTV US'!A177</f>
        <v>10276</v>
      </c>
      <c r="B186" t="str">
        <f>T('IPTV US'!B177)</f>
        <v/>
      </c>
      <c r="C186" t="s">
        <v>4290</v>
      </c>
      <c r="D186" t="str">
        <f t="shared" si="20"/>
        <v/>
      </c>
      <c r="E186" t="str">
        <f t="shared" si="21"/>
        <v/>
      </c>
      <c r="F186" s="68" t="s">
        <v>4289</v>
      </c>
      <c r="G186">
        <f>'IPTV CA'!A177</f>
        <v>10776</v>
      </c>
      <c r="H186" t="str">
        <f>T('IPTV CA'!B177)</f>
        <v/>
      </c>
      <c r="I186" t="s">
        <v>4290</v>
      </c>
      <c r="J186" t="str">
        <f t="shared" si="22"/>
        <v/>
      </c>
      <c r="K186" t="str">
        <f t="shared" si="24"/>
        <v/>
      </c>
      <c r="L186" s="69"/>
      <c r="M186">
        <f>'TMIS US'!A177</f>
        <v>8276</v>
      </c>
      <c r="N186" t="str">
        <f>T('TMIS US'!B177)</f>
        <v/>
      </c>
      <c r="O186" t="s">
        <v>4290</v>
      </c>
      <c r="P186" t="str">
        <f t="shared" si="23"/>
        <v/>
      </c>
      <c r="Q186" t="str">
        <f t="shared" si="25"/>
        <v/>
      </c>
      <c r="R186" s="69"/>
      <c r="S186">
        <f>'TMIS CA'!A177</f>
        <v>9376</v>
      </c>
      <c r="T186" t="str">
        <f>T('TMIS CA'!B177)</f>
        <v/>
      </c>
      <c r="U186" t="s">
        <v>4290</v>
      </c>
      <c r="V186" t="str">
        <f t="shared" si="27"/>
        <v/>
      </c>
      <c r="W186" t="str">
        <f t="shared" si="26"/>
        <v/>
      </c>
    </row>
    <row r="187" spans="1:23">
      <c r="A187">
        <f>'IPTV US'!A178</f>
        <v>10277</v>
      </c>
      <c r="B187" t="str">
        <f>T('IPTV US'!B178)</f>
        <v>Crímenes imperfectos</v>
      </c>
      <c r="C187" t="s">
        <v>4288</v>
      </c>
      <c r="D187" t="str">
        <f t="shared" si="20"/>
        <v/>
      </c>
      <c r="E187" t="str">
        <f t="shared" si="21"/>
        <v/>
      </c>
      <c r="F187" s="68" t="s">
        <v>4289</v>
      </c>
      <c r="G187">
        <f>'IPTV CA'!A178</f>
        <v>10777</v>
      </c>
      <c r="H187" t="str">
        <f>T('IPTV CA'!B178)</f>
        <v>The Ed Sullivan Show</v>
      </c>
      <c r="I187" t="s">
        <v>4288</v>
      </c>
      <c r="J187" t="str">
        <f t="shared" si="22"/>
        <v/>
      </c>
      <c r="K187" t="str">
        <f t="shared" si="24"/>
        <v/>
      </c>
      <c r="L187" s="69"/>
      <c r="M187">
        <f>'TMIS US'!A178</f>
        <v>8277</v>
      </c>
      <c r="N187" t="str">
        <f>T('TMIS US'!B178)</f>
        <v>Crímenes imperfectos</v>
      </c>
      <c r="O187" t="s">
        <v>4288</v>
      </c>
      <c r="P187" t="str">
        <f t="shared" si="23"/>
        <v/>
      </c>
      <c r="Q187" t="str">
        <f t="shared" si="25"/>
        <v/>
      </c>
      <c r="R187" s="69"/>
      <c r="S187">
        <f>'TMIS CA'!A178</f>
        <v>9377</v>
      </c>
      <c r="T187" t="str">
        <f>T('TMIS CA'!B178)</f>
        <v>The Ed Sullivan Show</v>
      </c>
      <c r="U187" t="s">
        <v>4288</v>
      </c>
      <c r="V187" t="str">
        <f t="shared" si="27"/>
        <v/>
      </c>
      <c r="W187" t="str">
        <f t="shared" si="26"/>
        <v/>
      </c>
    </row>
    <row r="188" spans="1:23">
      <c r="A188">
        <f>'IPTV US'!A179</f>
        <v>10278</v>
      </c>
      <c r="B188" t="str">
        <f>T('IPTV US'!B179)</f>
        <v>Investiga</v>
      </c>
      <c r="C188" t="s">
        <v>4288</v>
      </c>
      <c r="D188" t="str">
        <f t="shared" si="20"/>
        <v/>
      </c>
      <c r="E188" t="str">
        <f t="shared" si="21"/>
        <v/>
      </c>
      <c r="F188" s="68" t="s">
        <v>4289</v>
      </c>
      <c r="G188">
        <f>'IPTV CA'!A179</f>
        <v>10778</v>
      </c>
      <c r="H188" t="str">
        <f>T('IPTV CA'!B179)</f>
        <v>Johnny Carson TV</v>
      </c>
      <c r="I188" t="s">
        <v>4288</v>
      </c>
      <c r="J188" t="str">
        <f t="shared" si="22"/>
        <v/>
      </c>
      <c r="K188" t="str">
        <f t="shared" si="24"/>
        <v/>
      </c>
      <c r="L188" s="69"/>
      <c r="M188">
        <f>'TMIS US'!A179</f>
        <v>8278</v>
      </c>
      <c r="N188" t="str">
        <f>T('TMIS US'!B179)</f>
        <v>Investiga</v>
      </c>
      <c r="O188" t="s">
        <v>4288</v>
      </c>
      <c r="P188" t="str">
        <f t="shared" si="23"/>
        <v/>
      </c>
      <c r="Q188" t="str">
        <f t="shared" si="25"/>
        <v/>
      </c>
      <c r="R188" s="69"/>
      <c r="S188">
        <f>'TMIS CA'!A179</f>
        <v>9378</v>
      </c>
      <c r="T188" t="str">
        <f>T('TMIS CA'!B179)</f>
        <v>Johnny Carson TV</v>
      </c>
      <c r="U188" t="s">
        <v>4288</v>
      </c>
      <c r="V188" t="str">
        <f t="shared" si="27"/>
        <v/>
      </c>
      <c r="W188" t="str">
        <f t="shared" si="26"/>
        <v/>
      </c>
    </row>
    <row r="189" spans="1:23">
      <c r="A189">
        <f>'IPTV US'!A180</f>
        <v>10279</v>
      </c>
      <c r="B189" t="str">
        <f>T('IPTV US'!B180)</f>
        <v/>
      </c>
      <c r="C189" t="s">
        <v>4290</v>
      </c>
      <c r="D189" t="str">
        <f t="shared" si="20"/>
        <v/>
      </c>
      <c r="E189" t="str">
        <f t="shared" si="21"/>
        <v/>
      </c>
      <c r="F189" s="68" t="s">
        <v>4289</v>
      </c>
      <c r="G189">
        <f>'IPTV CA'!A180</f>
        <v>10779</v>
      </c>
      <c r="H189" t="str">
        <f>T('IPTV CA'!B180)</f>
        <v>The Carol Burnett Show</v>
      </c>
      <c r="I189" t="s">
        <v>4288</v>
      </c>
      <c r="J189" t="str">
        <f t="shared" si="22"/>
        <v/>
      </c>
      <c r="K189" t="str">
        <f t="shared" si="24"/>
        <v/>
      </c>
      <c r="L189" s="69"/>
      <c r="M189">
        <f>'TMIS US'!A180</f>
        <v>8279</v>
      </c>
      <c r="N189" t="str">
        <f>T('TMIS US'!B180)</f>
        <v/>
      </c>
      <c r="O189" t="s">
        <v>4290</v>
      </c>
      <c r="P189" t="str">
        <f t="shared" si="23"/>
        <v/>
      </c>
      <c r="Q189" t="str">
        <f t="shared" si="25"/>
        <v/>
      </c>
      <c r="R189" s="69"/>
      <c r="S189">
        <f>'TMIS CA'!A180</f>
        <v>9379</v>
      </c>
      <c r="T189" t="str">
        <f>T('TMIS CA'!B180)</f>
        <v>The Carol Burnett Show</v>
      </c>
      <c r="U189" t="s">
        <v>4288</v>
      </c>
      <c r="V189" t="str">
        <f t="shared" si="27"/>
        <v/>
      </c>
      <c r="W189" t="str">
        <f t="shared" si="26"/>
        <v/>
      </c>
    </row>
    <row r="190" spans="1:23">
      <c r="A190">
        <f>'IPTV US'!A181</f>
        <v>10280</v>
      </c>
      <c r="B190" t="str">
        <f>T('IPTV US'!B181)</f>
        <v/>
      </c>
      <c r="C190" t="s">
        <v>4290</v>
      </c>
      <c r="D190" t="str">
        <f t="shared" si="20"/>
        <v/>
      </c>
      <c r="E190" t="str">
        <f t="shared" si="21"/>
        <v/>
      </c>
      <c r="F190" s="68" t="s">
        <v>4289</v>
      </c>
      <c r="G190">
        <f>'IPTV CA'!A181</f>
        <v>10780</v>
      </c>
      <c r="H190" t="str">
        <f>T('IPTV CA'!B181)</f>
        <v/>
      </c>
      <c r="I190" t="s">
        <v>4290</v>
      </c>
      <c r="J190" t="str">
        <f t="shared" si="22"/>
        <v/>
      </c>
      <c r="K190" t="str">
        <f t="shared" si="24"/>
        <v/>
      </c>
      <c r="L190" s="69"/>
      <c r="M190">
        <f>'TMIS US'!A181</f>
        <v>8280</v>
      </c>
      <c r="N190" t="str">
        <f>T('TMIS US'!B181)</f>
        <v/>
      </c>
      <c r="O190" t="s">
        <v>4290</v>
      </c>
      <c r="P190" t="str">
        <f t="shared" si="23"/>
        <v/>
      </c>
      <c r="Q190" t="str">
        <f t="shared" si="25"/>
        <v/>
      </c>
      <c r="R190" s="69"/>
      <c r="S190">
        <f>'TMIS CA'!A181</f>
        <v>9380</v>
      </c>
      <c r="T190" t="str">
        <f>T('TMIS CA'!B181)</f>
        <v/>
      </c>
      <c r="U190" t="s">
        <v>4290</v>
      </c>
      <c r="V190" t="str">
        <f t="shared" si="27"/>
        <v/>
      </c>
      <c r="W190" t="str">
        <f t="shared" si="26"/>
        <v/>
      </c>
    </row>
    <row r="191" spans="1:23">
      <c r="A191">
        <f>'IPTV US'!A182</f>
        <v>10281</v>
      </c>
      <c r="B191" t="str">
        <f>T('IPTV US'!B182)</f>
        <v/>
      </c>
      <c r="C191" t="s">
        <v>4290</v>
      </c>
      <c r="D191" t="str">
        <f t="shared" si="20"/>
        <v/>
      </c>
      <c r="E191" t="str">
        <f t="shared" si="21"/>
        <v/>
      </c>
      <c r="F191" s="68" t="s">
        <v>4289</v>
      </c>
      <c r="G191">
        <f>'IPTV CA'!A182</f>
        <v>10781</v>
      </c>
      <c r="H191" t="str">
        <f>T('IPTV CA'!B182)</f>
        <v/>
      </c>
      <c r="I191" t="s">
        <v>4290</v>
      </c>
      <c r="J191" t="str">
        <f t="shared" si="22"/>
        <v/>
      </c>
      <c r="K191" t="str">
        <f t="shared" si="24"/>
        <v/>
      </c>
      <c r="L191" s="69"/>
      <c r="M191">
        <f>'TMIS US'!A182</f>
        <v>8281</v>
      </c>
      <c r="N191" t="str">
        <f>T('TMIS US'!B182)</f>
        <v/>
      </c>
      <c r="O191" t="s">
        <v>4290</v>
      </c>
      <c r="P191" t="str">
        <f t="shared" si="23"/>
        <v/>
      </c>
      <c r="Q191" t="str">
        <f t="shared" si="25"/>
        <v/>
      </c>
      <c r="R191" s="69"/>
      <c r="S191">
        <f>'TMIS CA'!A182</f>
        <v>9381</v>
      </c>
      <c r="T191" t="str">
        <f>T('TMIS CA'!B182)</f>
        <v/>
      </c>
      <c r="U191" t="s">
        <v>4290</v>
      </c>
      <c r="V191" t="str">
        <f t="shared" si="27"/>
        <v/>
      </c>
      <c r="W191" t="str">
        <f t="shared" si="26"/>
        <v/>
      </c>
    </row>
    <row r="192" spans="1:23">
      <c r="A192">
        <f>'IPTV US'!A183</f>
        <v>10282</v>
      </c>
      <c r="B192" t="str">
        <f>T('IPTV US'!B183)</f>
        <v/>
      </c>
      <c r="C192" t="s">
        <v>4290</v>
      </c>
      <c r="D192" t="str">
        <f t="shared" si="20"/>
        <v/>
      </c>
      <c r="E192" t="str">
        <f t="shared" si="21"/>
        <v/>
      </c>
      <c r="F192" s="68" t="s">
        <v>4289</v>
      </c>
      <c r="G192">
        <f>'IPTV CA'!A183</f>
        <v>10782</v>
      </c>
      <c r="H192" t="str">
        <f>T('IPTV CA'!B183)</f>
        <v>FreeTV Drama Vault</v>
      </c>
      <c r="I192" t="s">
        <v>4288</v>
      </c>
      <c r="J192" t="str">
        <f t="shared" si="22"/>
        <v/>
      </c>
      <c r="K192" t="str">
        <f t="shared" si="24"/>
        <v/>
      </c>
      <c r="L192" s="69"/>
      <c r="M192">
        <f>'TMIS US'!A183</f>
        <v>8282</v>
      </c>
      <c r="N192" t="str">
        <f>T('TMIS US'!B183)</f>
        <v/>
      </c>
      <c r="O192" t="s">
        <v>4290</v>
      </c>
      <c r="P192" t="str">
        <f t="shared" si="23"/>
        <v/>
      </c>
      <c r="Q192" t="str">
        <f t="shared" si="25"/>
        <v/>
      </c>
      <c r="R192" s="69"/>
      <c r="S192">
        <f>'TMIS CA'!A183</f>
        <v>9382</v>
      </c>
      <c r="T192" t="str">
        <f>T('TMIS CA'!B183)</f>
        <v/>
      </c>
      <c r="U192" t="s">
        <v>4290</v>
      </c>
      <c r="V192" t="str">
        <f t="shared" si="27"/>
        <v/>
      </c>
      <c r="W192" t="str">
        <f t="shared" si="26"/>
        <v/>
      </c>
    </row>
    <row r="193" spans="1:23">
      <c r="A193">
        <f>'IPTV US'!A184</f>
        <v>10283</v>
      </c>
      <c r="B193" t="str">
        <f>T('IPTV US'!B184)</f>
        <v/>
      </c>
      <c r="C193" t="s">
        <v>4290</v>
      </c>
      <c r="D193" t="str">
        <f t="shared" si="20"/>
        <v/>
      </c>
      <c r="E193" t="str">
        <f t="shared" si="21"/>
        <v/>
      </c>
      <c r="F193" s="68" t="s">
        <v>4289</v>
      </c>
      <c r="G193">
        <f>'IPTV CA'!A184</f>
        <v>10783</v>
      </c>
      <c r="H193" t="str">
        <f>T('IPTV CA'!B184)</f>
        <v>Freebie TV</v>
      </c>
      <c r="I193" t="s">
        <v>4288</v>
      </c>
      <c r="J193" t="str">
        <f t="shared" si="22"/>
        <v/>
      </c>
      <c r="K193" t="str">
        <f t="shared" si="24"/>
        <v/>
      </c>
      <c r="L193" s="69"/>
      <c r="M193">
        <f>'TMIS US'!A184</f>
        <v>8283</v>
      </c>
      <c r="N193" t="str">
        <f>T('TMIS US'!B184)</f>
        <v/>
      </c>
      <c r="O193" t="s">
        <v>4290</v>
      </c>
      <c r="P193" t="str">
        <f t="shared" si="23"/>
        <v/>
      </c>
      <c r="Q193" t="str">
        <f t="shared" si="25"/>
        <v/>
      </c>
      <c r="R193" s="69"/>
      <c r="S193">
        <f>'TMIS CA'!A184</f>
        <v>9383</v>
      </c>
      <c r="T193" t="str">
        <f>T('TMIS CA'!B184)</f>
        <v>Freebie TV</v>
      </c>
      <c r="U193" t="s">
        <v>4288</v>
      </c>
      <c r="V193" t="str">
        <f t="shared" si="27"/>
        <v/>
      </c>
      <c r="W193" t="str">
        <f t="shared" si="26"/>
        <v/>
      </c>
    </row>
    <row r="194" spans="1:23">
      <c r="A194">
        <f>'IPTV US'!A185</f>
        <v>10284</v>
      </c>
      <c r="B194" t="str">
        <f>T('IPTV US'!B185)</f>
        <v/>
      </c>
      <c r="C194" t="s">
        <v>4290</v>
      </c>
      <c r="D194" t="str">
        <f t="shared" si="20"/>
        <v/>
      </c>
      <c r="E194" t="str">
        <f t="shared" si="21"/>
        <v/>
      </c>
      <c r="F194" s="68" t="s">
        <v>4289</v>
      </c>
      <c r="G194">
        <f>'IPTV CA'!A185</f>
        <v>10784</v>
      </c>
      <c r="H194" t="str">
        <f>T('IPTV CA'!B185)</f>
        <v/>
      </c>
      <c r="I194" t="s">
        <v>4290</v>
      </c>
      <c r="J194" t="str">
        <f t="shared" si="22"/>
        <v/>
      </c>
      <c r="K194" t="str">
        <f t="shared" si="24"/>
        <v/>
      </c>
      <c r="L194" s="69"/>
      <c r="M194">
        <f>'TMIS US'!A185</f>
        <v>8284</v>
      </c>
      <c r="N194" t="str">
        <f>T('TMIS US'!B185)</f>
        <v/>
      </c>
      <c r="O194" t="s">
        <v>4290</v>
      </c>
      <c r="P194" t="str">
        <f t="shared" si="23"/>
        <v/>
      </c>
      <c r="Q194" t="str">
        <f t="shared" si="25"/>
        <v/>
      </c>
      <c r="R194" s="69"/>
      <c r="S194">
        <f>'TMIS CA'!A185</f>
        <v>9384</v>
      </c>
      <c r="T194" t="str">
        <f>T('TMIS CA'!B185)</f>
        <v/>
      </c>
      <c r="U194" t="s">
        <v>4290</v>
      </c>
      <c r="V194" t="str">
        <f t="shared" si="27"/>
        <v/>
      </c>
      <c r="W194" t="str">
        <f t="shared" si="26"/>
        <v/>
      </c>
    </row>
    <row r="195" spans="1:23">
      <c r="A195">
        <f>'IPTV US'!A186</f>
        <v>10285</v>
      </c>
      <c r="B195" t="str">
        <f>T('IPTV US'!B186)</f>
        <v>Live Music</v>
      </c>
      <c r="C195" t="s">
        <v>4288</v>
      </c>
      <c r="D195" t="str">
        <f t="shared" si="20"/>
        <v/>
      </c>
      <c r="E195" t="str">
        <f t="shared" si="21"/>
        <v/>
      </c>
      <c r="F195" s="68" t="s">
        <v>4289</v>
      </c>
      <c r="G195">
        <f>'IPTV CA'!A186</f>
        <v>10785</v>
      </c>
      <c r="H195" t="str">
        <f>T('IPTV CA'!B186)</f>
        <v/>
      </c>
      <c r="I195" t="s">
        <v>4290</v>
      </c>
      <c r="J195" t="str">
        <f t="shared" si="22"/>
        <v/>
      </c>
      <c r="K195" t="str">
        <f t="shared" si="24"/>
        <v/>
      </c>
      <c r="L195" s="69"/>
      <c r="M195">
        <f>'TMIS US'!A186</f>
        <v>8285</v>
      </c>
      <c r="N195" t="str">
        <f>T('TMIS US'!B186)</f>
        <v>Live Music</v>
      </c>
      <c r="O195" t="s">
        <v>4288</v>
      </c>
      <c r="P195" t="str">
        <f t="shared" si="23"/>
        <v/>
      </c>
      <c r="Q195" t="str">
        <f t="shared" si="25"/>
        <v/>
      </c>
      <c r="R195" s="69"/>
      <c r="S195">
        <f>'TMIS CA'!A186</f>
        <v>9385</v>
      </c>
      <c r="T195" t="str">
        <f>T('TMIS CA'!B186)</f>
        <v/>
      </c>
      <c r="U195" t="s">
        <v>4290</v>
      </c>
      <c r="V195" t="str">
        <f t="shared" si="27"/>
        <v/>
      </c>
      <c r="W195" t="str">
        <f t="shared" si="26"/>
        <v/>
      </c>
    </row>
    <row r="196" spans="1:23">
      <c r="A196">
        <f>'IPTV US'!A187</f>
        <v>10286</v>
      </c>
      <c r="B196" t="str">
        <f>T('IPTV US'!B187)</f>
        <v>Vevo '70s</v>
      </c>
      <c r="C196" t="s">
        <v>4288</v>
      </c>
      <c r="D196" t="str">
        <f t="shared" si="20"/>
        <v/>
      </c>
      <c r="E196" t="str">
        <f t="shared" si="21"/>
        <v/>
      </c>
      <c r="F196" s="68" t="s">
        <v>4289</v>
      </c>
      <c r="G196">
        <f>'IPTV CA'!A187</f>
        <v>10786</v>
      </c>
      <c r="H196" t="str">
        <f>T('IPTV CA'!B187)</f>
        <v>Midsomer Murders</v>
      </c>
      <c r="I196" t="s">
        <v>4288</v>
      </c>
      <c r="J196" t="str">
        <f t="shared" si="22"/>
        <v/>
      </c>
      <c r="K196" t="str">
        <f t="shared" si="24"/>
        <v/>
      </c>
      <c r="L196" s="69"/>
      <c r="M196">
        <f>'TMIS US'!A187</f>
        <v>8286</v>
      </c>
      <c r="N196" t="str">
        <f>T('TMIS US'!B187)</f>
        <v>Vevo '70s</v>
      </c>
      <c r="O196" t="s">
        <v>4288</v>
      </c>
      <c r="P196" t="str">
        <f t="shared" si="23"/>
        <v/>
      </c>
      <c r="Q196" t="str">
        <f t="shared" si="25"/>
        <v/>
      </c>
      <c r="R196" s="69"/>
      <c r="S196">
        <f>'TMIS CA'!A187</f>
        <v>9386</v>
      </c>
      <c r="T196" t="str">
        <f>T('TMIS CA'!B187)</f>
        <v>Midsomer Murders</v>
      </c>
      <c r="U196" t="s">
        <v>4288</v>
      </c>
      <c r="V196" t="str">
        <f t="shared" si="27"/>
        <v/>
      </c>
      <c r="W196" t="str">
        <f t="shared" si="26"/>
        <v/>
      </c>
    </row>
    <row r="197" spans="1:23">
      <c r="A197">
        <f>'IPTV US'!A188</f>
        <v>10287</v>
      </c>
      <c r="B197" t="str">
        <f>T('IPTV US'!B188)</f>
        <v>Vevo '80s</v>
      </c>
      <c r="C197" t="s">
        <v>4288</v>
      </c>
      <c r="D197" t="str">
        <f t="shared" si="20"/>
        <v/>
      </c>
      <c r="E197" t="str">
        <f t="shared" si="21"/>
        <v/>
      </c>
      <c r="F197" s="68" t="s">
        <v>4289</v>
      </c>
      <c r="G197">
        <f>'IPTV CA'!A188</f>
        <v>10787</v>
      </c>
      <c r="H197" t="str">
        <f>T('IPTV CA'!B188)</f>
        <v/>
      </c>
      <c r="I197" t="s">
        <v>4290</v>
      </c>
      <c r="J197" t="str">
        <f t="shared" si="22"/>
        <v/>
      </c>
      <c r="K197" t="str">
        <f t="shared" si="24"/>
        <v/>
      </c>
      <c r="L197" s="69"/>
      <c r="M197">
        <f>'TMIS US'!A188</f>
        <v>8287</v>
      </c>
      <c r="N197" t="str">
        <f>T('TMIS US'!B188)</f>
        <v>Vevo '80s</v>
      </c>
      <c r="O197" t="s">
        <v>4288</v>
      </c>
      <c r="P197" t="str">
        <f t="shared" si="23"/>
        <v/>
      </c>
      <c r="Q197" t="str">
        <f t="shared" si="25"/>
        <v/>
      </c>
      <c r="R197" s="69"/>
      <c r="S197">
        <f>'TMIS CA'!A188</f>
        <v>9387</v>
      </c>
      <c r="T197" t="str">
        <f>T('TMIS CA'!B188)</f>
        <v/>
      </c>
      <c r="U197" t="s">
        <v>4290</v>
      </c>
      <c r="V197" t="str">
        <f t="shared" si="27"/>
        <v/>
      </c>
      <c r="W197" t="str">
        <f t="shared" si="26"/>
        <v/>
      </c>
    </row>
    <row r="198" spans="1:23">
      <c r="A198">
        <f>'IPTV US'!A189</f>
        <v>10288</v>
      </c>
      <c r="B198" t="str">
        <f>T('IPTV US'!B189)</f>
        <v>Vevo '90s</v>
      </c>
      <c r="C198" t="s">
        <v>4288</v>
      </c>
      <c r="D198" t="str">
        <f t="shared" si="20"/>
        <v/>
      </c>
      <c r="E198" t="str">
        <f t="shared" si="21"/>
        <v/>
      </c>
      <c r="F198" s="68" t="s">
        <v>4289</v>
      </c>
      <c r="G198">
        <f>'IPTV CA'!A189</f>
        <v>10788</v>
      </c>
      <c r="H198" t="str">
        <f>T('IPTV CA'!B189)</f>
        <v/>
      </c>
      <c r="I198" t="s">
        <v>4290</v>
      </c>
      <c r="J198" t="str">
        <f t="shared" si="22"/>
        <v/>
      </c>
      <c r="K198" t="str">
        <f t="shared" si="24"/>
        <v/>
      </c>
      <c r="L198" s="69"/>
      <c r="M198">
        <f>'TMIS US'!A189</f>
        <v>8288</v>
      </c>
      <c r="N198" t="str">
        <f>T('TMIS US'!B189)</f>
        <v>Vevo '90s</v>
      </c>
      <c r="O198" t="s">
        <v>4288</v>
      </c>
      <c r="P198" t="str">
        <f t="shared" si="23"/>
        <v/>
      </c>
      <c r="Q198" t="str">
        <f t="shared" si="25"/>
        <v/>
      </c>
      <c r="R198" s="69"/>
      <c r="S198">
        <f>'TMIS CA'!A189</f>
        <v>9388</v>
      </c>
      <c r="T198" t="str">
        <f>T('TMIS CA'!B189)</f>
        <v/>
      </c>
      <c r="U198" t="s">
        <v>4290</v>
      </c>
      <c r="V198" t="str">
        <f t="shared" si="27"/>
        <v/>
      </c>
      <c r="W198" t="str">
        <f t="shared" si="26"/>
        <v/>
      </c>
    </row>
    <row r="199" spans="1:23">
      <c r="A199">
        <f>'IPTV US'!A190</f>
        <v>10289</v>
      </c>
      <c r="B199" t="str">
        <f>T('IPTV US'!B190)</f>
        <v>Vevo 2K</v>
      </c>
      <c r="C199" t="s">
        <v>4288</v>
      </c>
      <c r="D199" t="str">
        <f t="shared" si="20"/>
        <v/>
      </c>
      <c r="E199" t="str">
        <f t="shared" si="21"/>
        <v/>
      </c>
      <c r="F199" s="68" t="s">
        <v>4289</v>
      </c>
      <c r="G199">
        <f>'IPTV CA'!A190</f>
        <v>10789</v>
      </c>
      <c r="H199" t="str">
        <f>T('IPTV CA'!B190)</f>
        <v>Silent Witness|New Tricks</v>
      </c>
      <c r="I199" t="s">
        <v>4288</v>
      </c>
      <c r="J199" t="str">
        <f t="shared" si="22"/>
        <v/>
      </c>
      <c r="K199" t="str">
        <f t="shared" si="24"/>
        <v/>
      </c>
      <c r="L199" s="69"/>
      <c r="M199">
        <f>'TMIS US'!A190</f>
        <v>8289</v>
      </c>
      <c r="N199" t="str">
        <f>T('TMIS US'!B190)</f>
        <v>Vevo 2K</v>
      </c>
      <c r="O199" t="s">
        <v>4288</v>
      </c>
      <c r="P199" t="str">
        <f t="shared" si="23"/>
        <v/>
      </c>
      <c r="Q199" t="str">
        <f t="shared" si="25"/>
        <v/>
      </c>
      <c r="R199" s="69"/>
      <c r="S199">
        <f>'TMIS CA'!A190</f>
        <v>9389</v>
      </c>
      <c r="T199" t="str">
        <f>T('TMIS CA'!B190)</f>
        <v>Silent Witness|New Tricks</v>
      </c>
      <c r="U199" t="s">
        <v>4288</v>
      </c>
      <c r="V199" t="str">
        <f t="shared" si="27"/>
        <v/>
      </c>
      <c r="W199" t="str">
        <f t="shared" si="26"/>
        <v/>
      </c>
    </row>
    <row r="200" spans="1:23">
      <c r="A200">
        <f>'IPTV US'!A191</f>
        <v>10290</v>
      </c>
      <c r="B200" t="str">
        <f>T('IPTV US'!B191)</f>
        <v/>
      </c>
      <c r="C200" t="s">
        <v>4290</v>
      </c>
      <c r="D200" t="str">
        <f t="shared" si="20"/>
        <v/>
      </c>
      <c r="E200" t="str">
        <f t="shared" si="21"/>
        <v/>
      </c>
      <c r="F200" s="68" t="s">
        <v>4289</v>
      </c>
      <c r="G200">
        <f>'IPTV CA'!A191</f>
        <v>10790</v>
      </c>
      <c r="H200" t="str">
        <f>T('IPTV CA'!B191)</f>
        <v/>
      </c>
      <c r="I200" t="s">
        <v>4290</v>
      </c>
      <c r="J200" t="str">
        <f t="shared" si="22"/>
        <v/>
      </c>
      <c r="K200" t="str">
        <f t="shared" si="24"/>
        <v/>
      </c>
      <c r="L200" s="69"/>
      <c r="M200">
        <f>'TMIS US'!A191</f>
        <v>8290</v>
      </c>
      <c r="N200" t="str">
        <f>T('TMIS US'!B191)</f>
        <v/>
      </c>
      <c r="O200" t="s">
        <v>4290</v>
      </c>
      <c r="P200" t="str">
        <f t="shared" si="23"/>
        <v/>
      </c>
      <c r="Q200" t="str">
        <f t="shared" si="25"/>
        <v/>
      </c>
      <c r="R200" s="69"/>
      <c r="S200">
        <f>'TMIS CA'!A191</f>
        <v>9390</v>
      </c>
      <c r="T200" t="str">
        <f>T('TMIS CA'!B191)</f>
        <v/>
      </c>
      <c r="U200" t="s">
        <v>4290</v>
      </c>
      <c r="V200" t="str">
        <f t="shared" si="27"/>
        <v/>
      </c>
      <c r="W200" t="str">
        <f t="shared" si="26"/>
        <v/>
      </c>
    </row>
    <row r="201" spans="1:23">
      <c r="A201">
        <f>'IPTV US'!A192</f>
        <v>10291</v>
      </c>
      <c r="B201" t="str">
        <f>T('IPTV US'!B192)</f>
        <v/>
      </c>
      <c r="C201" t="s">
        <v>4290</v>
      </c>
      <c r="D201" t="str">
        <f t="shared" si="20"/>
        <v/>
      </c>
      <c r="E201" t="str">
        <f t="shared" si="21"/>
        <v/>
      </c>
      <c r="F201" s="68" t="s">
        <v>4289</v>
      </c>
      <c r="G201">
        <f>'IPTV CA'!A192</f>
        <v>10791</v>
      </c>
      <c r="H201" t="str">
        <f>T('IPTV CA'!B192)</f>
        <v/>
      </c>
      <c r="I201" t="s">
        <v>4290</v>
      </c>
      <c r="J201" t="str">
        <f t="shared" si="22"/>
        <v/>
      </c>
      <c r="K201" t="str">
        <f t="shared" si="24"/>
        <v/>
      </c>
      <c r="L201" s="69"/>
      <c r="M201">
        <f>'TMIS US'!A192</f>
        <v>8291</v>
      </c>
      <c r="N201" t="str">
        <f>T('TMIS US'!B192)</f>
        <v/>
      </c>
      <c r="O201" t="s">
        <v>4290</v>
      </c>
      <c r="P201" t="str">
        <f t="shared" si="23"/>
        <v/>
      </c>
      <c r="Q201" t="str">
        <f t="shared" si="25"/>
        <v/>
      </c>
      <c r="R201" s="69"/>
      <c r="S201">
        <f>'TMIS CA'!A192</f>
        <v>9391</v>
      </c>
      <c r="T201" t="str">
        <f>T('TMIS CA'!B192)</f>
        <v/>
      </c>
      <c r="U201" t="s">
        <v>4290</v>
      </c>
      <c r="V201" t="str">
        <f t="shared" si="27"/>
        <v/>
      </c>
      <c r="W201" t="str">
        <f t="shared" si="26"/>
        <v/>
      </c>
    </row>
    <row r="202" spans="1:23">
      <c r="A202">
        <f>'IPTV US'!A193</f>
        <v>10292</v>
      </c>
      <c r="B202" t="str">
        <f>T('IPTV US'!B193)</f>
        <v/>
      </c>
      <c r="C202" t="s">
        <v>4290</v>
      </c>
      <c r="D202" t="str">
        <f t="shared" si="20"/>
        <v/>
      </c>
      <c r="E202" t="str">
        <f t="shared" si="21"/>
        <v/>
      </c>
      <c r="F202" s="68" t="s">
        <v>4289</v>
      </c>
      <c r="G202">
        <f>'IPTV CA'!A193</f>
        <v>10792</v>
      </c>
      <c r="H202" t="str">
        <f>T('IPTV CA'!B193)</f>
        <v/>
      </c>
      <c r="I202" t="s">
        <v>4290</v>
      </c>
      <c r="J202" t="str">
        <f t="shared" si="22"/>
        <v/>
      </c>
      <c r="K202" t="str">
        <f t="shared" si="24"/>
        <v/>
      </c>
      <c r="L202" s="69"/>
      <c r="M202">
        <f>'TMIS US'!A193</f>
        <v>8292</v>
      </c>
      <c r="N202" t="str">
        <f>T('TMIS US'!B193)</f>
        <v/>
      </c>
      <c r="O202" t="s">
        <v>4290</v>
      </c>
      <c r="P202" t="str">
        <f t="shared" si="23"/>
        <v/>
      </c>
      <c r="Q202" t="str">
        <f t="shared" si="25"/>
        <v/>
      </c>
      <c r="R202" s="69"/>
      <c r="S202">
        <f>'TMIS CA'!A193</f>
        <v>9392</v>
      </c>
      <c r="T202" t="str">
        <f>T('TMIS CA'!B193)</f>
        <v/>
      </c>
      <c r="U202" t="s">
        <v>4290</v>
      </c>
      <c r="V202" t="str">
        <f t="shared" si="27"/>
        <v/>
      </c>
      <c r="W202" t="str">
        <f t="shared" si="26"/>
        <v/>
      </c>
    </row>
    <row r="203" spans="1:23">
      <c r="A203">
        <f>'IPTV US'!A194</f>
        <v>10293</v>
      </c>
      <c r="B203" t="str">
        <f>T('IPTV US'!B194)</f>
        <v/>
      </c>
      <c r="C203" t="s">
        <v>4290</v>
      </c>
      <c r="D203" t="str">
        <f t="shared" ref="D203:D266" si="28">IF(C203="Active",IF(B203="","Please Notify - Channel Removed",""),"")</f>
        <v/>
      </c>
      <c r="E203" t="str">
        <f t="shared" ref="E203:E266" si="29">IF(C203="Vacant",IF(B203="","","Please Notify - Channel Added"),"")</f>
        <v/>
      </c>
      <c r="F203" s="68" t="s">
        <v>4289</v>
      </c>
      <c r="G203">
        <f>'IPTV CA'!A194</f>
        <v>10793</v>
      </c>
      <c r="H203" t="str">
        <f>T('IPTV CA'!B194)</f>
        <v/>
      </c>
      <c r="I203" t="s">
        <v>4290</v>
      </c>
      <c r="J203" t="str">
        <f t="shared" ref="J203:J266" si="30">IF(I203="Active",IF(H203="","Please Notify - Channel Removed",""),"")</f>
        <v/>
      </c>
      <c r="K203" t="str">
        <f t="shared" si="24"/>
        <v/>
      </c>
      <c r="L203" s="69"/>
      <c r="M203">
        <f>'TMIS US'!A194</f>
        <v>8293</v>
      </c>
      <c r="N203" t="str">
        <f>T('TMIS US'!B194)</f>
        <v/>
      </c>
      <c r="O203" t="s">
        <v>4290</v>
      </c>
      <c r="P203" t="str">
        <f t="shared" ref="P203:P266" si="31">IF(O203="Active",IF(N203="","Please Notify - Channel Removed",""),"")</f>
        <v/>
      </c>
      <c r="Q203" t="str">
        <f t="shared" si="25"/>
        <v/>
      </c>
      <c r="R203" s="69"/>
      <c r="S203">
        <f>'TMIS CA'!A194</f>
        <v>9393</v>
      </c>
      <c r="T203" t="str">
        <f>T('TMIS CA'!B194)</f>
        <v/>
      </c>
      <c r="U203" t="s">
        <v>4290</v>
      </c>
      <c r="V203" t="str">
        <f t="shared" si="27"/>
        <v/>
      </c>
      <c r="W203" t="str">
        <f t="shared" si="26"/>
        <v/>
      </c>
    </row>
    <row r="204" spans="1:23">
      <c r="A204">
        <f>'IPTV US'!A195</f>
        <v>10294</v>
      </c>
      <c r="B204" t="str">
        <f>T('IPTV US'!B195)</f>
        <v/>
      </c>
      <c r="C204" t="s">
        <v>4290</v>
      </c>
      <c r="D204" t="str">
        <f t="shared" si="28"/>
        <v/>
      </c>
      <c r="E204" t="str">
        <f t="shared" si="29"/>
        <v/>
      </c>
      <c r="F204" s="68" t="s">
        <v>4289</v>
      </c>
      <c r="G204">
        <f>'IPTV CA'!A195</f>
        <v>10794</v>
      </c>
      <c r="H204" t="str">
        <f>T('IPTV CA'!B195)</f>
        <v>COPS</v>
      </c>
      <c r="I204" t="s">
        <v>4288</v>
      </c>
      <c r="J204" t="str">
        <f t="shared" si="30"/>
        <v/>
      </c>
      <c r="K204" t="str">
        <f t="shared" ref="K204:K267" si="32">IF(I204="Vacant",IF(H204="","","Please Notify - Channel Added"),"")</f>
        <v/>
      </c>
      <c r="L204" s="69"/>
      <c r="M204">
        <f>'TMIS US'!A195</f>
        <v>8294</v>
      </c>
      <c r="N204" t="str">
        <f>T('TMIS US'!B195)</f>
        <v/>
      </c>
      <c r="O204" t="s">
        <v>4290</v>
      </c>
      <c r="P204" t="str">
        <f t="shared" si="31"/>
        <v/>
      </c>
      <c r="Q204" t="str">
        <f t="shared" ref="Q204:Q267" si="33">IF(O204="Vacant",IF(N204="","","Please Notify - Channel Added"),"")</f>
        <v/>
      </c>
      <c r="R204" s="69"/>
      <c r="S204">
        <f>'TMIS CA'!A195</f>
        <v>9394</v>
      </c>
      <c r="T204" t="str">
        <f>T('TMIS CA'!B195)</f>
        <v>COPS</v>
      </c>
      <c r="U204" t="s">
        <v>4288</v>
      </c>
      <c r="V204" t="str">
        <f t="shared" si="27"/>
        <v/>
      </c>
      <c r="W204" t="str">
        <f t="shared" ref="W204:W267" si="34">IF(U204="Vacant",IF(T204="","","Please Notify - Channel Added"),"")</f>
        <v/>
      </c>
    </row>
    <row r="205" spans="1:23">
      <c r="A205">
        <f>'IPTV US'!A196</f>
        <v>10295</v>
      </c>
      <c r="B205" t="str">
        <f>T('IPTV US'!B196)</f>
        <v/>
      </c>
      <c r="C205" t="s">
        <v>4290</v>
      </c>
      <c r="D205" t="str">
        <f t="shared" si="28"/>
        <v/>
      </c>
      <c r="E205" t="str">
        <f t="shared" si="29"/>
        <v/>
      </c>
      <c r="F205" s="68" t="s">
        <v>4289</v>
      </c>
      <c r="G205">
        <f>'IPTV CA'!A196</f>
        <v>10795</v>
      </c>
      <c r="H205" t="str">
        <f>T('IPTV CA'!B196)</f>
        <v/>
      </c>
      <c r="I205" t="s">
        <v>4290</v>
      </c>
      <c r="J205" t="str">
        <f t="shared" si="30"/>
        <v/>
      </c>
      <c r="K205" t="str">
        <f t="shared" si="32"/>
        <v/>
      </c>
      <c r="L205" s="69"/>
      <c r="M205">
        <f>'TMIS US'!A196</f>
        <v>8295</v>
      </c>
      <c r="N205" t="str">
        <f>T('TMIS US'!B196)</f>
        <v/>
      </c>
      <c r="O205" t="s">
        <v>4290</v>
      </c>
      <c r="P205" t="str">
        <f t="shared" si="31"/>
        <v/>
      </c>
      <c r="Q205" t="str">
        <f t="shared" si="33"/>
        <v/>
      </c>
      <c r="R205" s="69"/>
      <c r="S205">
        <f>'TMIS CA'!A196</f>
        <v>9395</v>
      </c>
      <c r="T205" t="str">
        <f>T('TMIS CA'!B196)</f>
        <v/>
      </c>
      <c r="U205" t="s">
        <v>4290</v>
      </c>
      <c r="V205" t="str">
        <f t="shared" si="27"/>
        <v/>
      </c>
      <c r="W205" t="str">
        <f t="shared" si="34"/>
        <v/>
      </c>
    </row>
    <row r="206" spans="1:23">
      <c r="A206">
        <f>'IPTV US'!A197</f>
        <v>10296</v>
      </c>
      <c r="B206" t="str">
        <f>T('IPTV US'!B197)</f>
        <v>CMT Equal Play</v>
      </c>
      <c r="C206" t="s">
        <v>4288</v>
      </c>
      <c r="D206" t="str">
        <f t="shared" si="28"/>
        <v/>
      </c>
      <c r="E206" t="str">
        <f t="shared" si="29"/>
        <v/>
      </c>
      <c r="F206" s="68" t="s">
        <v>4289</v>
      </c>
      <c r="G206">
        <f>'IPTV CA'!A197</f>
        <v>10796</v>
      </c>
      <c r="H206" t="str">
        <f>T('IPTV CA'!B197)</f>
        <v/>
      </c>
      <c r="I206" t="s">
        <v>4290</v>
      </c>
      <c r="J206" t="str">
        <f t="shared" si="30"/>
        <v/>
      </c>
      <c r="K206" t="str">
        <f t="shared" si="32"/>
        <v/>
      </c>
      <c r="L206" s="69"/>
      <c r="M206">
        <f>'TMIS US'!A197</f>
        <v>8296</v>
      </c>
      <c r="N206" t="str">
        <f>T('TMIS US'!B197)</f>
        <v>CMT Equal Play</v>
      </c>
      <c r="O206" t="s">
        <v>4288</v>
      </c>
      <c r="P206" t="str">
        <f t="shared" si="31"/>
        <v/>
      </c>
      <c r="Q206" t="str">
        <f t="shared" si="33"/>
        <v/>
      </c>
      <c r="R206" s="69"/>
      <c r="S206">
        <f>'TMIS CA'!A197</f>
        <v>9396</v>
      </c>
      <c r="T206" t="str">
        <f>T('TMIS CA'!B197)</f>
        <v/>
      </c>
      <c r="U206" t="s">
        <v>4290</v>
      </c>
      <c r="V206" t="str">
        <f t="shared" ref="V206:V269" si="35">IF(U206="Active",IF(T206="","Please Notify - Channel Removed",""),"")</f>
        <v/>
      </c>
      <c r="W206" t="str">
        <f t="shared" si="34"/>
        <v/>
      </c>
    </row>
    <row r="207" spans="1:23">
      <c r="A207">
        <f>'IPTV US'!A198</f>
        <v>10297</v>
      </c>
      <c r="B207" t="str">
        <f>T('IPTV US'!B198)</f>
        <v>Vevo Country</v>
      </c>
      <c r="C207" t="s">
        <v>4288</v>
      </c>
      <c r="D207" t="str">
        <f t="shared" si="28"/>
        <v/>
      </c>
      <c r="E207" t="str">
        <f t="shared" si="29"/>
        <v/>
      </c>
      <c r="F207" s="68" t="s">
        <v>4289</v>
      </c>
      <c r="G207">
        <f>'IPTV CA'!A198</f>
        <v>10797</v>
      </c>
      <c r="H207" t="str">
        <f>T('IPTV CA'!B198)</f>
        <v>JAIL</v>
      </c>
      <c r="I207" t="s">
        <v>4288</v>
      </c>
      <c r="J207" t="str">
        <f t="shared" si="30"/>
        <v/>
      </c>
      <c r="K207" t="str">
        <f t="shared" si="32"/>
        <v/>
      </c>
      <c r="L207" s="69"/>
      <c r="M207">
        <f>'TMIS US'!A198</f>
        <v>8297</v>
      </c>
      <c r="N207" t="str">
        <f>T('TMIS US'!B198)</f>
        <v>Vevo Country</v>
      </c>
      <c r="O207" t="s">
        <v>4288</v>
      </c>
      <c r="P207" t="str">
        <f t="shared" si="31"/>
        <v/>
      </c>
      <c r="Q207" t="str">
        <f t="shared" si="33"/>
        <v/>
      </c>
      <c r="R207" s="69"/>
      <c r="S207">
        <f>'TMIS CA'!A198</f>
        <v>9397</v>
      </c>
      <c r="T207" t="str">
        <f>T('TMIS CA'!B198)</f>
        <v>JAIL</v>
      </c>
      <c r="U207" t="s">
        <v>4288</v>
      </c>
      <c r="V207" t="str">
        <f t="shared" si="35"/>
        <v/>
      </c>
      <c r="W207" t="str">
        <f t="shared" si="34"/>
        <v/>
      </c>
    </row>
    <row r="208" spans="1:23">
      <c r="A208">
        <f>'IPTV US'!A199</f>
        <v>10298</v>
      </c>
      <c r="B208" t="str">
        <f>T('IPTV US'!B199)</f>
        <v>Yo! MTV</v>
      </c>
      <c r="C208" t="s">
        <v>4288</v>
      </c>
      <c r="D208" t="str">
        <f t="shared" si="28"/>
        <v/>
      </c>
      <c r="E208" t="str">
        <f t="shared" si="29"/>
        <v/>
      </c>
      <c r="F208" s="68" t="s">
        <v>4289</v>
      </c>
      <c r="G208">
        <f>'IPTV CA'!A199</f>
        <v>10798</v>
      </c>
      <c r="H208" t="str">
        <f>T('IPTV CA'!B199)</f>
        <v>Sheriffs: El Dorado County</v>
      </c>
      <c r="I208" t="s">
        <v>4288</v>
      </c>
      <c r="J208" t="str">
        <f t="shared" si="30"/>
        <v/>
      </c>
      <c r="K208" t="str">
        <f t="shared" si="32"/>
        <v/>
      </c>
      <c r="L208" s="69"/>
      <c r="M208">
        <f>'TMIS US'!A199</f>
        <v>8298</v>
      </c>
      <c r="N208" t="str">
        <f>T('TMIS US'!B199)</f>
        <v>Yo! MTV</v>
      </c>
      <c r="O208" t="s">
        <v>4288</v>
      </c>
      <c r="P208" t="str">
        <f t="shared" si="31"/>
        <v/>
      </c>
      <c r="Q208" t="str">
        <f t="shared" si="33"/>
        <v/>
      </c>
      <c r="R208" s="69"/>
      <c r="S208">
        <f>'TMIS CA'!A199</f>
        <v>9398</v>
      </c>
      <c r="T208" t="str">
        <f>T('TMIS CA'!B199)</f>
        <v>Sheriffs: El Dorado County</v>
      </c>
      <c r="U208" t="s">
        <v>4288</v>
      </c>
      <c r="V208" t="str">
        <f t="shared" si="35"/>
        <v/>
      </c>
      <c r="W208" t="str">
        <f t="shared" si="34"/>
        <v/>
      </c>
    </row>
    <row r="209" spans="1:23">
      <c r="A209">
        <f>'IPTV US'!A200</f>
        <v>10299</v>
      </c>
      <c r="B209" t="str">
        <f>T('IPTV US'!B200)</f>
        <v>Vevo R&amp;B</v>
      </c>
      <c r="C209" t="s">
        <v>4288</v>
      </c>
      <c r="D209" t="str">
        <f t="shared" si="28"/>
        <v/>
      </c>
      <c r="E209" t="str">
        <f t="shared" si="29"/>
        <v/>
      </c>
      <c r="F209" s="68" t="s">
        <v>4289</v>
      </c>
      <c r="G209">
        <f>'IPTV CA'!A200</f>
        <v>10799</v>
      </c>
      <c r="H209" t="str">
        <f>T('IPTV CA'!B200)</f>
        <v>World's Wildest Police Videos</v>
      </c>
      <c r="I209" t="s">
        <v>4288</v>
      </c>
      <c r="J209" t="str">
        <f t="shared" si="30"/>
        <v/>
      </c>
      <c r="K209" t="str">
        <f t="shared" si="32"/>
        <v/>
      </c>
      <c r="L209" s="69"/>
      <c r="M209">
        <f>'TMIS US'!A200</f>
        <v>8299</v>
      </c>
      <c r="N209" t="str">
        <f>T('TMIS US'!B200)</f>
        <v>Vevo R&amp;B</v>
      </c>
      <c r="O209" t="s">
        <v>4288</v>
      </c>
      <c r="P209" t="str">
        <f t="shared" si="31"/>
        <v/>
      </c>
      <c r="Q209" t="str">
        <f t="shared" si="33"/>
        <v/>
      </c>
      <c r="R209" s="69"/>
      <c r="S209">
        <f>'TMIS CA'!A200</f>
        <v>9399</v>
      </c>
      <c r="T209" t="str">
        <f>T('TMIS CA'!B200)</f>
        <v>World's Wildest Police Videos</v>
      </c>
      <c r="U209" t="s">
        <v>4288</v>
      </c>
      <c r="V209" t="str">
        <f t="shared" si="35"/>
        <v/>
      </c>
      <c r="W209" t="str">
        <f t="shared" si="34"/>
        <v/>
      </c>
    </row>
    <row r="210" spans="1:23">
      <c r="A210">
        <f>'IPTV US'!A201</f>
        <v>10300</v>
      </c>
      <c r="B210" t="str">
        <f>T('IPTV US'!B201)</f>
        <v>Vevo Pop</v>
      </c>
      <c r="C210" t="s">
        <v>4288</v>
      </c>
      <c r="D210" t="str">
        <f t="shared" si="28"/>
        <v/>
      </c>
      <c r="E210" t="str">
        <f t="shared" si="29"/>
        <v/>
      </c>
      <c r="F210" s="68" t="s">
        <v>4289</v>
      </c>
      <c r="G210">
        <f>'IPTV CA'!A201</f>
        <v>10800</v>
      </c>
      <c r="H210" t="str">
        <f>T('IPTV CA'!B201)</f>
        <v>Dog the Bounty Hunter</v>
      </c>
      <c r="I210" t="s">
        <v>4288</v>
      </c>
      <c r="J210" t="str">
        <f t="shared" si="30"/>
        <v/>
      </c>
      <c r="K210" t="str">
        <f t="shared" si="32"/>
        <v/>
      </c>
      <c r="L210" s="69"/>
      <c r="M210">
        <f>'TMIS US'!A201</f>
        <v>8300</v>
      </c>
      <c r="N210" t="str">
        <f>T('TMIS US'!B201)</f>
        <v>Vevo Pop</v>
      </c>
      <c r="O210" t="s">
        <v>4288</v>
      </c>
      <c r="P210" t="str">
        <f t="shared" si="31"/>
        <v/>
      </c>
      <c r="Q210" t="str">
        <f t="shared" si="33"/>
        <v/>
      </c>
      <c r="R210" s="69"/>
      <c r="S210">
        <f>'TMIS CA'!A201</f>
        <v>9400</v>
      </c>
      <c r="T210" t="str">
        <f>T('TMIS CA'!B201)</f>
        <v>Dog the Bounty Hunter</v>
      </c>
      <c r="U210" t="s">
        <v>4288</v>
      </c>
      <c r="V210" t="str">
        <f t="shared" si="35"/>
        <v/>
      </c>
      <c r="W210" t="str">
        <f t="shared" si="34"/>
        <v/>
      </c>
    </row>
    <row r="211" spans="1:23">
      <c r="A211">
        <f>'IPTV US'!A202</f>
        <v>10301</v>
      </c>
      <c r="B211" t="str">
        <f>T('IPTV US'!B202)</f>
        <v>MTV Spankin' New</v>
      </c>
      <c r="C211" t="s">
        <v>4288</v>
      </c>
      <c r="D211" t="str">
        <f t="shared" si="28"/>
        <v/>
      </c>
      <c r="E211" t="str">
        <f t="shared" si="29"/>
        <v/>
      </c>
      <c r="F211" s="68" t="s">
        <v>4289</v>
      </c>
      <c r="G211">
        <f>'IPTV CA'!A202</f>
        <v>10801</v>
      </c>
      <c r="H211" t="str">
        <f>T('IPTV CA'!B202)</f>
        <v/>
      </c>
      <c r="I211" t="s">
        <v>4290</v>
      </c>
      <c r="J211" t="str">
        <f t="shared" si="30"/>
        <v/>
      </c>
      <c r="K211" t="str">
        <f t="shared" si="32"/>
        <v/>
      </c>
      <c r="L211" s="69"/>
      <c r="M211">
        <f>'TMIS US'!A202</f>
        <v>8301</v>
      </c>
      <c r="N211" t="str">
        <f>T('TMIS US'!B202)</f>
        <v>MTV Spankin' New</v>
      </c>
      <c r="O211" t="s">
        <v>4288</v>
      </c>
      <c r="P211" t="str">
        <f t="shared" si="31"/>
        <v/>
      </c>
      <c r="Q211" t="str">
        <f t="shared" si="33"/>
        <v/>
      </c>
      <c r="R211" s="69"/>
      <c r="S211">
        <f>'TMIS CA'!A202</f>
        <v>9401</v>
      </c>
      <c r="T211" t="str">
        <f>T('TMIS CA'!B202)</f>
        <v/>
      </c>
      <c r="U211" t="s">
        <v>4290</v>
      </c>
      <c r="V211" t="str">
        <f t="shared" si="35"/>
        <v/>
      </c>
      <c r="W211" t="str">
        <f t="shared" si="34"/>
        <v/>
      </c>
    </row>
    <row r="212" spans="1:23">
      <c r="A212">
        <f>'IPTV US'!A203</f>
        <v>10302</v>
      </c>
      <c r="B212" t="str">
        <f>T('IPTV US'!B203)</f>
        <v>MTV Biggest Pop</v>
      </c>
      <c r="C212" t="s">
        <v>4288</v>
      </c>
      <c r="D212" t="str">
        <f t="shared" si="28"/>
        <v/>
      </c>
      <c r="E212" t="str">
        <f t="shared" si="29"/>
        <v/>
      </c>
      <c r="F212" s="68" t="s">
        <v>4289</v>
      </c>
      <c r="G212">
        <f>'IPTV CA'!A203</f>
        <v>10802</v>
      </c>
      <c r="H212" t="str">
        <f>T('IPTV CA'!B203)</f>
        <v>The FBI Files</v>
      </c>
      <c r="I212" t="s">
        <v>4288</v>
      </c>
      <c r="J212" t="str">
        <f t="shared" si="30"/>
        <v/>
      </c>
      <c r="K212" t="str">
        <f t="shared" si="32"/>
        <v/>
      </c>
      <c r="L212" s="69"/>
      <c r="M212">
        <f>'TMIS US'!A203</f>
        <v>8302</v>
      </c>
      <c r="N212" t="str">
        <f>T('TMIS US'!B203)</f>
        <v>MTV Biggest Pop</v>
      </c>
      <c r="O212" t="s">
        <v>4288</v>
      </c>
      <c r="P212" t="str">
        <f t="shared" si="31"/>
        <v/>
      </c>
      <c r="Q212" t="str">
        <f t="shared" si="33"/>
        <v/>
      </c>
      <c r="R212" s="69"/>
      <c r="S212">
        <f>'TMIS CA'!A203</f>
        <v>9402</v>
      </c>
      <c r="T212" t="str">
        <f>T('TMIS CA'!B203)</f>
        <v>The FBI Files</v>
      </c>
      <c r="U212" t="s">
        <v>4288</v>
      </c>
      <c r="V212" t="str">
        <f t="shared" si="35"/>
        <v/>
      </c>
      <c r="W212" t="str">
        <f t="shared" si="34"/>
        <v/>
      </c>
    </row>
    <row r="213" spans="1:23">
      <c r="A213">
        <f>'IPTV US'!A204</f>
        <v>10303</v>
      </c>
      <c r="B213" t="str">
        <f>T('IPTV US'!B204)</f>
        <v>MTV Flow Latino</v>
      </c>
      <c r="C213" t="s">
        <v>4288</v>
      </c>
      <c r="D213" t="str">
        <f t="shared" si="28"/>
        <v/>
      </c>
      <c r="E213" t="str">
        <f t="shared" si="29"/>
        <v/>
      </c>
      <c r="F213" s="68" t="s">
        <v>4289</v>
      </c>
      <c r="G213">
        <f>'IPTV CA'!A204</f>
        <v>10803</v>
      </c>
      <c r="H213" t="str">
        <f>T('IPTV CA'!B204)</f>
        <v/>
      </c>
      <c r="I213" t="s">
        <v>4290</v>
      </c>
      <c r="J213" t="str">
        <f t="shared" si="30"/>
        <v/>
      </c>
      <c r="K213" t="str">
        <f t="shared" si="32"/>
        <v/>
      </c>
      <c r="L213" s="69"/>
      <c r="M213">
        <f>'TMIS US'!A204</f>
        <v>8303</v>
      </c>
      <c r="N213" t="str">
        <f>T('TMIS US'!B204)</f>
        <v>MTV Flow Latino</v>
      </c>
      <c r="O213" t="s">
        <v>4288</v>
      </c>
      <c r="P213" t="str">
        <f t="shared" si="31"/>
        <v/>
      </c>
      <c r="Q213" t="str">
        <f t="shared" si="33"/>
        <v/>
      </c>
      <c r="R213" s="69"/>
      <c r="S213">
        <f>'TMIS CA'!A204</f>
        <v>9403</v>
      </c>
      <c r="T213" t="str">
        <f>T('TMIS CA'!B204)</f>
        <v/>
      </c>
      <c r="U213" t="s">
        <v>4290</v>
      </c>
      <c r="V213" t="str">
        <f t="shared" si="35"/>
        <v/>
      </c>
      <c r="W213" t="str">
        <f t="shared" si="34"/>
        <v/>
      </c>
    </row>
    <row r="214" spans="1:23">
      <c r="A214">
        <f>'IPTV US'!A205</f>
        <v>10304</v>
      </c>
      <c r="B214" t="str">
        <f>T('IPTV US'!B205)</f>
        <v/>
      </c>
      <c r="C214" t="s">
        <v>4290</v>
      </c>
      <c r="D214" t="str">
        <f t="shared" si="28"/>
        <v/>
      </c>
      <c r="E214" t="str">
        <f t="shared" si="29"/>
        <v/>
      </c>
      <c r="F214" s="68" t="s">
        <v>4289</v>
      </c>
      <c r="G214">
        <f>'IPTV CA'!A205</f>
        <v>10804</v>
      </c>
      <c r="H214" t="str">
        <f>T('IPTV CA'!B205)</f>
        <v/>
      </c>
      <c r="I214" t="s">
        <v>4290</v>
      </c>
      <c r="J214" t="str">
        <f t="shared" si="30"/>
        <v/>
      </c>
      <c r="K214" t="str">
        <f t="shared" si="32"/>
        <v/>
      </c>
      <c r="L214" s="69"/>
      <c r="M214">
        <f>'TMIS US'!A205</f>
        <v>8304</v>
      </c>
      <c r="N214" t="str">
        <f>T('TMIS US'!B205)</f>
        <v/>
      </c>
      <c r="O214" t="s">
        <v>4290</v>
      </c>
      <c r="P214" t="str">
        <f t="shared" si="31"/>
        <v/>
      </c>
      <c r="Q214" t="str">
        <f t="shared" si="33"/>
        <v/>
      </c>
      <c r="R214" s="69"/>
      <c r="S214">
        <f>'TMIS CA'!A205</f>
        <v>9404</v>
      </c>
      <c r="T214" t="str">
        <f>T('TMIS CA'!B205)</f>
        <v/>
      </c>
      <c r="U214" t="s">
        <v>4290</v>
      </c>
      <c r="V214" t="str">
        <f t="shared" si="35"/>
        <v/>
      </c>
      <c r="W214" t="str">
        <f t="shared" si="34"/>
        <v/>
      </c>
    </row>
    <row r="215" spans="1:23">
      <c r="A215">
        <f>'IPTV US'!A206</f>
        <v>10305</v>
      </c>
      <c r="B215" t="str">
        <f>T('IPTV US'!B206)</f>
        <v/>
      </c>
      <c r="C215" t="s">
        <v>4290</v>
      </c>
      <c r="D215" t="str">
        <f t="shared" si="28"/>
        <v/>
      </c>
      <c r="E215" t="str">
        <f t="shared" si="29"/>
        <v/>
      </c>
      <c r="F215" s="68" t="s">
        <v>4289</v>
      </c>
      <c r="G215">
        <f>'IPTV CA'!A206</f>
        <v>10805</v>
      </c>
      <c r="H215" t="str">
        <f>T('IPTV CA'!B206)</f>
        <v>Women Behind Bars</v>
      </c>
      <c r="I215" t="s">
        <v>4288</v>
      </c>
      <c r="J215" t="str">
        <f t="shared" si="30"/>
        <v/>
      </c>
      <c r="K215" t="str">
        <f t="shared" si="32"/>
        <v/>
      </c>
      <c r="L215" s="69"/>
      <c r="M215">
        <f>'TMIS US'!A206</f>
        <v>8305</v>
      </c>
      <c r="N215" t="str">
        <f>T('TMIS US'!B206)</f>
        <v/>
      </c>
      <c r="O215" t="s">
        <v>4290</v>
      </c>
      <c r="P215" t="str">
        <f t="shared" si="31"/>
        <v/>
      </c>
      <c r="Q215" t="str">
        <f t="shared" si="33"/>
        <v/>
      </c>
      <c r="R215" s="69"/>
      <c r="S215">
        <f>'TMIS CA'!A206</f>
        <v>9405</v>
      </c>
      <c r="T215" t="str">
        <f>T('TMIS CA'!B206)</f>
        <v>Women Behind Bars</v>
      </c>
      <c r="U215" t="s">
        <v>4288</v>
      </c>
      <c r="V215" t="str">
        <f t="shared" si="35"/>
        <v/>
      </c>
      <c r="W215" t="str">
        <f t="shared" si="34"/>
        <v/>
      </c>
    </row>
    <row r="216" spans="1:23">
      <c r="A216">
        <f>'IPTV US'!A207</f>
        <v>10306</v>
      </c>
      <c r="B216" t="str">
        <f>T('IPTV US'!B207)</f>
        <v/>
      </c>
      <c r="C216" t="s">
        <v>4290</v>
      </c>
      <c r="D216" t="str">
        <f t="shared" si="28"/>
        <v/>
      </c>
      <c r="E216" t="str">
        <f t="shared" si="29"/>
        <v/>
      </c>
      <c r="F216" s="68" t="s">
        <v>4289</v>
      </c>
      <c r="G216">
        <f>'IPTV CA'!A207</f>
        <v>10806</v>
      </c>
      <c r="H216" t="str">
        <f>T('IPTV CA'!B207)</f>
        <v>Crime Scene TV</v>
      </c>
      <c r="I216" t="s">
        <v>4288</v>
      </c>
      <c r="J216" t="str">
        <f t="shared" si="30"/>
        <v/>
      </c>
      <c r="K216" t="str">
        <f t="shared" si="32"/>
        <v/>
      </c>
      <c r="L216" s="69"/>
      <c r="M216">
        <f>'TMIS US'!A207</f>
        <v>8306</v>
      </c>
      <c r="N216" t="str">
        <f>T('TMIS US'!B207)</f>
        <v/>
      </c>
      <c r="O216" t="s">
        <v>4290</v>
      </c>
      <c r="P216" t="str">
        <f t="shared" si="31"/>
        <v/>
      </c>
      <c r="Q216" t="str">
        <f t="shared" si="33"/>
        <v/>
      </c>
      <c r="R216" s="69"/>
      <c r="S216">
        <f>'TMIS CA'!A207</f>
        <v>9406</v>
      </c>
      <c r="T216" t="str">
        <f>T('TMIS CA'!B207)</f>
        <v>Crime Scene TV</v>
      </c>
      <c r="U216" t="s">
        <v>4288</v>
      </c>
      <c r="V216" t="str">
        <f t="shared" si="35"/>
        <v/>
      </c>
      <c r="W216" t="str">
        <f t="shared" si="34"/>
        <v/>
      </c>
    </row>
    <row r="217" spans="1:23">
      <c r="A217">
        <f>'IPTV US'!A208</f>
        <v>10307</v>
      </c>
      <c r="B217" t="str">
        <f>T('IPTV US'!B208)</f>
        <v/>
      </c>
      <c r="C217" t="s">
        <v>4290</v>
      </c>
      <c r="D217" t="str">
        <f t="shared" si="28"/>
        <v/>
      </c>
      <c r="E217" t="str">
        <f t="shared" si="29"/>
        <v/>
      </c>
      <c r="F217" s="68" t="s">
        <v>4289</v>
      </c>
      <c r="G217">
        <f>'IPTV CA'!A208</f>
        <v>10807</v>
      </c>
      <c r="H217" t="str">
        <f>T('IPTV CA'!B208)</f>
        <v>Real Crime</v>
      </c>
      <c r="I217" t="s">
        <v>4288</v>
      </c>
      <c r="J217" t="str">
        <f t="shared" si="30"/>
        <v/>
      </c>
      <c r="K217" t="str">
        <f t="shared" si="32"/>
        <v/>
      </c>
      <c r="L217" s="69"/>
      <c r="M217">
        <f>'TMIS US'!A208</f>
        <v>8307</v>
      </c>
      <c r="N217" t="str">
        <f>T('TMIS US'!B208)</f>
        <v/>
      </c>
      <c r="O217" t="s">
        <v>4290</v>
      </c>
      <c r="P217" t="str">
        <f t="shared" si="31"/>
        <v/>
      </c>
      <c r="Q217" t="str">
        <f t="shared" si="33"/>
        <v/>
      </c>
      <c r="R217" s="69"/>
      <c r="S217">
        <f>'TMIS CA'!A208</f>
        <v>9407</v>
      </c>
      <c r="T217" t="str">
        <f>T('TMIS CA'!B208)</f>
        <v>Real Crime</v>
      </c>
      <c r="U217" t="s">
        <v>4288</v>
      </c>
      <c r="V217" t="str">
        <f t="shared" si="35"/>
        <v/>
      </c>
      <c r="W217" t="str">
        <f t="shared" si="34"/>
        <v/>
      </c>
    </row>
    <row r="218" spans="1:23">
      <c r="A218">
        <f>'IPTV US'!A209</f>
        <v>10308</v>
      </c>
      <c r="B218" t="str">
        <f>T('IPTV US'!B209)</f>
        <v/>
      </c>
      <c r="C218" t="s">
        <v>4290</v>
      </c>
      <c r="D218" t="str">
        <f t="shared" si="28"/>
        <v/>
      </c>
      <c r="E218" t="str">
        <f t="shared" si="29"/>
        <v/>
      </c>
      <c r="F218" s="68" t="s">
        <v>4289</v>
      </c>
      <c r="G218">
        <f>'IPTV CA'!A209</f>
        <v>10808</v>
      </c>
      <c r="H218" t="str">
        <f>T('IPTV CA'!B209)</f>
        <v/>
      </c>
      <c r="I218" t="s">
        <v>4290</v>
      </c>
      <c r="J218" t="str">
        <f t="shared" si="30"/>
        <v/>
      </c>
      <c r="K218" t="str">
        <f t="shared" si="32"/>
        <v/>
      </c>
      <c r="L218" s="69"/>
      <c r="M218">
        <f>'TMIS US'!A209</f>
        <v>8308</v>
      </c>
      <c r="N218" t="str">
        <f>T('TMIS US'!B209)</f>
        <v/>
      </c>
      <c r="O218" t="s">
        <v>4290</v>
      </c>
      <c r="P218" t="str">
        <f t="shared" si="31"/>
        <v/>
      </c>
      <c r="Q218" t="str">
        <f t="shared" si="33"/>
        <v/>
      </c>
      <c r="R218" s="69"/>
      <c r="S218">
        <f>'TMIS CA'!A209</f>
        <v>9408</v>
      </c>
      <c r="T218" t="str">
        <f>T('TMIS CA'!B209)</f>
        <v/>
      </c>
      <c r="U218" t="s">
        <v>4290</v>
      </c>
      <c r="V218" t="str">
        <f t="shared" si="35"/>
        <v/>
      </c>
      <c r="W218" t="str">
        <f t="shared" si="34"/>
        <v/>
      </c>
    </row>
    <row r="219" spans="1:23">
      <c r="A219">
        <f>'IPTV US'!A210</f>
        <v>10309</v>
      </c>
      <c r="B219" t="str">
        <f>T('IPTV US'!B210)</f>
        <v/>
      </c>
      <c r="C219" t="s">
        <v>4290</v>
      </c>
      <c r="D219" t="str">
        <f t="shared" si="28"/>
        <v/>
      </c>
      <c r="E219" t="str">
        <f t="shared" si="29"/>
        <v/>
      </c>
      <c r="F219" s="68" t="s">
        <v>4289</v>
      </c>
      <c r="G219">
        <f>'IPTV CA'!A210</f>
        <v>10809</v>
      </c>
      <c r="H219" t="str">
        <f>T('IPTV CA'!B210)</f>
        <v/>
      </c>
      <c r="I219" t="s">
        <v>4290</v>
      </c>
      <c r="J219" t="str">
        <f t="shared" si="30"/>
        <v/>
      </c>
      <c r="K219" t="str">
        <f t="shared" si="32"/>
        <v/>
      </c>
      <c r="L219" s="69"/>
      <c r="M219">
        <f>'TMIS US'!A210</f>
        <v>8309</v>
      </c>
      <c r="N219" t="str">
        <f>T('TMIS US'!B210)</f>
        <v/>
      </c>
      <c r="O219" t="s">
        <v>4290</v>
      </c>
      <c r="P219" t="str">
        <f t="shared" si="31"/>
        <v/>
      </c>
      <c r="Q219" t="str">
        <f t="shared" si="33"/>
        <v/>
      </c>
      <c r="R219" s="69"/>
      <c r="S219">
        <f>'TMIS CA'!A210</f>
        <v>9409</v>
      </c>
      <c r="T219" t="str">
        <f>T('TMIS CA'!B210)</f>
        <v/>
      </c>
      <c r="U219" t="s">
        <v>4290</v>
      </c>
      <c r="V219" t="str">
        <f t="shared" si="35"/>
        <v/>
      </c>
      <c r="W219" t="str">
        <f t="shared" si="34"/>
        <v/>
      </c>
    </row>
    <row r="220" spans="1:23">
      <c r="A220">
        <f>'IPTV US'!A211</f>
        <v>10310</v>
      </c>
      <c r="B220" t="str">
        <f>T('IPTV US'!B211)</f>
        <v/>
      </c>
      <c r="C220" t="s">
        <v>4290</v>
      </c>
      <c r="D220" t="str">
        <f t="shared" si="28"/>
        <v/>
      </c>
      <c r="E220" t="str">
        <f t="shared" si="29"/>
        <v/>
      </c>
      <c r="F220" s="68" t="s">
        <v>4289</v>
      </c>
      <c r="G220">
        <f>'IPTV CA'!A211</f>
        <v>10810</v>
      </c>
      <c r="H220" t="str">
        <f>T('IPTV CA'!B211)</f>
        <v>Total Crime</v>
      </c>
      <c r="I220" t="s">
        <v>4288</v>
      </c>
      <c r="J220" t="str">
        <f t="shared" si="30"/>
        <v/>
      </c>
      <c r="K220" t="str">
        <f t="shared" si="32"/>
        <v/>
      </c>
      <c r="L220" s="69"/>
      <c r="M220">
        <f>'TMIS US'!A211</f>
        <v>8310</v>
      </c>
      <c r="N220" t="str">
        <f>T('TMIS US'!B211)</f>
        <v/>
      </c>
      <c r="O220" t="s">
        <v>4290</v>
      </c>
      <c r="P220" t="str">
        <f t="shared" si="31"/>
        <v/>
      </c>
      <c r="Q220" t="str">
        <f t="shared" si="33"/>
        <v/>
      </c>
      <c r="R220" s="69"/>
      <c r="S220">
        <f>'TMIS CA'!A211</f>
        <v>9410</v>
      </c>
      <c r="T220" t="str">
        <f>T('TMIS CA'!B211)</f>
        <v>Total Crime</v>
      </c>
      <c r="U220" t="s">
        <v>4288</v>
      </c>
      <c r="V220" t="str">
        <f t="shared" si="35"/>
        <v/>
      </c>
      <c r="W220" t="str">
        <f t="shared" si="34"/>
        <v/>
      </c>
    </row>
    <row r="221" spans="1:23">
      <c r="A221">
        <f>'IPTV US'!A212</f>
        <v>10311</v>
      </c>
      <c r="B221" t="str">
        <f>T('IPTV US'!B212)</f>
        <v/>
      </c>
      <c r="C221" t="s">
        <v>4290</v>
      </c>
      <c r="D221" t="str">
        <f t="shared" si="28"/>
        <v/>
      </c>
      <c r="E221" t="str">
        <f t="shared" si="29"/>
        <v/>
      </c>
      <c r="F221" s="68" t="s">
        <v>4289</v>
      </c>
      <c r="G221">
        <f>'IPTV CA'!A212</f>
        <v>10811</v>
      </c>
      <c r="H221" t="str">
        <f>T('IPTV CA'!B212)</f>
        <v>True Crime Now</v>
      </c>
      <c r="I221" t="s">
        <v>4288</v>
      </c>
      <c r="J221" t="str">
        <f t="shared" si="30"/>
        <v/>
      </c>
      <c r="K221" t="str">
        <f t="shared" si="32"/>
        <v/>
      </c>
      <c r="L221" s="69"/>
      <c r="M221">
        <f>'TMIS US'!A212</f>
        <v>8311</v>
      </c>
      <c r="N221" t="str">
        <f>T('TMIS US'!B212)</f>
        <v/>
      </c>
      <c r="O221" t="s">
        <v>4290</v>
      </c>
      <c r="P221" t="str">
        <f t="shared" si="31"/>
        <v/>
      </c>
      <c r="Q221" t="str">
        <f t="shared" si="33"/>
        <v/>
      </c>
      <c r="R221" s="69"/>
      <c r="S221">
        <f>'TMIS CA'!A212</f>
        <v>9411</v>
      </c>
      <c r="T221" t="str">
        <f>T('TMIS CA'!B212)</f>
        <v>True Crime Now</v>
      </c>
      <c r="U221" t="s">
        <v>4288</v>
      </c>
      <c r="V221" t="str">
        <f t="shared" si="35"/>
        <v/>
      </c>
      <c r="W221" t="str">
        <f t="shared" si="34"/>
        <v/>
      </c>
    </row>
    <row r="222" spans="1:23">
      <c r="A222">
        <f>'IPTV US'!A213</f>
        <v>10312</v>
      </c>
      <c r="B222" t="str">
        <f>T('IPTV US'!B213)</f>
        <v/>
      </c>
      <c r="C222" t="s">
        <v>4290</v>
      </c>
      <c r="D222" t="str">
        <f t="shared" si="28"/>
        <v/>
      </c>
      <c r="E222" t="str">
        <f t="shared" si="29"/>
        <v/>
      </c>
      <c r="F222" s="68" t="s">
        <v>4289</v>
      </c>
      <c r="G222">
        <f>'IPTV CA'!A213</f>
        <v>10812</v>
      </c>
      <c r="H222" t="str">
        <f>T('IPTV CA'!B213)</f>
        <v>Super Channel Uncovered</v>
      </c>
      <c r="I222" t="s">
        <v>4288</v>
      </c>
      <c r="J222" t="str">
        <f t="shared" si="30"/>
        <v/>
      </c>
      <c r="K222" t="str">
        <f t="shared" si="32"/>
        <v/>
      </c>
      <c r="L222" s="69"/>
      <c r="M222">
        <f>'TMIS US'!A213</f>
        <v>8312</v>
      </c>
      <c r="N222" t="str">
        <f>T('TMIS US'!B213)</f>
        <v/>
      </c>
      <c r="O222" t="s">
        <v>4290</v>
      </c>
      <c r="P222" t="str">
        <f t="shared" si="31"/>
        <v/>
      </c>
      <c r="Q222" t="str">
        <f t="shared" si="33"/>
        <v/>
      </c>
      <c r="R222" s="69"/>
      <c r="S222">
        <f>'TMIS CA'!A213</f>
        <v>9412</v>
      </c>
      <c r="T222" t="str">
        <f>T('TMIS CA'!B213)</f>
        <v>Super Channel Uncovered</v>
      </c>
      <c r="U222" t="s">
        <v>4288</v>
      </c>
      <c r="V222" t="str">
        <f t="shared" si="35"/>
        <v/>
      </c>
      <c r="W222" t="str">
        <f t="shared" si="34"/>
        <v/>
      </c>
    </row>
    <row r="223" spans="1:23">
      <c r="A223">
        <f>'IPTV US'!A214</f>
        <v>10313</v>
      </c>
      <c r="B223" t="str">
        <f>T('IPTV US'!B214)</f>
        <v/>
      </c>
      <c r="C223" t="s">
        <v>4290</v>
      </c>
      <c r="D223" t="str">
        <f t="shared" si="28"/>
        <v/>
      </c>
      <c r="E223" t="str">
        <f t="shared" si="29"/>
        <v/>
      </c>
      <c r="F223" s="68" t="s">
        <v>4289</v>
      </c>
      <c r="G223">
        <f>'IPTV CA'!A214</f>
        <v>10813</v>
      </c>
      <c r="H223" t="str">
        <f>T('IPTV CA'!B214)</f>
        <v/>
      </c>
      <c r="I223" t="s">
        <v>4290</v>
      </c>
      <c r="J223" t="str">
        <f t="shared" si="30"/>
        <v/>
      </c>
      <c r="K223" t="str">
        <f t="shared" si="32"/>
        <v/>
      </c>
      <c r="L223" s="69"/>
      <c r="M223">
        <f>'TMIS US'!A214</f>
        <v>8313</v>
      </c>
      <c r="N223" t="str">
        <f>T('TMIS US'!B214)</f>
        <v/>
      </c>
      <c r="O223" t="s">
        <v>4290</v>
      </c>
      <c r="P223" t="str">
        <f t="shared" si="31"/>
        <v/>
      </c>
      <c r="Q223" t="str">
        <f t="shared" si="33"/>
        <v/>
      </c>
      <c r="R223" s="69"/>
      <c r="S223">
        <f>'TMIS CA'!A214</f>
        <v>9413</v>
      </c>
      <c r="T223" t="str">
        <f>T('TMIS CA'!B214)</f>
        <v/>
      </c>
      <c r="U223" t="s">
        <v>4290</v>
      </c>
      <c r="V223" t="str">
        <f t="shared" si="35"/>
        <v/>
      </c>
      <c r="W223" t="str">
        <f t="shared" si="34"/>
        <v/>
      </c>
    </row>
    <row r="224" spans="1:23">
      <c r="A224">
        <f>'IPTV US'!A215</f>
        <v>10314</v>
      </c>
      <c r="B224" t="str">
        <f>T('IPTV US'!B215)</f>
        <v/>
      </c>
      <c r="C224" t="s">
        <v>4290</v>
      </c>
      <c r="D224" t="str">
        <f t="shared" si="28"/>
        <v/>
      </c>
      <c r="E224" t="str">
        <f t="shared" si="29"/>
        <v/>
      </c>
      <c r="F224" s="68" t="s">
        <v>4289</v>
      </c>
      <c r="G224">
        <f>'IPTV CA'!A215</f>
        <v>10814</v>
      </c>
      <c r="H224" t="str">
        <f>T('IPTV CA'!B215)</f>
        <v/>
      </c>
      <c r="I224" t="s">
        <v>4290</v>
      </c>
      <c r="J224" t="str">
        <f t="shared" si="30"/>
        <v/>
      </c>
      <c r="K224" t="str">
        <f t="shared" si="32"/>
        <v/>
      </c>
      <c r="L224" s="69"/>
      <c r="M224">
        <f>'TMIS US'!A215</f>
        <v>8314</v>
      </c>
      <c r="N224" t="str">
        <f>T('TMIS US'!B215)</f>
        <v/>
      </c>
      <c r="O224" t="s">
        <v>4290</v>
      </c>
      <c r="P224" t="str">
        <f t="shared" si="31"/>
        <v/>
      </c>
      <c r="Q224" t="str">
        <f t="shared" si="33"/>
        <v/>
      </c>
      <c r="R224" s="69"/>
      <c r="S224">
        <f>'TMIS CA'!A215</f>
        <v>9414</v>
      </c>
      <c r="T224" t="str">
        <f>T('TMIS CA'!B215)</f>
        <v/>
      </c>
      <c r="U224" t="s">
        <v>4290</v>
      </c>
      <c r="V224" t="str">
        <f t="shared" si="35"/>
        <v/>
      </c>
      <c r="W224" t="str">
        <f t="shared" si="34"/>
        <v/>
      </c>
    </row>
    <row r="225" spans="1:23">
      <c r="A225">
        <f>'IPTV US'!A216</f>
        <v>10315</v>
      </c>
      <c r="B225" t="str">
        <f>T('IPTV US'!B216)</f>
        <v/>
      </c>
      <c r="C225" t="s">
        <v>4290</v>
      </c>
      <c r="D225" t="str">
        <f t="shared" si="28"/>
        <v/>
      </c>
      <c r="E225" t="str">
        <f t="shared" si="29"/>
        <v/>
      </c>
      <c r="F225" s="68" t="s">
        <v>4289</v>
      </c>
      <c r="G225">
        <f>'IPTV CA'!A216</f>
        <v>10815</v>
      </c>
      <c r="H225" t="str">
        <f>T('IPTV CA'!B216)</f>
        <v/>
      </c>
      <c r="I225" t="s">
        <v>4290</v>
      </c>
      <c r="J225" t="str">
        <f t="shared" si="30"/>
        <v/>
      </c>
      <c r="K225" t="str">
        <f t="shared" si="32"/>
        <v/>
      </c>
      <c r="L225" s="69"/>
      <c r="M225">
        <f>'TMIS US'!A216</f>
        <v>8315</v>
      </c>
      <c r="N225" t="str">
        <f>T('TMIS US'!B216)</f>
        <v/>
      </c>
      <c r="O225" t="s">
        <v>4290</v>
      </c>
      <c r="P225" t="str">
        <f t="shared" si="31"/>
        <v/>
      </c>
      <c r="Q225" t="str">
        <f t="shared" si="33"/>
        <v/>
      </c>
      <c r="R225" s="69"/>
      <c r="S225">
        <f>'TMIS CA'!A216</f>
        <v>9415</v>
      </c>
      <c r="T225" t="str">
        <f>T('TMIS CA'!B216)</f>
        <v/>
      </c>
      <c r="U225" t="s">
        <v>4290</v>
      </c>
      <c r="V225" t="str">
        <f t="shared" si="35"/>
        <v/>
      </c>
      <c r="W225" t="str">
        <f t="shared" si="34"/>
        <v/>
      </c>
    </row>
    <row r="226" spans="1:23">
      <c r="A226">
        <f>'IPTV US'!A217</f>
        <v>10316</v>
      </c>
      <c r="B226" t="str">
        <f>T('IPTV US'!B217)</f>
        <v/>
      </c>
      <c r="C226" t="s">
        <v>4290</v>
      </c>
      <c r="D226" t="str">
        <f t="shared" si="28"/>
        <v/>
      </c>
      <c r="E226" t="str">
        <f t="shared" si="29"/>
        <v/>
      </c>
      <c r="F226" s="68" t="s">
        <v>4289</v>
      </c>
      <c r="G226">
        <f>'IPTV CA'!A217</f>
        <v>10816</v>
      </c>
      <c r="H226" t="str">
        <f>T('IPTV CA'!B217)</f>
        <v>FilmRise Horror</v>
      </c>
      <c r="I226" t="s">
        <v>4288</v>
      </c>
      <c r="J226" t="str">
        <f t="shared" si="30"/>
        <v/>
      </c>
      <c r="K226" t="str">
        <f t="shared" si="32"/>
        <v/>
      </c>
      <c r="L226" s="69"/>
      <c r="M226">
        <f>'TMIS US'!A217</f>
        <v>8316</v>
      </c>
      <c r="N226" t="str">
        <f>T('TMIS US'!B217)</f>
        <v/>
      </c>
      <c r="O226" t="s">
        <v>4290</v>
      </c>
      <c r="P226" t="str">
        <f t="shared" si="31"/>
        <v/>
      </c>
      <c r="Q226" t="str">
        <f t="shared" si="33"/>
        <v/>
      </c>
      <c r="R226" s="69"/>
      <c r="S226">
        <f>'TMIS CA'!A217</f>
        <v>9416</v>
      </c>
      <c r="T226" t="str">
        <f>T('TMIS CA'!B217)</f>
        <v>FilmRise Horror</v>
      </c>
      <c r="U226" t="s">
        <v>4288</v>
      </c>
      <c r="V226" t="str">
        <f t="shared" si="35"/>
        <v/>
      </c>
      <c r="W226" t="str">
        <f t="shared" si="34"/>
        <v/>
      </c>
    </row>
    <row r="227" spans="1:23">
      <c r="A227">
        <f>'IPTV US'!A218</f>
        <v>10317</v>
      </c>
      <c r="B227" t="str">
        <f>T('IPTV US'!B218)</f>
        <v/>
      </c>
      <c r="C227" t="s">
        <v>4290</v>
      </c>
      <c r="D227" t="str">
        <f t="shared" si="28"/>
        <v/>
      </c>
      <c r="E227" t="str">
        <f t="shared" si="29"/>
        <v/>
      </c>
      <c r="F227" s="68" t="s">
        <v>4289</v>
      </c>
      <c r="G227">
        <f>'IPTV CA'!A218</f>
        <v>10817</v>
      </c>
      <c r="H227" t="str">
        <f>T('IPTV CA'!B218)</f>
        <v/>
      </c>
      <c r="I227" t="s">
        <v>4290</v>
      </c>
      <c r="J227" t="str">
        <f t="shared" si="30"/>
        <v/>
      </c>
      <c r="K227" t="str">
        <f t="shared" si="32"/>
        <v/>
      </c>
      <c r="L227" s="69"/>
      <c r="M227">
        <f>'TMIS US'!A218</f>
        <v>8317</v>
      </c>
      <c r="N227" t="str">
        <f>T('TMIS US'!B218)</f>
        <v/>
      </c>
      <c r="O227" t="s">
        <v>4290</v>
      </c>
      <c r="P227" t="str">
        <f t="shared" si="31"/>
        <v/>
      </c>
      <c r="Q227" t="str">
        <f t="shared" si="33"/>
        <v/>
      </c>
      <c r="R227" s="69"/>
      <c r="S227">
        <f>'TMIS CA'!A218</f>
        <v>9417</v>
      </c>
      <c r="T227" t="str">
        <f>T('TMIS CA'!B218)</f>
        <v/>
      </c>
      <c r="U227" t="s">
        <v>4290</v>
      </c>
      <c r="V227" t="str">
        <f t="shared" si="35"/>
        <v/>
      </c>
      <c r="W227" t="str">
        <f t="shared" si="34"/>
        <v/>
      </c>
    </row>
    <row r="228" spans="1:23">
      <c r="A228">
        <f>'IPTV US'!A219</f>
        <v>10318</v>
      </c>
      <c r="B228" t="str">
        <f>T('IPTV US'!B219)</f>
        <v>CBS News Baltimore</v>
      </c>
      <c r="C228" t="s">
        <v>4288</v>
      </c>
      <c r="D228" t="str">
        <f t="shared" si="28"/>
        <v/>
      </c>
      <c r="E228" t="str">
        <f t="shared" si="29"/>
        <v/>
      </c>
      <c r="F228" s="68" t="s">
        <v>4289</v>
      </c>
      <c r="G228">
        <f>'IPTV CA'!A219</f>
        <v>10818</v>
      </c>
      <c r="H228" t="str">
        <f>T('IPTV CA'!B219)</f>
        <v/>
      </c>
      <c r="I228" t="s">
        <v>4290</v>
      </c>
      <c r="J228" t="str">
        <f t="shared" si="30"/>
        <v/>
      </c>
      <c r="K228" t="str">
        <f t="shared" si="32"/>
        <v/>
      </c>
      <c r="L228" s="69"/>
      <c r="M228">
        <f>'TMIS US'!A219</f>
        <v>8318</v>
      </c>
      <c r="N228" t="str">
        <f>T('TMIS US'!B219)</f>
        <v>CBS News Baltimore</v>
      </c>
      <c r="O228" t="s">
        <v>4288</v>
      </c>
      <c r="P228" t="str">
        <f t="shared" si="31"/>
        <v/>
      </c>
      <c r="Q228" t="str">
        <f t="shared" si="33"/>
        <v/>
      </c>
      <c r="R228" s="69"/>
      <c r="S228">
        <f>'TMIS CA'!A219</f>
        <v>9418</v>
      </c>
      <c r="T228" t="str">
        <f>T('TMIS CA'!B219)</f>
        <v/>
      </c>
      <c r="U228" t="s">
        <v>4290</v>
      </c>
      <c r="V228" t="str">
        <f t="shared" si="35"/>
        <v/>
      </c>
      <c r="W228" t="str">
        <f t="shared" si="34"/>
        <v/>
      </c>
    </row>
    <row r="229" spans="1:23">
      <c r="A229">
        <f>'IPTV US'!A220</f>
        <v>10319</v>
      </c>
      <c r="B229" t="str">
        <f>T('IPTV US'!B220)</f>
        <v>CBS News Bay Area</v>
      </c>
      <c r="C229" t="s">
        <v>4288</v>
      </c>
      <c r="D229" t="str">
        <f t="shared" si="28"/>
        <v/>
      </c>
      <c r="E229" t="str">
        <f t="shared" si="29"/>
        <v/>
      </c>
      <c r="F229" s="68" t="s">
        <v>4289</v>
      </c>
      <c r="G229">
        <f>'IPTV CA'!A220</f>
        <v>10819</v>
      </c>
      <c r="H229" t="str">
        <f>T('IPTV CA'!B220)</f>
        <v>Screambox TV</v>
      </c>
      <c r="I229" t="s">
        <v>4288</v>
      </c>
      <c r="J229" t="str">
        <f t="shared" si="30"/>
        <v/>
      </c>
      <c r="K229" t="str">
        <f t="shared" si="32"/>
        <v/>
      </c>
      <c r="L229" s="69"/>
      <c r="M229">
        <f>'TMIS US'!A220</f>
        <v>8319</v>
      </c>
      <c r="N229" t="str">
        <f>T('TMIS US'!B220)</f>
        <v>CBS News Bay Area</v>
      </c>
      <c r="O229" t="s">
        <v>4288</v>
      </c>
      <c r="P229" t="str">
        <f t="shared" si="31"/>
        <v/>
      </c>
      <c r="Q229" t="str">
        <f t="shared" si="33"/>
        <v/>
      </c>
      <c r="R229" s="69"/>
      <c r="S229">
        <f>'TMIS CA'!A220</f>
        <v>9419</v>
      </c>
      <c r="T229" t="str">
        <f>T('TMIS CA'!B220)</f>
        <v>Screambox TV</v>
      </c>
      <c r="U229" t="s">
        <v>4288</v>
      </c>
      <c r="V229" t="str">
        <f t="shared" si="35"/>
        <v/>
      </c>
      <c r="W229" t="str">
        <f t="shared" si="34"/>
        <v/>
      </c>
    </row>
    <row r="230" spans="1:23">
      <c r="A230">
        <f>'IPTV US'!A221</f>
        <v>10320</v>
      </c>
      <c r="B230" t="str">
        <f>T('IPTV US'!B221)</f>
        <v>CBS News Boston</v>
      </c>
      <c r="C230" t="s">
        <v>4288</v>
      </c>
      <c r="D230" t="str">
        <f t="shared" si="28"/>
        <v/>
      </c>
      <c r="E230" t="str">
        <f t="shared" si="29"/>
        <v/>
      </c>
      <c r="F230" s="68" t="s">
        <v>4289</v>
      </c>
      <c r="G230">
        <f>'IPTV CA'!A221</f>
        <v>10820</v>
      </c>
      <c r="H230" t="str">
        <f>T('IPTV CA'!B221)</f>
        <v>Scream Factory TV</v>
      </c>
      <c r="I230" t="s">
        <v>4288</v>
      </c>
      <c r="J230" t="str">
        <f t="shared" si="30"/>
        <v/>
      </c>
      <c r="K230" t="str">
        <f t="shared" si="32"/>
        <v/>
      </c>
      <c r="L230" s="69"/>
      <c r="M230">
        <f>'TMIS US'!A221</f>
        <v>8320</v>
      </c>
      <c r="N230" t="str">
        <f>T('TMIS US'!B221)</f>
        <v>CBS News Boston</v>
      </c>
      <c r="O230" t="s">
        <v>4288</v>
      </c>
      <c r="P230" t="str">
        <f t="shared" si="31"/>
        <v/>
      </c>
      <c r="Q230" t="str">
        <f t="shared" si="33"/>
        <v/>
      </c>
      <c r="R230" s="69"/>
      <c r="S230">
        <f>'TMIS CA'!A221</f>
        <v>9420</v>
      </c>
      <c r="T230" t="str">
        <f>T('TMIS CA'!B221)</f>
        <v>Scream Factory TV</v>
      </c>
      <c r="U230" t="s">
        <v>4288</v>
      </c>
      <c r="V230" t="str">
        <f t="shared" si="35"/>
        <v/>
      </c>
      <c r="W230" t="str">
        <f t="shared" si="34"/>
        <v/>
      </c>
    </row>
    <row r="231" spans="1:23">
      <c r="A231">
        <f>'IPTV US'!A222</f>
        <v>10321</v>
      </c>
      <c r="B231" t="str">
        <f>T('IPTV US'!B222)</f>
        <v>CBS News Chicago</v>
      </c>
      <c r="C231" t="s">
        <v>4288</v>
      </c>
      <c r="D231" t="str">
        <f t="shared" si="28"/>
        <v/>
      </c>
      <c r="E231" t="str">
        <f t="shared" si="29"/>
        <v/>
      </c>
      <c r="F231" s="68" t="s">
        <v>4289</v>
      </c>
      <c r="G231">
        <f>'IPTV CA'!A222</f>
        <v>10821</v>
      </c>
      <c r="H231" t="str">
        <f>T('IPTV CA'!B222)</f>
        <v/>
      </c>
      <c r="I231" t="s">
        <v>4290</v>
      </c>
      <c r="J231" t="str">
        <f t="shared" si="30"/>
        <v/>
      </c>
      <c r="K231" t="str">
        <f t="shared" si="32"/>
        <v/>
      </c>
      <c r="L231" s="69"/>
      <c r="M231">
        <f>'TMIS US'!A222</f>
        <v>8321</v>
      </c>
      <c r="N231" t="str">
        <f>T('TMIS US'!B222)</f>
        <v>CBS News Chicago</v>
      </c>
      <c r="O231" t="s">
        <v>4288</v>
      </c>
      <c r="P231" t="str">
        <f t="shared" si="31"/>
        <v/>
      </c>
      <c r="Q231" t="str">
        <f t="shared" si="33"/>
        <v/>
      </c>
      <c r="R231" s="69"/>
      <c r="S231">
        <f>'TMIS CA'!A222</f>
        <v>9421</v>
      </c>
      <c r="T231" t="str">
        <f>T('TMIS CA'!B222)</f>
        <v/>
      </c>
      <c r="U231" t="s">
        <v>4290</v>
      </c>
      <c r="V231" t="str">
        <f t="shared" si="35"/>
        <v/>
      </c>
      <c r="W231" t="str">
        <f t="shared" si="34"/>
        <v/>
      </c>
    </row>
    <row r="232" spans="1:23">
      <c r="A232">
        <f>'IPTV US'!A223</f>
        <v>10322</v>
      </c>
      <c r="B232" t="str">
        <f>T('IPTV US'!B223)</f>
        <v>CBS News Colorado</v>
      </c>
      <c r="C232" t="s">
        <v>4288</v>
      </c>
      <c r="D232" t="str">
        <f t="shared" si="28"/>
        <v/>
      </c>
      <c r="E232" t="str">
        <f t="shared" si="29"/>
        <v/>
      </c>
      <c r="F232" s="68" t="s">
        <v>4289</v>
      </c>
      <c r="G232">
        <f>'IPTV CA'!A223</f>
        <v>10822</v>
      </c>
      <c r="H232" t="str">
        <f>T('IPTV CA'!B223)</f>
        <v/>
      </c>
      <c r="I232" t="s">
        <v>4290</v>
      </c>
      <c r="J232" t="str">
        <f t="shared" si="30"/>
        <v/>
      </c>
      <c r="K232" t="str">
        <f t="shared" si="32"/>
        <v/>
      </c>
      <c r="L232" s="69"/>
      <c r="M232">
        <f>'TMIS US'!A223</f>
        <v>8322</v>
      </c>
      <c r="N232" t="str">
        <f>T('TMIS US'!B223)</f>
        <v>CBS News Colorado</v>
      </c>
      <c r="O232" t="s">
        <v>4288</v>
      </c>
      <c r="P232" t="str">
        <f t="shared" si="31"/>
        <v/>
      </c>
      <c r="Q232" t="str">
        <f t="shared" si="33"/>
        <v/>
      </c>
      <c r="R232" s="69"/>
      <c r="S232">
        <f>'TMIS CA'!A223</f>
        <v>9422</v>
      </c>
      <c r="T232" t="str">
        <f>T('TMIS CA'!B223)</f>
        <v/>
      </c>
      <c r="U232" t="s">
        <v>4290</v>
      </c>
      <c r="V232" t="str">
        <f t="shared" si="35"/>
        <v/>
      </c>
      <c r="W232" t="str">
        <f t="shared" si="34"/>
        <v/>
      </c>
    </row>
    <row r="233" spans="1:23">
      <c r="A233">
        <f>'IPTV US'!A224</f>
        <v>10323</v>
      </c>
      <c r="B233" t="str">
        <f>T('IPTV US'!B224)</f>
        <v>CBS News Detroit</v>
      </c>
      <c r="C233" t="s">
        <v>4288</v>
      </c>
      <c r="D233" t="str">
        <f t="shared" si="28"/>
        <v/>
      </c>
      <c r="E233" t="str">
        <f t="shared" si="29"/>
        <v/>
      </c>
      <c r="F233" s="68" t="s">
        <v>4289</v>
      </c>
      <c r="G233">
        <f>'IPTV CA'!A224</f>
        <v>10823</v>
      </c>
      <c r="H233" t="str">
        <f>T('IPTV CA'!B224)</f>
        <v>FrightFlix</v>
      </c>
      <c r="I233" t="s">
        <v>4288</v>
      </c>
      <c r="J233" t="str">
        <f t="shared" si="30"/>
        <v/>
      </c>
      <c r="K233" t="str">
        <f t="shared" si="32"/>
        <v/>
      </c>
      <c r="L233" s="69"/>
      <c r="M233">
        <f>'TMIS US'!A224</f>
        <v>8323</v>
      </c>
      <c r="N233" t="str">
        <f>T('TMIS US'!B224)</f>
        <v>CBS News Detroit</v>
      </c>
      <c r="O233" t="s">
        <v>4288</v>
      </c>
      <c r="P233" t="str">
        <f t="shared" si="31"/>
        <v/>
      </c>
      <c r="Q233" t="str">
        <f t="shared" si="33"/>
        <v/>
      </c>
      <c r="R233" s="69"/>
      <c r="S233">
        <f>'TMIS CA'!A224</f>
        <v>9423</v>
      </c>
      <c r="T233" t="str">
        <f>T('TMIS CA'!B224)</f>
        <v>FrightFlix</v>
      </c>
      <c r="U233" t="s">
        <v>4288</v>
      </c>
      <c r="V233" t="str">
        <f t="shared" si="35"/>
        <v/>
      </c>
      <c r="W233" t="str">
        <f t="shared" si="34"/>
        <v/>
      </c>
    </row>
    <row r="234" spans="1:23">
      <c r="A234">
        <f>'IPTV US'!A225</f>
        <v>10324</v>
      </c>
      <c r="B234" t="str">
        <f>T('IPTV US'!B225)</f>
        <v>CBS News Los Angeles</v>
      </c>
      <c r="C234" t="s">
        <v>4288</v>
      </c>
      <c r="D234" t="str">
        <f t="shared" si="28"/>
        <v/>
      </c>
      <c r="E234" t="str">
        <f t="shared" si="29"/>
        <v/>
      </c>
      <c r="F234" s="68" t="s">
        <v>4289</v>
      </c>
      <c r="G234">
        <f>'IPTV CA'!A225</f>
        <v>10824</v>
      </c>
      <c r="H234" t="str">
        <f>T('IPTV CA'!B225)</f>
        <v>Midnight Pulp</v>
      </c>
      <c r="I234" t="s">
        <v>4288</v>
      </c>
      <c r="J234" t="str">
        <f t="shared" si="30"/>
        <v/>
      </c>
      <c r="K234" t="str">
        <f t="shared" si="32"/>
        <v/>
      </c>
      <c r="L234" s="69"/>
      <c r="M234">
        <f>'TMIS US'!A225</f>
        <v>8324</v>
      </c>
      <c r="N234" t="str">
        <f>T('TMIS US'!B225)</f>
        <v>CBS News Los Angeles</v>
      </c>
      <c r="O234" t="s">
        <v>4288</v>
      </c>
      <c r="P234" t="str">
        <f t="shared" si="31"/>
        <v/>
      </c>
      <c r="Q234" t="str">
        <f t="shared" si="33"/>
        <v/>
      </c>
      <c r="R234" s="69"/>
      <c r="S234">
        <f>'TMIS CA'!A225</f>
        <v>9424</v>
      </c>
      <c r="T234" t="str">
        <f>T('TMIS CA'!B225)</f>
        <v>Midnight Pulp</v>
      </c>
      <c r="U234" t="s">
        <v>4288</v>
      </c>
      <c r="V234" t="str">
        <f t="shared" si="35"/>
        <v/>
      </c>
      <c r="W234" t="str">
        <f t="shared" si="34"/>
        <v/>
      </c>
    </row>
    <row r="235" spans="1:23">
      <c r="A235">
        <f>'IPTV US'!A226</f>
        <v>10325</v>
      </c>
      <c r="B235" t="str">
        <f>T('IPTV US'!B226)</f>
        <v>CBS News Miami</v>
      </c>
      <c r="C235" t="s">
        <v>4288</v>
      </c>
      <c r="D235" t="str">
        <f t="shared" si="28"/>
        <v/>
      </c>
      <c r="E235" t="str">
        <f t="shared" si="29"/>
        <v/>
      </c>
      <c r="F235" s="68" t="s">
        <v>4289</v>
      </c>
      <c r="G235">
        <f>'IPTV CA'!A226</f>
        <v>10825</v>
      </c>
      <c r="H235" t="str">
        <f>T('IPTV CA'!B226)</f>
        <v>Watch it SCREAM</v>
      </c>
      <c r="I235" t="s">
        <v>4288</v>
      </c>
      <c r="J235" t="str">
        <f t="shared" si="30"/>
        <v/>
      </c>
      <c r="K235" t="str">
        <f t="shared" si="32"/>
        <v/>
      </c>
      <c r="L235" s="69"/>
      <c r="M235">
        <f>'TMIS US'!A226</f>
        <v>8325</v>
      </c>
      <c r="N235" t="str">
        <f>T('TMIS US'!B226)</f>
        <v>CBS News Miami</v>
      </c>
      <c r="O235" t="s">
        <v>4288</v>
      </c>
      <c r="P235" t="str">
        <f t="shared" si="31"/>
        <v/>
      </c>
      <c r="Q235" t="str">
        <f t="shared" si="33"/>
        <v/>
      </c>
      <c r="R235" s="69"/>
      <c r="S235">
        <f>'TMIS CA'!A226</f>
        <v>9425</v>
      </c>
      <c r="T235" t="str">
        <f>T('TMIS CA'!B226)</f>
        <v>Watch it SCREAM</v>
      </c>
      <c r="U235" t="s">
        <v>4288</v>
      </c>
      <c r="V235" t="str">
        <f t="shared" si="35"/>
        <v/>
      </c>
      <c r="W235" t="str">
        <f t="shared" si="34"/>
        <v/>
      </c>
    </row>
    <row r="236" spans="1:23">
      <c r="A236">
        <f>'IPTV US'!A227</f>
        <v>10326</v>
      </c>
      <c r="B236" t="str">
        <f>T('IPTV US'!B227)</f>
        <v>CBS News Minnesota</v>
      </c>
      <c r="C236" t="s">
        <v>4288</v>
      </c>
      <c r="D236" t="str">
        <f t="shared" si="28"/>
        <v/>
      </c>
      <c r="E236" t="str">
        <f t="shared" si="29"/>
        <v/>
      </c>
      <c r="F236" s="68" t="s">
        <v>4289</v>
      </c>
      <c r="G236">
        <f>'IPTV CA'!A227</f>
        <v>10826</v>
      </c>
      <c r="H236" t="str">
        <f>T('IPTV CA'!B227)</f>
        <v>Trailers From Hell</v>
      </c>
      <c r="I236" t="s">
        <v>4288</v>
      </c>
      <c r="J236" t="str">
        <f t="shared" si="30"/>
        <v/>
      </c>
      <c r="K236" t="str">
        <f t="shared" si="32"/>
        <v/>
      </c>
      <c r="L236" s="69"/>
      <c r="M236">
        <f>'TMIS US'!A227</f>
        <v>8326</v>
      </c>
      <c r="N236" t="str">
        <f>T('TMIS US'!B227)</f>
        <v>CBS News Minnesota</v>
      </c>
      <c r="O236" t="s">
        <v>4288</v>
      </c>
      <c r="P236" t="str">
        <f t="shared" si="31"/>
        <v/>
      </c>
      <c r="Q236" t="str">
        <f t="shared" si="33"/>
        <v/>
      </c>
      <c r="R236" s="69"/>
      <c r="S236">
        <f>'TMIS CA'!A227</f>
        <v>9426</v>
      </c>
      <c r="T236" t="str">
        <f>T('TMIS CA'!B227)</f>
        <v>Trailers From Hell</v>
      </c>
      <c r="U236" t="s">
        <v>4288</v>
      </c>
      <c r="V236" t="str">
        <f t="shared" si="35"/>
        <v/>
      </c>
      <c r="W236" t="str">
        <f t="shared" si="34"/>
        <v/>
      </c>
    </row>
    <row r="237" spans="1:23">
      <c r="A237">
        <f>'IPTV US'!A228</f>
        <v>10327</v>
      </c>
      <c r="B237" t="str">
        <f>T('IPTV US'!B228)</f>
        <v>CBS News New York</v>
      </c>
      <c r="C237" t="s">
        <v>4288</v>
      </c>
      <c r="D237" t="str">
        <f t="shared" si="28"/>
        <v/>
      </c>
      <c r="E237" t="str">
        <f t="shared" si="29"/>
        <v/>
      </c>
      <c r="F237" s="68" t="s">
        <v>4289</v>
      </c>
      <c r="G237">
        <f>'IPTV CA'!A228</f>
        <v>10827</v>
      </c>
      <c r="H237" t="str">
        <f>T('IPTV CA'!B228)</f>
        <v/>
      </c>
      <c r="I237" t="s">
        <v>4290</v>
      </c>
      <c r="J237" t="str">
        <f t="shared" si="30"/>
        <v/>
      </c>
      <c r="K237" t="str">
        <f t="shared" si="32"/>
        <v/>
      </c>
      <c r="L237" s="69"/>
      <c r="M237">
        <f>'TMIS US'!A228</f>
        <v>8327</v>
      </c>
      <c r="N237" t="str">
        <f>T('TMIS US'!B228)</f>
        <v>CBS News New York</v>
      </c>
      <c r="O237" t="s">
        <v>4288</v>
      </c>
      <c r="P237" t="str">
        <f t="shared" si="31"/>
        <v/>
      </c>
      <c r="Q237" t="str">
        <f t="shared" si="33"/>
        <v/>
      </c>
      <c r="R237" s="69"/>
      <c r="S237">
        <f>'TMIS CA'!A228</f>
        <v>9427</v>
      </c>
      <c r="T237" t="str">
        <f>T('TMIS CA'!B228)</f>
        <v/>
      </c>
      <c r="U237" t="s">
        <v>4290</v>
      </c>
      <c r="V237" t="str">
        <f t="shared" si="35"/>
        <v/>
      </c>
      <c r="W237" t="str">
        <f t="shared" si="34"/>
        <v/>
      </c>
    </row>
    <row r="238" spans="1:23">
      <c r="A238">
        <f>'IPTV US'!A229</f>
        <v>10328</v>
      </c>
      <c r="B238" t="str">
        <f>T('IPTV US'!B229)</f>
        <v>CBS News Philadelphia</v>
      </c>
      <c r="C238" t="s">
        <v>4288</v>
      </c>
      <c r="D238" t="str">
        <f t="shared" si="28"/>
        <v/>
      </c>
      <c r="E238" t="str">
        <f t="shared" si="29"/>
        <v/>
      </c>
      <c r="F238" s="68" t="s">
        <v>4289</v>
      </c>
      <c r="G238">
        <f>'IPTV CA'!A229</f>
        <v>10828</v>
      </c>
      <c r="H238" t="str">
        <f>T('IPTV CA'!B229)</f>
        <v/>
      </c>
      <c r="I238" t="s">
        <v>4290</v>
      </c>
      <c r="J238" t="str">
        <f t="shared" si="30"/>
        <v/>
      </c>
      <c r="K238" t="str">
        <f t="shared" si="32"/>
        <v/>
      </c>
      <c r="L238" s="69"/>
      <c r="M238">
        <f>'TMIS US'!A229</f>
        <v>8328</v>
      </c>
      <c r="N238" t="str">
        <f>T('TMIS US'!B229)</f>
        <v>CBS News Philadelphia</v>
      </c>
      <c r="O238" t="s">
        <v>4288</v>
      </c>
      <c r="P238" t="str">
        <f t="shared" si="31"/>
        <v/>
      </c>
      <c r="Q238" t="str">
        <f t="shared" si="33"/>
        <v/>
      </c>
      <c r="R238" s="69"/>
      <c r="S238">
        <f>'TMIS CA'!A229</f>
        <v>9428</v>
      </c>
      <c r="T238" t="str">
        <f>T('TMIS CA'!B229)</f>
        <v/>
      </c>
      <c r="U238" t="s">
        <v>4290</v>
      </c>
      <c r="V238" t="str">
        <f t="shared" si="35"/>
        <v/>
      </c>
      <c r="W238" t="str">
        <f t="shared" si="34"/>
        <v/>
      </c>
    </row>
    <row r="239" spans="1:23">
      <c r="A239">
        <f>'IPTV US'!A230</f>
        <v>10329</v>
      </c>
      <c r="B239" t="str">
        <f>T('IPTV US'!B230)</f>
        <v>CBS News Pittsburgh</v>
      </c>
      <c r="C239" t="s">
        <v>4288</v>
      </c>
      <c r="D239" t="str">
        <f t="shared" si="28"/>
        <v/>
      </c>
      <c r="E239" t="str">
        <f t="shared" si="29"/>
        <v/>
      </c>
      <c r="F239" s="68" t="s">
        <v>4289</v>
      </c>
      <c r="G239">
        <f>'IPTV CA'!A230</f>
        <v>10829</v>
      </c>
      <c r="H239" t="str">
        <f>T('IPTV CA'!B230)</f>
        <v>Continuum</v>
      </c>
      <c r="I239" t="s">
        <v>4288</v>
      </c>
      <c r="J239" t="str">
        <f t="shared" si="30"/>
        <v/>
      </c>
      <c r="K239" t="str">
        <f t="shared" si="32"/>
        <v/>
      </c>
      <c r="L239" s="69"/>
      <c r="M239">
        <f>'TMIS US'!A230</f>
        <v>8329</v>
      </c>
      <c r="N239" t="str">
        <f>T('TMIS US'!B230)</f>
        <v>CBS News Pittsburgh</v>
      </c>
      <c r="O239" t="s">
        <v>4288</v>
      </c>
      <c r="P239" t="str">
        <f t="shared" si="31"/>
        <v/>
      </c>
      <c r="Q239" t="str">
        <f t="shared" si="33"/>
        <v/>
      </c>
      <c r="R239" s="69"/>
      <c r="S239">
        <f>'TMIS CA'!A230</f>
        <v>9429</v>
      </c>
      <c r="T239" t="str">
        <f>T('TMIS CA'!B230)</f>
        <v>Continuum</v>
      </c>
      <c r="U239" t="s">
        <v>4288</v>
      </c>
      <c r="V239" t="str">
        <f t="shared" si="35"/>
        <v/>
      </c>
      <c r="W239" t="str">
        <f t="shared" si="34"/>
        <v/>
      </c>
    </row>
    <row r="240" spans="1:23">
      <c r="A240">
        <f>'IPTV US'!A231</f>
        <v>10330</v>
      </c>
      <c r="B240" t="str">
        <f>T('IPTV US'!B231)</f>
        <v>CBS News Sacramento</v>
      </c>
      <c r="C240" t="s">
        <v>4288</v>
      </c>
      <c r="D240" t="str">
        <f t="shared" si="28"/>
        <v/>
      </c>
      <c r="E240" t="str">
        <f t="shared" si="29"/>
        <v/>
      </c>
      <c r="F240" s="68" t="s">
        <v>4289</v>
      </c>
      <c r="G240">
        <f>'IPTV CA'!A231</f>
        <v>10830</v>
      </c>
      <c r="H240" t="str">
        <f>T('IPTV CA'!B231)</f>
        <v/>
      </c>
      <c r="I240" t="s">
        <v>4290</v>
      </c>
      <c r="J240" t="str">
        <f t="shared" si="30"/>
        <v/>
      </c>
      <c r="K240" t="str">
        <f t="shared" si="32"/>
        <v/>
      </c>
      <c r="L240" s="69"/>
      <c r="M240">
        <f>'TMIS US'!A231</f>
        <v>8330</v>
      </c>
      <c r="N240" t="str">
        <f>T('TMIS US'!B231)</f>
        <v>CBS News Sacramento</v>
      </c>
      <c r="O240" t="s">
        <v>4288</v>
      </c>
      <c r="P240" t="str">
        <f t="shared" si="31"/>
        <v/>
      </c>
      <c r="Q240" t="str">
        <f t="shared" si="33"/>
        <v/>
      </c>
      <c r="R240" s="69"/>
      <c r="S240">
        <f>'TMIS CA'!A231</f>
        <v>9430</v>
      </c>
      <c r="T240" t="str">
        <f>T('TMIS CA'!B231)</f>
        <v/>
      </c>
      <c r="U240" t="s">
        <v>4290</v>
      </c>
      <c r="V240" t="str">
        <f t="shared" si="35"/>
        <v/>
      </c>
      <c r="W240" t="str">
        <f t="shared" si="34"/>
        <v/>
      </c>
    </row>
    <row r="241" spans="1:23">
      <c r="A241">
        <f>'IPTV US'!A232</f>
        <v>10401</v>
      </c>
      <c r="B241" t="str">
        <f>T('IPTV US'!B232)</f>
        <v/>
      </c>
      <c r="C241" t="s">
        <v>4290</v>
      </c>
      <c r="D241" t="str">
        <f t="shared" si="28"/>
        <v/>
      </c>
      <c r="E241" t="str">
        <f t="shared" si="29"/>
        <v/>
      </c>
      <c r="F241" s="68" t="s">
        <v>4289</v>
      </c>
      <c r="G241">
        <f>'IPTV CA'!A232</f>
        <v>10831</v>
      </c>
      <c r="H241" t="str">
        <f>T('IPTV CA'!B232)</f>
        <v/>
      </c>
      <c r="I241" t="s">
        <v>4290</v>
      </c>
      <c r="J241" t="str">
        <f t="shared" si="30"/>
        <v/>
      </c>
      <c r="K241" t="str">
        <f t="shared" si="32"/>
        <v/>
      </c>
      <c r="L241" s="69"/>
      <c r="M241">
        <f>'TMIS US'!A232</f>
        <v>9001</v>
      </c>
      <c r="N241" t="str">
        <f>T('TMIS US'!B232)</f>
        <v/>
      </c>
      <c r="O241" t="s">
        <v>4290</v>
      </c>
      <c r="P241" t="str">
        <f t="shared" si="31"/>
        <v/>
      </c>
      <c r="Q241" t="str">
        <f t="shared" si="33"/>
        <v/>
      </c>
      <c r="R241" s="69"/>
      <c r="S241">
        <f>'TMIS CA'!A232</f>
        <v>9431</v>
      </c>
      <c r="T241" t="str">
        <f>T('TMIS CA'!B232)</f>
        <v/>
      </c>
      <c r="U241" t="s">
        <v>4290</v>
      </c>
      <c r="V241" t="str">
        <f t="shared" si="35"/>
        <v/>
      </c>
      <c r="W241" t="str">
        <f t="shared" si="34"/>
        <v/>
      </c>
    </row>
    <row r="242" spans="1:23">
      <c r="A242">
        <f>'IPTV US'!A233</f>
        <v>10402</v>
      </c>
      <c r="B242" t="str">
        <f>T('IPTV US'!B233)</f>
        <v/>
      </c>
      <c r="C242" t="s">
        <v>4290</v>
      </c>
      <c r="D242" t="str">
        <f t="shared" si="28"/>
        <v/>
      </c>
      <c r="E242" t="str">
        <f t="shared" si="29"/>
        <v/>
      </c>
      <c r="F242" s="68" t="s">
        <v>4289</v>
      </c>
      <c r="G242">
        <f>'IPTV CA'!A233</f>
        <v>10832</v>
      </c>
      <c r="H242" t="str">
        <f>T('IPTV CA'!B233)</f>
        <v>BBC Sci-Fi</v>
      </c>
      <c r="I242" t="s">
        <v>4288</v>
      </c>
      <c r="J242" t="str">
        <f t="shared" si="30"/>
        <v/>
      </c>
      <c r="K242" t="str">
        <f t="shared" si="32"/>
        <v/>
      </c>
      <c r="L242" s="69"/>
      <c r="M242">
        <f>'TMIS US'!A233</f>
        <v>9002</v>
      </c>
      <c r="N242" t="str">
        <f>T('TMIS US'!B233)</f>
        <v/>
      </c>
      <c r="O242" t="s">
        <v>4290</v>
      </c>
      <c r="P242" t="str">
        <f t="shared" si="31"/>
        <v/>
      </c>
      <c r="Q242" t="str">
        <f t="shared" si="33"/>
        <v/>
      </c>
      <c r="R242" s="69"/>
      <c r="S242">
        <f>'TMIS CA'!A233</f>
        <v>9432</v>
      </c>
      <c r="T242" t="str">
        <f>T('TMIS CA'!B233)</f>
        <v>BBC Sci-Fi</v>
      </c>
      <c r="U242" t="s">
        <v>4288</v>
      </c>
      <c r="V242" t="str">
        <f t="shared" si="35"/>
        <v/>
      </c>
      <c r="W242" t="str">
        <f t="shared" si="34"/>
        <v/>
      </c>
    </row>
    <row r="243" spans="1:23">
      <c r="A243">
        <f>'IPTV US'!A234</f>
        <v>10403</v>
      </c>
      <c r="B243" t="str">
        <f>T('IPTV US'!B234)</f>
        <v/>
      </c>
      <c r="C243" t="s">
        <v>4290</v>
      </c>
      <c r="D243" t="str">
        <f t="shared" si="28"/>
        <v/>
      </c>
      <c r="E243" t="str">
        <f t="shared" si="29"/>
        <v/>
      </c>
      <c r="F243" s="68" t="s">
        <v>4289</v>
      </c>
      <c r="G243">
        <f>'IPTV CA'!A234</f>
        <v>10833</v>
      </c>
      <c r="H243" t="str">
        <f>T('IPTV CA'!B234)</f>
        <v/>
      </c>
      <c r="I243" t="s">
        <v>4290</v>
      </c>
      <c r="J243" t="str">
        <f t="shared" si="30"/>
        <v/>
      </c>
      <c r="K243" t="str">
        <f t="shared" si="32"/>
        <v/>
      </c>
      <c r="L243" s="69"/>
      <c r="M243">
        <f>'TMIS US'!A234</f>
        <v>9003</v>
      </c>
      <c r="N243" t="str">
        <f>T('TMIS US'!B234)</f>
        <v/>
      </c>
      <c r="O243" t="s">
        <v>4290</v>
      </c>
      <c r="P243" t="str">
        <f t="shared" si="31"/>
        <v/>
      </c>
      <c r="Q243" t="str">
        <f t="shared" si="33"/>
        <v/>
      </c>
      <c r="R243" s="69"/>
      <c r="S243">
        <f>'TMIS CA'!A234</f>
        <v>9433</v>
      </c>
      <c r="T243" t="str">
        <f>T('TMIS CA'!B234)</f>
        <v/>
      </c>
      <c r="U243" t="s">
        <v>4290</v>
      </c>
      <c r="V243" t="str">
        <f t="shared" si="35"/>
        <v/>
      </c>
      <c r="W243" t="str">
        <f t="shared" si="34"/>
        <v/>
      </c>
    </row>
    <row r="244" spans="1:23">
      <c r="A244">
        <f>'IPTV US'!A235</f>
        <v>10404</v>
      </c>
      <c r="B244" t="str">
        <f>T('IPTV US'!B235)</f>
        <v/>
      </c>
      <c r="C244" t="s">
        <v>4290</v>
      </c>
      <c r="D244" t="str">
        <f t="shared" si="28"/>
        <v/>
      </c>
      <c r="E244" t="str">
        <f t="shared" si="29"/>
        <v/>
      </c>
      <c r="F244" s="68" t="s">
        <v>4289</v>
      </c>
      <c r="G244">
        <f>'IPTV CA'!A235</f>
        <v>10834</v>
      </c>
      <c r="H244" t="str">
        <f>T('IPTV CA'!B235)</f>
        <v/>
      </c>
      <c r="I244" t="s">
        <v>4290</v>
      </c>
      <c r="J244" t="str">
        <f t="shared" si="30"/>
        <v/>
      </c>
      <c r="K244" t="str">
        <f t="shared" si="32"/>
        <v/>
      </c>
      <c r="L244" s="69"/>
      <c r="M244">
        <f>'TMIS US'!A235</f>
        <v>9004</v>
      </c>
      <c r="N244" t="str">
        <f>T('TMIS US'!B235)</f>
        <v/>
      </c>
      <c r="O244" t="s">
        <v>4290</v>
      </c>
      <c r="P244" t="str">
        <f t="shared" si="31"/>
        <v/>
      </c>
      <c r="Q244" t="str">
        <f t="shared" si="33"/>
        <v/>
      </c>
      <c r="R244" s="69"/>
      <c r="S244">
        <f>'TMIS CA'!A235</f>
        <v>9434</v>
      </c>
      <c r="T244" t="str">
        <f>T('TMIS CA'!B235)</f>
        <v/>
      </c>
      <c r="U244" t="s">
        <v>4290</v>
      </c>
      <c r="V244" t="str">
        <f t="shared" si="35"/>
        <v/>
      </c>
      <c r="W244" t="str">
        <f t="shared" si="34"/>
        <v/>
      </c>
    </row>
    <row r="245" spans="1:23">
      <c r="A245">
        <f>'IPTV US'!A236</f>
        <v>10405</v>
      </c>
      <c r="B245" t="str">
        <f>T('IPTV US'!B236)</f>
        <v>AccuWeather NOW</v>
      </c>
      <c r="C245" t="s">
        <v>4288</v>
      </c>
      <c r="D245" t="str">
        <f t="shared" si="28"/>
        <v/>
      </c>
      <c r="E245" t="str">
        <f t="shared" si="29"/>
        <v/>
      </c>
      <c r="F245" s="68" t="s">
        <v>4289</v>
      </c>
      <c r="G245">
        <f>'IPTV CA'!A236</f>
        <v>10835</v>
      </c>
      <c r="H245" t="str">
        <f>T('IPTV CA'!B236)</f>
        <v>Farscape</v>
      </c>
      <c r="I245" t="s">
        <v>4288</v>
      </c>
      <c r="J245" t="str">
        <f t="shared" si="30"/>
        <v/>
      </c>
      <c r="K245" t="str">
        <f t="shared" si="32"/>
        <v/>
      </c>
      <c r="L245" s="69"/>
      <c r="M245">
        <f>'TMIS US'!A236</f>
        <v>9005</v>
      </c>
      <c r="N245" t="str">
        <f>T('TMIS US'!B236)</f>
        <v>AccuWeather NOW</v>
      </c>
      <c r="O245" t="s">
        <v>4288</v>
      </c>
      <c r="P245" t="str">
        <f t="shared" si="31"/>
        <v/>
      </c>
      <c r="Q245" t="str">
        <f t="shared" si="33"/>
        <v/>
      </c>
      <c r="R245" s="69"/>
      <c r="S245">
        <f>'TMIS CA'!A236</f>
        <v>9435</v>
      </c>
      <c r="T245" t="str">
        <f>T('TMIS CA'!B236)</f>
        <v>Farscape</v>
      </c>
      <c r="U245" t="s">
        <v>4288</v>
      </c>
      <c r="V245" t="str">
        <f t="shared" si="35"/>
        <v/>
      </c>
      <c r="W245" t="str">
        <f t="shared" si="34"/>
        <v/>
      </c>
    </row>
    <row r="246" spans="1:23">
      <c r="A246">
        <f>'IPTV US'!A237</f>
        <v>10406</v>
      </c>
      <c r="B246" t="str">
        <f>T('IPTV US'!B237)</f>
        <v/>
      </c>
      <c r="C246" t="s">
        <v>4290</v>
      </c>
      <c r="D246" t="str">
        <f t="shared" si="28"/>
        <v/>
      </c>
      <c r="E246" t="str">
        <f t="shared" si="29"/>
        <v/>
      </c>
      <c r="F246" s="68" t="s">
        <v>4289</v>
      </c>
      <c r="G246">
        <f>'IPTV CA'!A237</f>
        <v>10836</v>
      </c>
      <c r="H246" t="str">
        <f>T('IPTV CA'!B237)</f>
        <v>Z Nation</v>
      </c>
      <c r="I246" t="s">
        <v>4288</v>
      </c>
      <c r="J246" t="str">
        <f t="shared" si="30"/>
        <v/>
      </c>
      <c r="K246" t="str">
        <f t="shared" si="32"/>
        <v/>
      </c>
      <c r="L246" s="69"/>
      <c r="M246">
        <f>'TMIS US'!A237</f>
        <v>9006</v>
      </c>
      <c r="N246" t="str">
        <f>T('TMIS US'!B237)</f>
        <v/>
      </c>
      <c r="O246" t="s">
        <v>4290</v>
      </c>
      <c r="P246" t="str">
        <f t="shared" si="31"/>
        <v/>
      </c>
      <c r="Q246" t="str">
        <f t="shared" si="33"/>
        <v/>
      </c>
      <c r="R246" s="69"/>
      <c r="S246">
        <f>'TMIS CA'!A237</f>
        <v>9436</v>
      </c>
      <c r="T246" t="str">
        <f>T('TMIS CA'!B237)</f>
        <v>Z Nation</v>
      </c>
      <c r="U246" t="s">
        <v>4288</v>
      </c>
      <c r="V246" t="str">
        <f t="shared" si="35"/>
        <v/>
      </c>
      <c r="W246" t="str">
        <f t="shared" si="34"/>
        <v/>
      </c>
    </row>
    <row r="247" spans="1:23">
      <c r="A247">
        <f>'IPTV US'!A238</f>
        <v>10407</v>
      </c>
      <c r="B247" t="str">
        <f>T('IPTV US'!B238)</f>
        <v/>
      </c>
      <c r="C247" t="s">
        <v>4290</v>
      </c>
      <c r="D247" t="str">
        <f t="shared" si="28"/>
        <v/>
      </c>
      <c r="E247" t="str">
        <f t="shared" si="29"/>
        <v/>
      </c>
      <c r="F247" s="68" t="s">
        <v>4289</v>
      </c>
      <c r="G247">
        <f>'IPTV CA'!A238</f>
        <v>10837</v>
      </c>
      <c r="H247" t="str">
        <f>T('IPTV CA'!B238)</f>
        <v>The Outpost</v>
      </c>
      <c r="I247" t="s">
        <v>4288</v>
      </c>
      <c r="J247" t="str">
        <f t="shared" si="30"/>
        <v/>
      </c>
      <c r="K247" t="str">
        <f t="shared" si="32"/>
        <v/>
      </c>
      <c r="L247" s="69"/>
      <c r="M247">
        <f>'TMIS US'!A238</f>
        <v>9007</v>
      </c>
      <c r="N247" t="str">
        <f>T('TMIS US'!B238)</f>
        <v/>
      </c>
      <c r="O247" t="s">
        <v>4290</v>
      </c>
      <c r="P247" t="str">
        <f t="shared" si="31"/>
        <v/>
      </c>
      <c r="Q247" t="str">
        <f t="shared" si="33"/>
        <v/>
      </c>
      <c r="R247" s="69"/>
      <c r="S247">
        <f>'TMIS CA'!A238</f>
        <v>9437</v>
      </c>
      <c r="T247" t="str">
        <f>T('TMIS CA'!B238)</f>
        <v>The Outpost</v>
      </c>
      <c r="U247" t="s">
        <v>4288</v>
      </c>
      <c r="V247" t="str">
        <f t="shared" si="35"/>
        <v/>
      </c>
      <c r="W247" t="str">
        <f t="shared" si="34"/>
        <v/>
      </c>
    </row>
    <row r="248" spans="1:23">
      <c r="A248">
        <f>'IPTV US'!A239</f>
        <v>10408</v>
      </c>
      <c r="B248" t="str">
        <f>T('IPTV US'!B239)</f>
        <v>Bloomberg TV</v>
      </c>
      <c r="C248" t="s">
        <v>4288</v>
      </c>
      <c r="D248" t="str">
        <f t="shared" si="28"/>
        <v/>
      </c>
      <c r="E248" t="str">
        <f t="shared" si="29"/>
        <v/>
      </c>
      <c r="F248" s="68" t="s">
        <v>4289</v>
      </c>
      <c r="G248">
        <f>'IPTV CA'!A239</f>
        <v>10838</v>
      </c>
      <c r="H248" t="str">
        <f>T('IPTV CA'!B239)</f>
        <v/>
      </c>
      <c r="I248" t="s">
        <v>4290</v>
      </c>
      <c r="J248" t="str">
        <f t="shared" si="30"/>
        <v/>
      </c>
      <c r="K248" t="str">
        <f t="shared" si="32"/>
        <v/>
      </c>
      <c r="L248" s="69"/>
      <c r="M248">
        <f>'TMIS US'!A239</f>
        <v>9008</v>
      </c>
      <c r="N248" t="str">
        <f>T('TMIS US'!B239)</f>
        <v>Bloomberg TV</v>
      </c>
      <c r="O248" t="s">
        <v>4288</v>
      </c>
      <c r="P248" t="str">
        <f t="shared" si="31"/>
        <v/>
      </c>
      <c r="Q248" t="str">
        <f t="shared" si="33"/>
        <v/>
      </c>
      <c r="R248" s="69"/>
      <c r="S248">
        <f>'TMIS CA'!A239</f>
        <v>9438</v>
      </c>
      <c r="T248" t="str">
        <f>T('TMIS CA'!B239)</f>
        <v/>
      </c>
      <c r="U248" t="s">
        <v>4290</v>
      </c>
      <c r="V248" t="str">
        <f t="shared" si="35"/>
        <v/>
      </c>
      <c r="W248" t="str">
        <f t="shared" si="34"/>
        <v/>
      </c>
    </row>
    <row r="249" spans="1:23">
      <c r="A249">
        <f>'IPTV US'!A240</f>
        <v>10409</v>
      </c>
      <c r="B249" t="str">
        <f>T('IPTV US'!B240)</f>
        <v>Newsmax2</v>
      </c>
      <c r="C249" t="s">
        <v>4288</v>
      </c>
      <c r="D249" t="str">
        <f t="shared" si="28"/>
        <v/>
      </c>
      <c r="E249" t="str">
        <f t="shared" si="29"/>
        <v/>
      </c>
      <c r="F249" s="68" t="s">
        <v>4289</v>
      </c>
      <c r="G249">
        <f>'IPTV CA'!A240</f>
        <v>10839</v>
      </c>
      <c r="H249" t="str">
        <f>T('IPTV CA'!B240)</f>
        <v/>
      </c>
      <c r="I249" t="s">
        <v>4290</v>
      </c>
      <c r="J249" t="str">
        <f t="shared" si="30"/>
        <v/>
      </c>
      <c r="K249" t="str">
        <f t="shared" si="32"/>
        <v/>
      </c>
      <c r="L249" s="69"/>
      <c r="M249">
        <f>'TMIS US'!A240</f>
        <v>9009</v>
      </c>
      <c r="N249" t="str">
        <f>T('TMIS US'!B240)</f>
        <v>Newsmax2</v>
      </c>
      <c r="O249" t="s">
        <v>4288</v>
      </c>
      <c r="P249" t="str">
        <f t="shared" si="31"/>
        <v/>
      </c>
      <c r="Q249" t="str">
        <f t="shared" si="33"/>
        <v/>
      </c>
      <c r="R249" s="69"/>
      <c r="S249">
        <f>'TMIS CA'!A240</f>
        <v>9439</v>
      </c>
      <c r="T249" t="str">
        <f>T('TMIS CA'!B240)</f>
        <v/>
      </c>
      <c r="U249" t="s">
        <v>4290</v>
      </c>
      <c r="V249" t="str">
        <f t="shared" si="35"/>
        <v/>
      </c>
      <c r="W249" t="str">
        <f t="shared" si="34"/>
        <v/>
      </c>
    </row>
    <row r="250" spans="1:23">
      <c r="A250">
        <f>'IPTV US'!A241</f>
        <v>10410</v>
      </c>
      <c r="B250" t="str">
        <f>T('IPTV US'!B241)</f>
        <v/>
      </c>
      <c r="C250" t="s">
        <v>4290</v>
      </c>
      <c r="D250" t="str">
        <f t="shared" si="28"/>
        <v/>
      </c>
      <c r="E250" t="str">
        <f t="shared" si="29"/>
        <v/>
      </c>
      <c r="F250" s="68" t="s">
        <v>4289</v>
      </c>
      <c r="G250">
        <f>'IPTV CA'!A241</f>
        <v>10840</v>
      </c>
      <c r="H250" t="str">
        <f>T('IPTV CA'!B241)</f>
        <v>Beyond Belief</v>
      </c>
      <c r="I250" t="s">
        <v>4288</v>
      </c>
      <c r="J250" t="str">
        <f t="shared" si="30"/>
        <v/>
      </c>
      <c r="K250" t="str">
        <f t="shared" si="32"/>
        <v/>
      </c>
      <c r="L250" s="69"/>
      <c r="M250">
        <f>'TMIS US'!A241</f>
        <v>9010</v>
      </c>
      <c r="N250" t="str">
        <f>T('TMIS US'!B241)</f>
        <v/>
      </c>
      <c r="O250" t="s">
        <v>4290</v>
      </c>
      <c r="P250" t="str">
        <f t="shared" si="31"/>
        <v/>
      </c>
      <c r="Q250" t="str">
        <f t="shared" si="33"/>
        <v/>
      </c>
      <c r="R250" s="69"/>
      <c r="S250">
        <f>'TMIS CA'!A241</f>
        <v>9440</v>
      </c>
      <c r="T250" t="str">
        <f>T('TMIS CA'!B241)</f>
        <v>Beyond Belief</v>
      </c>
      <c r="U250" t="s">
        <v>4288</v>
      </c>
      <c r="V250" t="str">
        <f t="shared" si="35"/>
        <v/>
      </c>
      <c r="W250" t="str">
        <f t="shared" si="34"/>
        <v/>
      </c>
    </row>
    <row r="251" spans="1:23">
      <c r="A251">
        <f>'IPTV US'!A242</f>
        <v>10411</v>
      </c>
      <c r="B251" t="str">
        <f>T('IPTV US'!B242)</f>
        <v/>
      </c>
      <c r="C251" t="s">
        <v>4290</v>
      </c>
      <c r="D251" t="str">
        <f t="shared" si="28"/>
        <v/>
      </c>
      <c r="E251" t="str">
        <f t="shared" si="29"/>
        <v/>
      </c>
      <c r="F251" s="68" t="s">
        <v>4289</v>
      </c>
      <c r="G251">
        <f>'IPTV CA'!A242</f>
        <v>10841</v>
      </c>
      <c r="H251" t="str">
        <f>T('IPTV CA'!B242)</f>
        <v/>
      </c>
      <c r="I251" t="s">
        <v>4290</v>
      </c>
      <c r="J251" t="str">
        <f t="shared" si="30"/>
        <v/>
      </c>
      <c r="K251" t="str">
        <f t="shared" si="32"/>
        <v/>
      </c>
      <c r="L251" s="69"/>
      <c r="M251">
        <f>'TMIS US'!A242</f>
        <v>9011</v>
      </c>
      <c r="N251" t="str">
        <f>T('TMIS US'!B242)</f>
        <v/>
      </c>
      <c r="O251" t="s">
        <v>4290</v>
      </c>
      <c r="P251" t="str">
        <f t="shared" si="31"/>
        <v/>
      </c>
      <c r="Q251" t="str">
        <f t="shared" si="33"/>
        <v/>
      </c>
      <c r="R251" s="69"/>
      <c r="S251">
        <f>'TMIS CA'!A242</f>
        <v>9441</v>
      </c>
      <c r="T251" t="str">
        <f>T('TMIS CA'!B242)</f>
        <v/>
      </c>
      <c r="U251" t="s">
        <v>4290</v>
      </c>
      <c r="V251" t="str">
        <f t="shared" si="35"/>
        <v/>
      </c>
      <c r="W251" t="str">
        <f t="shared" si="34"/>
        <v/>
      </c>
    </row>
    <row r="252" spans="1:23">
      <c r="A252">
        <f>'IPTV US'!A243</f>
        <v>10412</v>
      </c>
      <c r="B252" t="str">
        <f>T('IPTV US'!B243)</f>
        <v/>
      </c>
      <c r="C252" t="s">
        <v>4290</v>
      </c>
      <c r="D252" t="str">
        <f t="shared" si="28"/>
        <v/>
      </c>
      <c r="E252" t="str">
        <f t="shared" si="29"/>
        <v/>
      </c>
      <c r="F252" s="68" t="s">
        <v>4289</v>
      </c>
      <c r="G252">
        <f>'IPTV CA'!A243</f>
        <v>10842</v>
      </c>
      <c r="H252" t="str">
        <f>T('IPTV CA'!B243)</f>
        <v>Classic Doctor Who</v>
      </c>
      <c r="I252" t="s">
        <v>4288</v>
      </c>
      <c r="J252" t="str">
        <f t="shared" si="30"/>
        <v/>
      </c>
      <c r="K252" t="str">
        <f t="shared" si="32"/>
        <v/>
      </c>
      <c r="L252" s="69"/>
      <c r="M252">
        <f>'TMIS US'!A243</f>
        <v>9012</v>
      </c>
      <c r="N252" t="str">
        <f>T('TMIS US'!B243)</f>
        <v/>
      </c>
      <c r="O252" t="s">
        <v>4290</v>
      </c>
      <c r="P252" t="str">
        <f t="shared" si="31"/>
        <v/>
      </c>
      <c r="Q252" t="str">
        <f t="shared" si="33"/>
        <v/>
      </c>
      <c r="R252" s="69"/>
      <c r="S252">
        <f>'TMIS CA'!A243</f>
        <v>9442</v>
      </c>
      <c r="T252" t="str">
        <f>T('TMIS CA'!B243)</f>
        <v>Classic Doctor Who</v>
      </c>
      <c r="U252" t="s">
        <v>4288</v>
      </c>
      <c r="V252" t="str">
        <f t="shared" si="35"/>
        <v/>
      </c>
      <c r="W252" t="str">
        <f t="shared" si="34"/>
        <v/>
      </c>
    </row>
    <row r="253" spans="1:23">
      <c r="A253">
        <f>'IPTV US'!A244</f>
        <v>10413</v>
      </c>
      <c r="B253" t="str">
        <f>T('IPTV US'!B244)</f>
        <v>Scripps News</v>
      </c>
      <c r="C253" t="s">
        <v>4288</v>
      </c>
      <c r="D253" t="str">
        <f t="shared" si="28"/>
        <v/>
      </c>
      <c r="E253" t="str">
        <f t="shared" si="29"/>
        <v/>
      </c>
      <c r="F253" s="68" t="s">
        <v>4289</v>
      </c>
      <c r="G253">
        <f>'IPTV CA'!A244</f>
        <v>10843</v>
      </c>
      <c r="H253" t="str">
        <f>T('IPTV CA'!B244)</f>
        <v/>
      </c>
      <c r="I253" t="s">
        <v>4290</v>
      </c>
      <c r="J253" t="str">
        <f t="shared" si="30"/>
        <v/>
      </c>
      <c r="K253" t="str">
        <f t="shared" si="32"/>
        <v/>
      </c>
      <c r="L253" s="69"/>
      <c r="M253">
        <f>'TMIS US'!A244</f>
        <v>9013</v>
      </c>
      <c r="N253" t="str">
        <f>T('TMIS US'!B244)</f>
        <v>Scripps News</v>
      </c>
      <c r="O253" t="s">
        <v>4288</v>
      </c>
      <c r="P253" t="str">
        <f t="shared" si="31"/>
        <v/>
      </c>
      <c r="Q253" t="str">
        <f t="shared" si="33"/>
        <v/>
      </c>
      <c r="R253" s="69"/>
      <c r="S253">
        <f>'TMIS CA'!A244</f>
        <v>9443</v>
      </c>
      <c r="T253" t="str">
        <f>T('TMIS CA'!B244)</f>
        <v/>
      </c>
      <c r="U253" t="s">
        <v>4290</v>
      </c>
      <c r="V253" t="str">
        <f t="shared" si="35"/>
        <v/>
      </c>
      <c r="W253" t="str">
        <f t="shared" si="34"/>
        <v/>
      </c>
    </row>
    <row r="254" spans="1:23">
      <c r="A254">
        <f>'IPTV US'!A245</f>
        <v>10414</v>
      </c>
      <c r="B254" t="str">
        <f>T('IPTV US'!B245)</f>
        <v>Cheddar News</v>
      </c>
      <c r="C254" t="s">
        <v>4288</v>
      </c>
      <c r="D254" t="str">
        <f t="shared" si="28"/>
        <v/>
      </c>
      <c r="E254" t="str">
        <f t="shared" si="29"/>
        <v/>
      </c>
      <c r="F254" s="68" t="s">
        <v>4289</v>
      </c>
      <c r="G254">
        <f>'IPTV CA'!A245</f>
        <v>10844</v>
      </c>
      <c r="H254" t="str">
        <f>T('IPTV CA'!B245)</f>
        <v/>
      </c>
      <c r="I254" t="s">
        <v>4290</v>
      </c>
      <c r="J254" t="str">
        <f t="shared" si="30"/>
        <v/>
      </c>
      <c r="K254" t="str">
        <f t="shared" si="32"/>
        <v/>
      </c>
      <c r="L254" s="69"/>
      <c r="M254">
        <f>'TMIS US'!A245</f>
        <v>9014</v>
      </c>
      <c r="N254" t="str">
        <f>T('TMIS US'!B245)</f>
        <v>Cheddar News</v>
      </c>
      <c r="O254" t="s">
        <v>4288</v>
      </c>
      <c r="P254" t="str">
        <f t="shared" si="31"/>
        <v/>
      </c>
      <c r="Q254" t="str">
        <f t="shared" si="33"/>
        <v/>
      </c>
      <c r="R254" s="69"/>
      <c r="S254">
        <f>'TMIS CA'!A245</f>
        <v>9444</v>
      </c>
      <c r="T254" t="str">
        <f>T('TMIS CA'!B245)</f>
        <v/>
      </c>
      <c r="U254" t="s">
        <v>4290</v>
      </c>
      <c r="V254" t="str">
        <f t="shared" si="35"/>
        <v/>
      </c>
      <c r="W254" t="str">
        <f t="shared" si="34"/>
        <v/>
      </c>
    </row>
    <row r="255" spans="1:23">
      <c r="A255">
        <f>'IPTV US'!A246</f>
        <v>10415</v>
      </c>
      <c r="B255" t="str">
        <f>T('IPTV US'!B246)</f>
        <v>USA Today News</v>
      </c>
      <c r="C255" t="s">
        <v>4288</v>
      </c>
      <c r="D255" t="str">
        <f t="shared" si="28"/>
        <v/>
      </c>
      <c r="E255" t="str">
        <f t="shared" si="29"/>
        <v/>
      </c>
      <c r="F255" s="68" t="s">
        <v>4289</v>
      </c>
      <c r="G255">
        <f>'IPTV CA'!A246</f>
        <v>10845</v>
      </c>
      <c r="H255" t="str">
        <f>T('IPTV CA'!B246)</f>
        <v>Ghost Hunters Channel</v>
      </c>
      <c r="I255" t="s">
        <v>4288</v>
      </c>
      <c r="J255" t="str">
        <f t="shared" si="30"/>
        <v/>
      </c>
      <c r="K255" t="str">
        <f t="shared" si="32"/>
        <v/>
      </c>
      <c r="L255" s="69"/>
      <c r="M255">
        <f>'TMIS US'!A246</f>
        <v>9015</v>
      </c>
      <c r="N255" t="str">
        <f>T('TMIS US'!B246)</f>
        <v>USA Today News</v>
      </c>
      <c r="O255" t="s">
        <v>4288</v>
      </c>
      <c r="P255" t="str">
        <f t="shared" si="31"/>
        <v/>
      </c>
      <c r="Q255" t="str">
        <f t="shared" si="33"/>
        <v/>
      </c>
      <c r="R255" s="69"/>
      <c r="S255">
        <f>'TMIS CA'!A246</f>
        <v>9445</v>
      </c>
      <c r="T255" t="str">
        <f>T('TMIS CA'!B246)</f>
        <v>Ghost Hunters Channel</v>
      </c>
      <c r="U255" t="s">
        <v>4288</v>
      </c>
      <c r="V255" t="str">
        <f t="shared" si="35"/>
        <v/>
      </c>
      <c r="W255" t="str">
        <f t="shared" si="34"/>
        <v/>
      </c>
    </row>
    <row r="256" spans="1:23">
      <c r="A256">
        <f>'IPTV US'!A247</f>
        <v>10416</v>
      </c>
      <c r="B256" t="str">
        <f>T('IPTV US'!B247)</f>
        <v>Bloomberg Originals</v>
      </c>
      <c r="C256" t="s">
        <v>4288</v>
      </c>
      <c r="D256" t="str">
        <f t="shared" si="28"/>
        <v/>
      </c>
      <c r="E256" t="str">
        <f t="shared" si="29"/>
        <v/>
      </c>
      <c r="F256" s="68" t="s">
        <v>4289</v>
      </c>
      <c r="G256">
        <f>'IPTV CA'!A247</f>
        <v>10846</v>
      </c>
      <c r="H256" t="str">
        <f>T('IPTV CA'!B247)</f>
        <v/>
      </c>
      <c r="I256" t="s">
        <v>4290</v>
      </c>
      <c r="J256" t="str">
        <f t="shared" si="30"/>
        <v/>
      </c>
      <c r="K256" t="str">
        <f t="shared" si="32"/>
        <v/>
      </c>
      <c r="L256" s="69"/>
      <c r="M256">
        <f>'TMIS US'!A247</f>
        <v>9016</v>
      </c>
      <c r="N256" t="str">
        <f>T('TMIS US'!B247)</f>
        <v>Bloomberg Originals</v>
      </c>
      <c r="O256" t="s">
        <v>4288</v>
      </c>
      <c r="P256" t="str">
        <f t="shared" si="31"/>
        <v/>
      </c>
      <c r="Q256" t="str">
        <f t="shared" si="33"/>
        <v/>
      </c>
      <c r="R256" s="69"/>
      <c r="S256">
        <f>'TMIS CA'!A247</f>
        <v>9446</v>
      </c>
      <c r="T256" t="str">
        <f>T('TMIS CA'!B247)</f>
        <v/>
      </c>
      <c r="U256" t="s">
        <v>4290</v>
      </c>
      <c r="V256" t="str">
        <f t="shared" si="35"/>
        <v/>
      </c>
      <c r="W256" t="str">
        <f t="shared" si="34"/>
        <v/>
      </c>
    </row>
    <row r="257" spans="1:23">
      <c r="A257">
        <f>'IPTV US'!A248</f>
        <v>10417</v>
      </c>
      <c r="B257" t="str">
        <f>T('IPTV US'!B248)</f>
        <v/>
      </c>
      <c r="C257" t="s">
        <v>4290</v>
      </c>
      <c r="D257" t="str">
        <f t="shared" si="28"/>
        <v/>
      </c>
      <c r="E257" t="str">
        <f t="shared" si="29"/>
        <v/>
      </c>
      <c r="F257" s="68" t="s">
        <v>4289</v>
      </c>
      <c r="G257">
        <f>'IPTV CA'!A248</f>
        <v>10847</v>
      </c>
      <c r="H257" t="str">
        <f>T('IPTV CA'!B248)</f>
        <v/>
      </c>
      <c r="I257" t="s">
        <v>4290</v>
      </c>
      <c r="J257" t="str">
        <f t="shared" si="30"/>
        <v/>
      </c>
      <c r="K257" t="str">
        <f t="shared" si="32"/>
        <v/>
      </c>
      <c r="L257" s="69"/>
      <c r="M257">
        <f>'TMIS US'!A248</f>
        <v>9017</v>
      </c>
      <c r="N257" t="str">
        <f>T('TMIS US'!B248)</f>
        <v/>
      </c>
      <c r="O257" t="s">
        <v>4290</v>
      </c>
      <c r="P257" t="str">
        <f t="shared" si="31"/>
        <v/>
      </c>
      <c r="Q257" t="str">
        <f t="shared" si="33"/>
        <v/>
      </c>
      <c r="R257" s="69"/>
      <c r="S257">
        <f>'TMIS CA'!A248</f>
        <v>9447</v>
      </c>
      <c r="T257" t="str">
        <f>T('TMIS CA'!B248)</f>
        <v/>
      </c>
      <c r="U257" t="s">
        <v>4290</v>
      </c>
      <c r="V257" t="str">
        <f t="shared" si="35"/>
        <v/>
      </c>
      <c r="W257" t="str">
        <f t="shared" si="34"/>
        <v/>
      </c>
    </row>
    <row r="258" spans="1:23">
      <c r="A258">
        <f>'IPTV US'!A249</f>
        <v>10418</v>
      </c>
      <c r="B258" t="str">
        <f>T('IPTV US'!B249)</f>
        <v/>
      </c>
      <c r="C258" t="s">
        <v>4290</v>
      </c>
      <c r="D258" t="str">
        <f t="shared" si="28"/>
        <v/>
      </c>
      <c r="E258" t="str">
        <f t="shared" si="29"/>
        <v/>
      </c>
      <c r="F258" s="68" t="s">
        <v>4289</v>
      </c>
      <c r="G258">
        <f>'IPTV CA'!A249</f>
        <v>10848</v>
      </c>
      <c r="H258" t="str">
        <f>T('IPTV CA'!B249)</f>
        <v/>
      </c>
      <c r="I258" t="s">
        <v>4290</v>
      </c>
      <c r="J258" t="str">
        <f t="shared" si="30"/>
        <v/>
      </c>
      <c r="K258" t="str">
        <f t="shared" si="32"/>
        <v/>
      </c>
      <c r="L258" s="69"/>
      <c r="M258">
        <f>'TMIS US'!A249</f>
        <v>9018</v>
      </c>
      <c r="N258" t="str">
        <f>T('TMIS US'!B249)</f>
        <v/>
      </c>
      <c r="O258" t="s">
        <v>4290</v>
      </c>
      <c r="P258" t="str">
        <f t="shared" si="31"/>
        <v/>
      </c>
      <c r="Q258" t="str">
        <f t="shared" si="33"/>
        <v/>
      </c>
      <c r="R258" s="69"/>
      <c r="S258">
        <f>'TMIS CA'!A249</f>
        <v>9448</v>
      </c>
      <c r="T258" t="str">
        <f>T('TMIS CA'!B249)</f>
        <v/>
      </c>
      <c r="U258" t="s">
        <v>4290</v>
      </c>
      <c r="V258" t="str">
        <f t="shared" si="35"/>
        <v/>
      </c>
      <c r="W258" t="str">
        <f t="shared" si="34"/>
        <v/>
      </c>
    </row>
    <row r="259" spans="1:23">
      <c r="A259">
        <f>'IPTV US'!A250</f>
        <v>10419</v>
      </c>
      <c r="B259" t="str">
        <f>T('IPTV US'!B250)</f>
        <v/>
      </c>
      <c r="C259" t="s">
        <v>4290</v>
      </c>
      <c r="D259" t="str">
        <f t="shared" si="28"/>
        <v/>
      </c>
      <c r="E259" t="str">
        <f t="shared" si="29"/>
        <v/>
      </c>
      <c r="F259" s="68" t="s">
        <v>4289</v>
      </c>
      <c r="G259">
        <f>'IPTV CA'!A250</f>
        <v>10849</v>
      </c>
      <c r="H259" t="str">
        <f>T('IPTV CA'!B250)</f>
        <v>HauntTV</v>
      </c>
      <c r="I259" t="s">
        <v>4288</v>
      </c>
      <c r="J259" t="str">
        <f t="shared" si="30"/>
        <v/>
      </c>
      <c r="K259" t="str">
        <f t="shared" si="32"/>
        <v/>
      </c>
      <c r="L259" s="69"/>
      <c r="M259">
        <f>'TMIS US'!A250</f>
        <v>9019</v>
      </c>
      <c r="N259" t="str">
        <f>T('TMIS US'!B250)</f>
        <v/>
      </c>
      <c r="O259" t="s">
        <v>4290</v>
      </c>
      <c r="P259" t="str">
        <f t="shared" si="31"/>
        <v/>
      </c>
      <c r="Q259" t="str">
        <f t="shared" si="33"/>
        <v/>
      </c>
      <c r="R259" s="69"/>
      <c r="S259">
        <f>'TMIS CA'!A250</f>
        <v>9449</v>
      </c>
      <c r="T259" t="str">
        <f>T('TMIS CA'!B250)</f>
        <v>HauntTV</v>
      </c>
      <c r="U259" t="s">
        <v>4288</v>
      </c>
      <c r="V259" t="str">
        <f t="shared" si="35"/>
        <v/>
      </c>
      <c r="W259" t="str">
        <f t="shared" si="34"/>
        <v/>
      </c>
    </row>
    <row r="260" spans="1:23">
      <c r="A260">
        <f>'IPTV US'!A251</f>
        <v>10420</v>
      </c>
      <c r="B260" t="str">
        <f>T('IPTV US'!B251)</f>
        <v/>
      </c>
      <c r="C260" t="s">
        <v>4290</v>
      </c>
      <c r="D260" t="str">
        <f t="shared" si="28"/>
        <v/>
      </c>
      <c r="E260" t="str">
        <f t="shared" si="29"/>
        <v/>
      </c>
      <c r="F260" s="68" t="s">
        <v>4289</v>
      </c>
      <c r="G260">
        <f>'IPTV CA'!A251</f>
        <v>10850</v>
      </c>
      <c r="H260" t="str">
        <f>T('IPTV CA'!B251)</f>
        <v/>
      </c>
      <c r="I260" t="s">
        <v>4290</v>
      </c>
      <c r="J260" t="str">
        <f t="shared" si="30"/>
        <v/>
      </c>
      <c r="K260" t="str">
        <f t="shared" si="32"/>
        <v/>
      </c>
      <c r="L260" s="69"/>
      <c r="M260">
        <f>'TMIS US'!A251</f>
        <v>9020</v>
      </c>
      <c r="N260" t="str">
        <f>T('TMIS US'!B251)</f>
        <v/>
      </c>
      <c r="O260" t="s">
        <v>4290</v>
      </c>
      <c r="P260" t="str">
        <f t="shared" si="31"/>
        <v/>
      </c>
      <c r="Q260" t="str">
        <f t="shared" si="33"/>
        <v/>
      </c>
      <c r="R260" s="69"/>
      <c r="S260">
        <f>'TMIS CA'!A251</f>
        <v>9450</v>
      </c>
      <c r="T260" t="str">
        <f>T('TMIS CA'!B251)</f>
        <v/>
      </c>
      <c r="U260" t="s">
        <v>4290</v>
      </c>
      <c r="V260" t="str">
        <f t="shared" si="35"/>
        <v/>
      </c>
      <c r="W260" t="str">
        <f t="shared" si="34"/>
        <v/>
      </c>
    </row>
    <row r="261" spans="1:23">
      <c r="A261">
        <f>'IPTV US'!A252</f>
        <v>10421</v>
      </c>
      <c r="B261" t="str">
        <f>T('IPTV US'!B252)</f>
        <v/>
      </c>
      <c r="C261" t="s">
        <v>4290</v>
      </c>
      <c r="D261" t="str">
        <f t="shared" si="28"/>
        <v/>
      </c>
      <c r="E261" t="str">
        <f t="shared" si="29"/>
        <v/>
      </c>
      <c r="F261" s="68" t="s">
        <v>4289</v>
      </c>
      <c r="G261">
        <f>'IPTV CA'!A252</f>
        <v>10851</v>
      </c>
      <c r="H261" t="str">
        <f>T('IPTV CA'!B252)</f>
        <v/>
      </c>
      <c r="I261" t="s">
        <v>4290</v>
      </c>
      <c r="J261" t="str">
        <f t="shared" si="30"/>
        <v/>
      </c>
      <c r="K261" t="str">
        <f t="shared" si="32"/>
        <v/>
      </c>
      <c r="L261" s="69"/>
      <c r="M261">
        <f>'TMIS US'!A252</f>
        <v>9021</v>
      </c>
      <c r="N261" t="str">
        <f>T('TMIS US'!B252)</f>
        <v/>
      </c>
      <c r="O261" t="s">
        <v>4290</v>
      </c>
      <c r="P261" t="str">
        <f t="shared" si="31"/>
        <v/>
      </c>
      <c r="Q261" t="str">
        <f t="shared" si="33"/>
        <v/>
      </c>
      <c r="R261" s="69"/>
      <c r="S261">
        <f>'TMIS CA'!A252</f>
        <v>9451</v>
      </c>
      <c r="T261" t="str">
        <f>T('TMIS CA'!B252)</f>
        <v/>
      </c>
      <c r="U261" t="s">
        <v>4290</v>
      </c>
      <c r="V261" t="str">
        <f t="shared" si="35"/>
        <v/>
      </c>
      <c r="W261" t="str">
        <f t="shared" si="34"/>
        <v/>
      </c>
    </row>
    <row r="262" spans="1:23">
      <c r="A262">
        <f>'IPTV US'!A253</f>
        <v>10422</v>
      </c>
      <c r="B262" t="str">
        <f>T('IPTV US'!B253)</f>
        <v/>
      </c>
      <c r="C262" t="s">
        <v>4290</v>
      </c>
      <c r="D262" t="str">
        <f t="shared" si="28"/>
        <v/>
      </c>
      <c r="E262" t="str">
        <f t="shared" si="29"/>
        <v/>
      </c>
      <c r="F262" s="68" t="s">
        <v>4289</v>
      </c>
      <c r="G262">
        <f>'IPTV CA'!A253</f>
        <v>10852</v>
      </c>
      <c r="H262" t="str">
        <f>T('IPTV CA'!B253)</f>
        <v>Beyond Paranormal</v>
      </c>
      <c r="I262" t="s">
        <v>4288</v>
      </c>
      <c r="J262" t="str">
        <f t="shared" si="30"/>
        <v/>
      </c>
      <c r="K262" t="str">
        <f t="shared" si="32"/>
        <v/>
      </c>
      <c r="L262" s="69"/>
      <c r="M262">
        <f>'TMIS US'!A253</f>
        <v>9022</v>
      </c>
      <c r="N262" t="str">
        <f>T('TMIS US'!B253)</f>
        <v/>
      </c>
      <c r="O262" t="s">
        <v>4290</v>
      </c>
      <c r="P262" t="str">
        <f t="shared" si="31"/>
        <v/>
      </c>
      <c r="Q262" t="str">
        <f t="shared" si="33"/>
        <v/>
      </c>
      <c r="R262" s="69"/>
      <c r="S262">
        <f>'TMIS CA'!A253</f>
        <v>9452</v>
      </c>
      <c r="T262" t="str">
        <f>T('TMIS CA'!B253)</f>
        <v>Beyond Paranormal</v>
      </c>
      <c r="U262" t="s">
        <v>4288</v>
      </c>
      <c r="V262" t="str">
        <f t="shared" si="35"/>
        <v/>
      </c>
      <c r="W262" t="str">
        <f t="shared" si="34"/>
        <v/>
      </c>
    </row>
    <row r="263" spans="1:23">
      <c r="A263">
        <f>'IPTV US'!A254</f>
        <v>10423</v>
      </c>
      <c r="B263" t="str">
        <f>T('IPTV US'!B254)</f>
        <v/>
      </c>
      <c r="C263" t="s">
        <v>4290</v>
      </c>
      <c r="D263" t="str">
        <f t="shared" si="28"/>
        <v/>
      </c>
      <c r="E263" t="str">
        <f t="shared" si="29"/>
        <v/>
      </c>
      <c r="F263" s="68" t="s">
        <v>4289</v>
      </c>
      <c r="G263">
        <f>'IPTV CA'!A254</f>
        <v>10853</v>
      </c>
      <c r="H263" t="str">
        <f>T('IPTV CA'!B254)</f>
        <v>Galxy TV</v>
      </c>
      <c r="I263" t="s">
        <v>4288</v>
      </c>
      <c r="J263" t="str">
        <f t="shared" si="30"/>
        <v/>
      </c>
      <c r="K263" t="str">
        <f t="shared" si="32"/>
        <v/>
      </c>
      <c r="L263" s="69"/>
      <c r="M263">
        <f>'TMIS US'!A254</f>
        <v>9023</v>
      </c>
      <c r="N263" t="str">
        <f>T('TMIS US'!B254)</f>
        <v/>
      </c>
      <c r="O263" t="s">
        <v>4290</v>
      </c>
      <c r="P263" t="str">
        <f t="shared" si="31"/>
        <v/>
      </c>
      <c r="Q263" t="str">
        <f t="shared" si="33"/>
        <v/>
      </c>
      <c r="R263" s="69"/>
      <c r="S263">
        <f>'TMIS CA'!A254</f>
        <v>9453</v>
      </c>
      <c r="T263" t="str">
        <f>T('TMIS CA'!B254)</f>
        <v>Galxy TV</v>
      </c>
      <c r="U263" t="s">
        <v>4288</v>
      </c>
      <c r="V263" t="str">
        <f t="shared" si="35"/>
        <v/>
      </c>
      <c r="W263" t="str">
        <f t="shared" si="34"/>
        <v/>
      </c>
    </row>
    <row r="264" spans="1:23">
      <c r="A264">
        <f>'IPTV US'!A255</f>
        <v>10424</v>
      </c>
      <c r="B264" t="str">
        <f>T('IPTV US'!B255)</f>
        <v>Hallmark Movies &amp; More</v>
      </c>
      <c r="C264" t="s">
        <v>4288</v>
      </c>
      <c r="D264" t="str">
        <f t="shared" si="28"/>
        <v/>
      </c>
      <c r="E264" t="str">
        <f t="shared" si="29"/>
        <v/>
      </c>
      <c r="F264" s="68" t="s">
        <v>4289</v>
      </c>
      <c r="G264">
        <f>'IPTV CA'!A255</f>
        <v>10854</v>
      </c>
      <c r="H264" t="str">
        <f>T('IPTV CA'!B255)</f>
        <v/>
      </c>
      <c r="I264" t="s">
        <v>4290</v>
      </c>
      <c r="J264" t="str">
        <f t="shared" si="30"/>
        <v/>
      </c>
      <c r="K264" t="str">
        <f t="shared" si="32"/>
        <v/>
      </c>
      <c r="L264" s="69"/>
      <c r="M264">
        <f>'TMIS US'!A255</f>
        <v>9024</v>
      </c>
      <c r="N264" t="str">
        <f>T('TMIS US'!B255)</f>
        <v>Hallmark Movies &amp; More</v>
      </c>
      <c r="O264" t="s">
        <v>4288</v>
      </c>
      <c r="P264" t="str">
        <f t="shared" si="31"/>
        <v/>
      </c>
      <c r="Q264" t="str">
        <f t="shared" si="33"/>
        <v/>
      </c>
      <c r="R264" s="69"/>
      <c r="S264">
        <f>'TMIS CA'!A255</f>
        <v>9454</v>
      </c>
      <c r="T264" t="str">
        <f>T('TMIS CA'!B255)</f>
        <v/>
      </c>
      <c r="U264" t="s">
        <v>4290</v>
      </c>
      <c r="V264" t="str">
        <f t="shared" si="35"/>
        <v/>
      </c>
      <c r="W264" t="str">
        <f t="shared" si="34"/>
        <v/>
      </c>
    </row>
    <row r="265" spans="1:23">
      <c r="A265">
        <f>'IPTV US'!A256</f>
        <v>10425</v>
      </c>
      <c r="B265" t="str">
        <f>T('IPTV US'!B256)</f>
        <v/>
      </c>
      <c r="C265" t="s">
        <v>4290</v>
      </c>
      <c r="D265" t="str">
        <f t="shared" si="28"/>
        <v/>
      </c>
      <c r="E265" t="str">
        <f t="shared" si="29"/>
        <v/>
      </c>
      <c r="F265" s="68" t="s">
        <v>4289</v>
      </c>
      <c r="G265">
        <f>'IPTV CA'!A256</f>
        <v>10855</v>
      </c>
      <c r="H265" t="str">
        <f>T('IPTV CA'!B256)</f>
        <v/>
      </c>
      <c r="I265" t="s">
        <v>4290</v>
      </c>
      <c r="J265" t="str">
        <f t="shared" si="30"/>
        <v/>
      </c>
      <c r="K265" t="str">
        <f t="shared" si="32"/>
        <v/>
      </c>
      <c r="L265" s="69"/>
      <c r="M265">
        <f>'TMIS US'!A256</f>
        <v>9025</v>
      </c>
      <c r="N265" t="str">
        <f>T('TMIS US'!B256)</f>
        <v/>
      </c>
      <c r="O265" t="s">
        <v>4290</v>
      </c>
      <c r="P265" t="str">
        <f t="shared" si="31"/>
        <v/>
      </c>
      <c r="Q265" t="str">
        <f t="shared" si="33"/>
        <v/>
      </c>
      <c r="R265" s="69"/>
      <c r="S265">
        <f>'TMIS CA'!A256</f>
        <v>9455</v>
      </c>
      <c r="T265" t="str">
        <f>T('TMIS CA'!B256)</f>
        <v/>
      </c>
      <c r="U265" t="s">
        <v>4290</v>
      </c>
      <c r="V265" t="str">
        <f t="shared" si="35"/>
        <v/>
      </c>
      <c r="W265" t="str">
        <f t="shared" si="34"/>
        <v/>
      </c>
    </row>
    <row r="266" spans="1:23">
      <c r="A266">
        <f>'IPTV US'!A257</f>
        <v>10426</v>
      </c>
      <c r="B266" t="str">
        <f>T('IPTV US'!B257)</f>
        <v/>
      </c>
      <c r="C266" t="s">
        <v>4290</v>
      </c>
      <c r="D266" t="str">
        <f t="shared" si="28"/>
        <v/>
      </c>
      <c r="E266" t="str">
        <f t="shared" si="29"/>
        <v/>
      </c>
      <c r="F266" s="68" t="s">
        <v>4289</v>
      </c>
      <c r="G266">
        <f>'IPTV CA'!A257</f>
        <v>10856</v>
      </c>
      <c r="H266" t="str">
        <f>T('IPTV CA'!B257)</f>
        <v>Unidentified</v>
      </c>
      <c r="I266" t="s">
        <v>4288</v>
      </c>
      <c r="J266" t="str">
        <f t="shared" si="30"/>
        <v/>
      </c>
      <c r="K266" t="str">
        <f t="shared" si="32"/>
        <v/>
      </c>
      <c r="L266" s="69"/>
      <c r="M266">
        <f>'TMIS US'!A257</f>
        <v>9026</v>
      </c>
      <c r="N266" t="str">
        <f>T('TMIS US'!B257)</f>
        <v/>
      </c>
      <c r="O266" t="s">
        <v>4290</v>
      </c>
      <c r="P266" t="str">
        <f t="shared" si="31"/>
        <v/>
      </c>
      <c r="Q266" t="str">
        <f t="shared" si="33"/>
        <v/>
      </c>
      <c r="R266" s="69"/>
      <c r="S266">
        <f>'TMIS CA'!A257</f>
        <v>9456</v>
      </c>
      <c r="T266" t="str">
        <f>T('TMIS CA'!B257)</f>
        <v>Unidentified</v>
      </c>
      <c r="U266" t="s">
        <v>4288</v>
      </c>
      <c r="V266" t="str">
        <f t="shared" si="35"/>
        <v/>
      </c>
      <c r="W266" t="str">
        <f t="shared" si="34"/>
        <v/>
      </c>
    </row>
    <row r="267" spans="1:23">
      <c r="A267">
        <f>'IPTV US'!A258</f>
        <v>10427</v>
      </c>
      <c r="B267" t="str">
        <f>T('IPTV US'!B258)</f>
        <v/>
      </c>
      <c r="C267" t="s">
        <v>4290</v>
      </c>
      <c r="D267" t="str">
        <f t="shared" ref="D267:D330" si="36">IF(C267="Active",IF(B267="","Please Notify - Channel Removed",""),"")</f>
        <v/>
      </c>
      <c r="E267" t="str">
        <f t="shared" ref="E267:E330" si="37">IF(C267="Vacant",IF(B267="","","Please Notify - Channel Added"),"")</f>
        <v/>
      </c>
      <c r="F267" s="68" t="s">
        <v>4289</v>
      </c>
      <c r="G267">
        <f>'IPTV CA'!A258</f>
        <v>10857</v>
      </c>
      <c r="H267" t="str">
        <f>T('IPTV CA'!B258)</f>
        <v>Unexplained</v>
      </c>
      <c r="I267" t="s">
        <v>4288</v>
      </c>
      <c r="J267" t="str">
        <f t="shared" ref="J267:J330" si="38">IF(I267="Active",IF(H267="","Please Notify - Channel Removed",""),"")</f>
        <v/>
      </c>
      <c r="K267" t="str">
        <f t="shared" si="32"/>
        <v/>
      </c>
      <c r="L267" s="69"/>
      <c r="M267">
        <f>'TMIS US'!A258</f>
        <v>9027</v>
      </c>
      <c r="N267" t="str">
        <f>T('TMIS US'!B258)</f>
        <v/>
      </c>
      <c r="O267" t="s">
        <v>4290</v>
      </c>
      <c r="P267" t="str">
        <f t="shared" ref="P267:P330" si="39">IF(O267="Active",IF(N267="","Please Notify - Channel Removed",""),"")</f>
        <v/>
      </c>
      <c r="Q267" t="str">
        <f t="shared" si="33"/>
        <v/>
      </c>
      <c r="R267" s="69"/>
      <c r="S267">
        <f>'TMIS CA'!A258</f>
        <v>9457</v>
      </c>
      <c r="T267" t="str">
        <f>T('TMIS CA'!B258)</f>
        <v/>
      </c>
      <c r="U267" t="s">
        <v>4290</v>
      </c>
      <c r="V267" t="str">
        <f t="shared" si="35"/>
        <v/>
      </c>
      <c r="W267" t="str">
        <f t="shared" si="34"/>
        <v/>
      </c>
    </row>
    <row r="268" spans="1:23">
      <c r="A268">
        <f>'IPTV US'!A259</f>
        <v>10428</v>
      </c>
      <c r="B268" t="str">
        <f>T('IPTV US'!B259)</f>
        <v>CineLife</v>
      </c>
      <c r="C268" t="s">
        <v>4288</v>
      </c>
      <c r="D268" t="str">
        <f t="shared" si="36"/>
        <v/>
      </c>
      <c r="E268" t="str">
        <f t="shared" si="37"/>
        <v/>
      </c>
      <c r="F268" s="68" t="s">
        <v>4289</v>
      </c>
      <c r="G268">
        <f>'IPTV CA'!A259</f>
        <v>10858</v>
      </c>
      <c r="H268" t="str">
        <f>T('IPTV CA'!B259)</f>
        <v/>
      </c>
      <c r="I268" t="s">
        <v>4290</v>
      </c>
      <c r="J268" t="str">
        <f t="shared" si="38"/>
        <v/>
      </c>
      <c r="K268" t="str">
        <f t="shared" ref="K268:K331" si="40">IF(I268="Vacant",IF(H268="","","Please Notify - Channel Added"),"")</f>
        <v/>
      </c>
      <c r="L268" s="69"/>
      <c r="M268">
        <f>'TMIS US'!A259</f>
        <v>9028</v>
      </c>
      <c r="N268" t="str">
        <f>T('TMIS US'!B259)</f>
        <v>CineLife</v>
      </c>
      <c r="O268" t="s">
        <v>4288</v>
      </c>
      <c r="P268" t="str">
        <f t="shared" si="39"/>
        <v/>
      </c>
      <c r="Q268" t="str">
        <f t="shared" ref="Q268:Q331" si="41">IF(O268="Vacant",IF(N268="","","Please Notify - Channel Added"),"")</f>
        <v/>
      </c>
      <c r="R268" s="69"/>
      <c r="S268">
        <f>'TMIS CA'!A259</f>
        <v>9458</v>
      </c>
      <c r="T268" t="str">
        <f>T('TMIS CA'!B259)</f>
        <v/>
      </c>
      <c r="U268" t="s">
        <v>4290</v>
      </c>
      <c r="V268" t="str">
        <f t="shared" si="35"/>
        <v/>
      </c>
      <c r="W268" t="str">
        <f t="shared" ref="W268:W331" si="42">IF(U268="Vacant",IF(T268="","","Please Notify - Channel Added"),"")</f>
        <v/>
      </c>
    </row>
    <row r="269" spans="1:23">
      <c r="A269">
        <f>'IPTV US'!A260</f>
        <v>10429</v>
      </c>
      <c r="B269" t="str">
        <f>T('IPTV US'!B260)</f>
        <v/>
      </c>
      <c r="C269" t="s">
        <v>4290</v>
      </c>
      <c r="D269" t="str">
        <f t="shared" si="36"/>
        <v/>
      </c>
      <c r="E269" t="str">
        <f t="shared" si="37"/>
        <v/>
      </c>
      <c r="F269" s="68" t="s">
        <v>4289</v>
      </c>
      <c r="G269">
        <f>'IPTV CA'!A260</f>
        <v>10859</v>
      </c>
      <c r="H269" t="str">
        <f>T('IPTV CA'!B260)</f>
        <v/>
      </c>
      <c r="I269" t="s">
        <v>4290</v>
      </c>
      <c r="J269" t="str">
        <f t="shared" si="38"/>
        <v/>
      </c>
      <c r="K269" t="str">
        <f t="shared" si="40"/>
        <v/>
      </c>
      <c r="L269" s="69"/>
      <c r="M269">
        <f>'TMIS US'!A260</f>
        <v>9029</v>
      </c>
      <c r="N269" t="str">
        <f>T('TMIS US'!B260)</f>
        <v/>
      </c>
      <c r="O269" t="s">
        <v>4290</v>
      </c>
      <c r="P269" t="str">
        <f t="shared" si="39"/>
        <v/>
      </c>
      <c r="Q269" t="str">
        <f t="shared" si="41"/>
        <v/>
      </c>
      <c r="R269" s="69"/>
      <c r="S269">
        <f>'TMIS CA'!A260</f>
        <v>9459</v>
      </c>
      <c r="T269" t="str">
        <f>T('TMIS CA'!B260)</f>
        <v/>
      </c>
      <c r="U269" t="s">
        <v>4290</v>
      </c>
      <c r="V269" t="str">
        <f t="shared" si="35"/>
        <v/>
      </c>
      <c r="W269" t="str">
        <f t="shared" si="42"/>
        <v/>
      </c>
    </row>
    <row r="270" spans="1:23">
      <c r="A270">
        <f>'IPTV US'!A261</f>
        <v>10430</v>
      </c>
      <c r="B270" t="str">
        <f>T('IPTV US'!B261)</f>
        <v/>
      </c>
      <c r="C270" t="s">
        <v>4290</v>
      </c>
      <c r="D270" t="str">
        <f t="shared" si="36"/>
        <v/>
      </c>
      <c r="E270" t="str">
        <f t="shared" si="37"/>
        <v/>
      </c>
      <c r="F270" s="68" t="s">
        <v>4289</v>
      </c>
      <c r="G270">
        <f>'IPTV CA'!A261</f>
        <v>10860</v>
      </c>
      <c r="H270" t="str">
        <f>T('IPTV CA'!B261)</f>
        <v/>
      </c>
      <c r="I270" t="s">
        <v>4290</v>
      </c>
      <c r="J270" t="str">
        <f t="shared" si="38"/>
        <v/>
      </c>
      <c r="K270" t="str">
        <f t="shared" si="40"/>
        <v/>
      </c>
      <c r="L270" s="69"/>
      <c r="M270">
        <f>'TMIS US'!A261</f>
        <v>9030</v>
      </c>
      <c r="N270" t="str">
        <f>T('TMIS US'!B261)</f>
        <v/>
      </c>
      <c r="O270" t="s">
        <v>4290</v>
      </c>
      <c r="P270" t="str">
        <f t="shared" si="39"/>
        <v/>
      </c>
      <c r="Q270" t="str">
        <f t="shared" si="41"/>
        <v/>
      </c>
      <c r="R270" s="69"/>
      <c r="S270">
        <f>'TMIS CA'!A261</f>
        <v>9460</v>
      </c>
      <c r="T270" t="str">
        <f>T('TMIS CA'!B261)</f>
        <v/>
      </c>
      <c r="U270" t="s">
        <v>4290</v>
      </c>
      <c r="V270" t="str">
        <f t="shared" ref="V270:V333" si="43">IF(U270="Active",IF(T270="","Please Notify - Channel Removed",""),"")</f>
        <v/>
      </c>
      <c r="W270" t="str">
        <f t="shared" si="42"/>
        <v/>
      </c>
    </row>
    <row r="271" spans="1:23">
      <c r="A271">
        <f>'IPTV US'!A262</f>
        <v>10431</v>
      </c>
      <c r="B271" t="str">
        <f>T('IPTV US'!B262)</f>
        <v/>
      </c>
      <c r="C271" t="s">
        <v>4290</v>
      </c>
      <c r="D271" t="str">
        <f t="shared" si="36"/>
        <v/>
      </c>
      <c r="E271" t="str">
        <f t="shared" si="37"/>
        <v/>
      </c>
      <c r="F271" s="68" t="s">
        <v>4289</v>
      </c>
      <c r="G271">
        <f>'IPTV CA'!A262</f>
        <v>10861</v>
      </c>
      <c r="H271" t="str">
        <f>T('IPTV CA'!B262)</f>
        <v>Wild West TV</v>
      </c>
      <c r="I271" t="s">
        <v>4288</v>
      </c>
      <c r="J271" t="str">
        <f t="shared" si="38"/>
        <v/>
      </c>
      <c r="K271" t="str">
        <f t="shared" si="40"/>
        <v/>
      </c>
      <c r="L271" s="69"/>
      <c r="M271">
        <f>'TMIS US'!A262</f>
        <v>9031</v>
      </c>
      <c r="N271" t="str">
        <f>T('TMIS US'!B262)</f>
        <v/>
      </c>
      <c r="O271" t="s">
        <v>4290</v>
      </c>
      <c r="P271" t="str">
        <f t="shared" si="39"/>
        <v/>
      </c>
      <c r="Q271" t="str">
        <f t="shared" si="41"/>
        <v/>
      </c>
      <c r="R271" s="69"/>
      <c r="S271">
        <f>'TMIS CA'!A262</f>
        <v>9461</v>
      </c>
      <c r="T271" t="str">
        <f>T('TMIS CA'!B262)</f>
        <v>Wild West TV</v>
      </c>
      <c r="U271" t="s">
        <v>4288</v>
      </c>
      <c r="V271" t="str">
        <f t="shared" si="43"/>
        <v/>
      </c>
      <c r="W271" t="str">
        <f t="shared" si="42"/>
        <v/>
      </c>
    </row>
    <row r="272" spans="1:23">
      <c r="A272">
        <f>'IPTV US'!A263</f>
        <v>10432</v>
      </c>
      <c r="B272" t="str">
        <f>T('IPTV US'!B263)</f>
        <v>XUMO Free Movies</v>
      </c>
      <c r="C272" t="s">
        <v>4288</v>
      </c>
      <c r="D272" t="str">
        <f t="shared" si="36"/>
        <v/>
      </c>
      <c r="E272" t="str">
        <f t="shared" si="37"/>
        <v/>
      </c>
      <c r="F272" s="68" t="s">
        <v>4289</v>
      </c>
      <c r="G272">
        <f>'IPTV CA'!A263</f>
        <v>10862</v>
      </c>
      <c r="H272" t="str">
        <f>T('IPTV CA'!B263)</f>
        <v>Western Bound</v>
      </c>
      <c r="I272" t="s">
        <v>4288</v>
      </c>
      <c r="J272" t="str">
        <f t="shared" si="38"/>
        <v/>
      </c>
      <c r="K272" t="str">
        <f t="shared" si="40"/>
        <v/>
      </c>
      <c r="L272" s="69"/>
      <c r="M272">
        <f>'TMIS US'!A263</f>
        <v>9032</v>
      </c>
      <c r="N272" t="str">
        <f>T('TMIS US'!B263)</f>
        <v>XUMO Free Movies</v>
      </c>
      <c r="O272" t="s">
        <v>4288</v>
      </c>
      <c r="P272" t="str">
        <f t="shared" si="39"/>
        <v/>
      </c>
      <c r="Q272" t="str">
        <f t="shared" si="41"/>
        <v/>
      </c>
      <c r="R272" s="69"/>
      <c r="S272">
        <f>'TMIS CA'!A263</f>
        <v>9462</v>
      </c>
      <c r="T272" t="str">
        <f>T('TMIS CA'!B263)</f>
        <v>Western Bound</v>
      </c>
      <c r="U272" t="s">
        <v>4288</v>
      </c>
      <c r="V272" t="str">
        <f t="shared" si="43"/>
        <v/>
      </c>
      <c r="W272" t="str">
        <f t="shared" si="42"/>
        <v/>
      </c>
    </row>
    <row r="273" spans="1:23">
      <c r="A273">
        <f>'IPTV US'!A264</f>
        <v>10433</v>
      </c>
      <c r="B273" t="str">
        <f>T('IPTV US'!B264)</f>
        <v>Filmrise Free Movies</v>
      </c>
      <c r="C273" t="s">
        <v>4288</v>
      </c>
      <c r="D273" t="str">
        <f t="shared" si="36"/>
        <v/>
      </c>
      <c r="E273" t="str">
        <f t="shared" si="37"/>
        <v/>
      </c>
      <c r="F273" s="68" t="s">
        <v>4289</v>
      </c>
      <c r="G273">
        <f>'IPTV CA'!A264</f>
        <v>10863</v>
      </c>
      <c r="H273" t="str">
        <f>T('IPTV CA'!B264)</f>
        <v/>
      </c>
      <c r="I273" t="s">
        <v>4290</v>
      </c>
      <c r="J273" t="str">
        <f t="shared" si="38"/>
        <v/>
      </c>
      <c r="K273" t="str">
        <f t="shared" si="40"/>
        <v/>
      </c>
      <c r="L273" s="69"/>
      <c r="M273">
        <f>'TMIS US'!A264</f>
        <v>9033</v>
      </c>
      <c r="N273" t="str">
        <f>T('TMIS US'!B264)</f>
        <v>Filmrise Free Movies</v>
      </c>
      <c r="O273" t="s">
        <v>4288</v>
      </c>
      <c r="P273" t="str">
        <f t="shared" si="39"/>
        <v/>
      </c>
      <c r="Q273" t="str">
        <f t="shared" si="41"/>
        <v/>
      </c>
      <c r="R273" s="69"/>
      <c r="S273">
        <f>'TMIS CA'!A264</f>
        <v>9463</v>
      </c>
      <c r="T273" t="str">
        <f>T('TMIS CA'!B264)</f>
        <v/>
      </c>
      <c r="U273" t="s">
        <v>4290</v>
      </c>
      <c r="V273" t="str">
        <f t="shared" si="43"/>
        <v/>
      </c>
      <c r="W273" t="str">
        <f t="shared" si="42"/>
        <v/>
      </c>
    </row>
    <row r="274" spans="1:23">
      <c r="A274">
        <f>'IPTV US'!A265</f>
        <v>10434</v>
      </c>
      <c r="B274" t="str">
        <f>T('IPTV US'!B265)</f>
        <v/>
      </c>
      <c r="C274" t="s">
        <v>4290</v>
      </c>
      <c r="D274" t="str">
        <f t="shared" si="36"/>
        <v/>
      </c>
      <c r="E274" t="str">
        <f t="shared" si="37"/>
        <v/>
      </c>
      <c r="F274" s="68" t="s">
        <v>4289</v>
      </c>
      <c r="G274">
        <f>'IPTV CA'!A265</f>
        <v>10864</v>
      </c>
      <c r="H274" t="str">
        <f>T('IPTV CA'!B265)</f>
        <v/>
      </c>
      <c r="I274" t="s">
        <v>4290</v>
      </c>
      <c r="J274" t="str">
        <f t="shared" si="38"/>
        <v/>
      </c>
      <c r="K274" t="str">
        <f t="shared" si="40"/>
        <v/>
      </c>
      <c r="L274" s="69"/>
      <c r="M274">
        <f>'TMIS US'!A265</f>
        <v>9034</v>
      </c>
      <c r="N274" t="str">
        <f>T('TMIS US'!B265)</f>
        <v/>
      </c>
      <c r="O274" t="s">
        <v>4290</v>
      </c>
      <c r="P274" t="str">
        <f t="shared" si="39"/>
        <v/>
      </c>
      <c r="Q274" t="str">
        <f t="shared" si="41"/>
        <v/>
      </c>
      <c r="R274" s="69"/>
      <c r="S274">
        <f>'TMIS CA'!A265</f>
        <v>9464</v>
      </c>
      <c r="T274" t="str">
        <f>T('TMIS CA'!B265)</f>
        <v/>
      </c>
      <c r="U274" t="s">
        <v>4290</v>
      </c>
      <c r="V274" t="str">
        <f t="shared" si="43"/>
        <v/>
      </c>
      <c r="W274" t="str">
        <f t="shared" si="42"/>
        <v/>
      </c>
    </row>
    <row r="275" spans="1:23">
      <c r="A275">
        <f>'IPTV US'!A266</f>
        <v>10435</v>
      </c>
      <c r="B275" t="str">
        <f>T('IPTV US'!B266)</f>
        <v/>
      </c>
      <c r="C275" t="s">
        <v>4290</v>
      </c>
      <c r="D275" t="str">
        <f t="shared" si="36"/>
        <v/>
      </c>
      <c r="E275" t="str">
        <f t="shared" si="37"/>
        <v/>
      </c>
      <c r="F275" s="68" t="s">
        <v>4289</v>
      </c>
      <c r="G275">
        <f>'IPTV CA'!A266</f>
        <v>10865</v>
      </c>
      <c r="H275" t="str">
        <f>T('IPTV CA'!B266)</f>
        <v>The Rifleman</v>
      </c>
      <c r="I275" t="s">
        <v>4288</v>
      </c>
      <c r="J275" t="str">
        <f t="shared" si="38"/>
        <v/>
      </c>
      <c r="K275" t="str">
        <f t="shared" si="40"/>
        <v/>
      </c>
      <c r="L275" s="69"/>
      <c r="M275">
        <f>'TMIS US'!A266</f>
        <v>9035</v>
      </c>
      <c r="N275" t="str">
        <f>T('TMIS US'!B266)</f>
        <v/>
      </c>
      <c r="O275" t="s">
        <v>4290</v>
      </c>
      <c r="P275" t="str">
        <f t="shared" si="39"/>
        <v/>
      </c>
      <c r="Q275" t="str">
        <f t="shared" si="41"/>
        <v/>
      </c>
      <c r="R275" s="69"/>
      <c r="S275">
        <f>'TMIS CA'!A266</f>
        <v>9465</v>
      </c>
      <c r="T275" t="str">
        <f>T('TMIS CA'!B266)</f>
        <v>The Rifleman</v>
      </c>
      <c r="U275" t="s">
        <v>4288</v>
      </c>
      <c r="V275" t="str">
        <f t="shared" si="43"/>
        <v/>
      </c>
      <c r="W275" t="str">
        <f t="shared" si="42"/>
        <v/>
      </c>
    </row>
    <row r="276" spans="1:23">
      <c r="A276">
        <f>'IPTV US'!A267</f>
        <v>10436</v>
      </c>
      <c r="B276" t="str">
        <f>T('IPTV US'!B267)</f>
        <v/>
      </c>
      <c r="C276" t="s">
        <v>4290</v>
      </c>
      <c r="D276" t="str">
        <f t="shared" si="36"/>
        <v/>
      </c>
      <c r="E276" t="str">
        <f t="shared" si="37"/>
        <v/>
      </c>
      <c r="F276" s="68" t="s">
        <v>4289</v>
      </c>
      <c r="G276">
        <f>'IPTV CA'!A267</f>
        <v>10866</v>
      </c>
      <c r="H276" t="str">
        <f>T('IPTV CA'!B267)</f>
        <v>Death Valley Days</v>
      </c>
      <c r="I276" t="s">
        <v>4288</v>
      </c>
      <c r="J276" t="str">
        <f t="shared" si="38"/>
        <v/>
      </c>
      <c r="K276" t="str">
        <f t="shared" si="40"/>
        <v/>
      </c>
      <c r="L276" s="69"/>
      <c r="M276">
        <f>'TMIS US'!A267</f>
        <v>9036</v>
      </c>
      <c r="N276" t="str">
        <f>T('TMIS US'!B267)</f>
        <v/>
      </c>
      <c r="O276" t="s">
        <v>4290</v>
      </c>
      <c r="P276" t="str">
        <f t="shared" si="39"/>
        <v/>
      </c>
      <c r="Q276" t="str">
        <f t="shared" si="41"/>
        <v/>
      </c>
      <c r="R276" s="69"/>
      <c r="S276">
        <f>'TMIS CA'!A267</f>
        <v>9466</v>
      </c>
      <c r="T276" t="str">
        <f>T('TMIS CA'!B267)</f>
        <v>Death Valley Days</v>
      </c>
      <c r="U276" t="s">
        <v>4288</v>
      </c>
      <c r="V276" t="str">
        <f t="shared" si="43"/>
        <v/>
      </c>
      <c r="W276" t="str">
        <f t="shared" si="42"/>
        <v/>
      </c>
    </row>
    <row r="277" spans="1:23">
      <c r="A277">
        <f>'IPTV US'!A268</f>
        <v>10437</v>
      </c>
      <c r="B277" t="str">
        <f>T('IPTV US'!B268)</f>
        <v/>
      </c>
      <c r="C277" t="s">
        <v>4290</v>
      </c>
      <c r="D277" t="str">
        <f t="shared" si="36"/>
        <v/>
      </c>
      <c r="E277" t="str">
        <f t="shared" si="37"/>
        <v/>
      </c>
      <c r="F277" s="68" t="s">
        <v>4289</v>
      </c>
      <c r="G277">
        <f>'IPTV CA'!A268</f>
        <v>10867</v>
      </c>
      <c r="H277" t="str">
        <f>T('IPTV CA'!B268)</f>
        <v>Wanted: Dead or Alive</v>
      </c>
      <c r="I277" t="s">
        <v>4288</v>
      </c>
      <c r="J277" t="str">
        <f t="shared" si="38"/>
        <v/>
      </c>
      <c r="K277" t="str">
        <f t="shared" si="40"/>
        <v/>
      </c>
      <c r="L277" s="69"/>
      <c r="M277">
        <f>'TMIS US'!A268</f>
        <v>9037</v>
      </c>
      <c r="N277" t="str">
        <f>T('TMIS US'!B268)</f>
        <v/>
      </c>
      <c r="O277" t="s">
        <v>4290</v>
      </c>
      <c r="P277" t="str">
        <f t="shared" si="39"/>
        <v/>
      </c>
      <c r="Q277" t="str">
        <f t="shared" si="41"/>
        <v/>
      </c>
      <c r="R277" s="69"/>
      <c r="S277">
        <f>'TMIS CA'!A268</f>
        <v>9467</v>
      </c>
      <c r="T277" t="str">
        <f>T('TMIS CA'!B268)</f>
        <v>Wanted: Dead or Alive</v>
      </c>
      <c r="U277" t="s">
        <v>4288</v>
      </c>
      <c r="V277" t="str">
        <f t="shared" si="43"/>
        <v/>
      </c>
      <c r="W277" t="str">
        <f t="shared" si="42"/>
        <v/>
      </c>
    </row>
    <row r="278" spans="1:23">
      <c r="A278">
        <f>'IPTV US'!A269</f>
        <v>10438</v>
      </c>
      <c r="B278" t="str">
        <f>T('IPTV US'!B269)</f>
        <v/>
      </c>
      <c r="C278" t="s">
        <v>4290</v>
      </c>
      <c r="D278" t="str">
        <f t="shared" si="36"/>
        <v/>
      </c>
      <c r="E278" t="str">
        <f t="shared" si="37"/>
        <v/>
      </c>
      <c r="F278" s="68" t="s">
        <v>4289</v>
      </c>
      <c r="G278">
        <f>'IPTV CA'!A269</f>
        <v>10868</v>
      </c>
      <c r="H278" t="str">
        <f>T('IPTV CA'!B269)</f>
        <v>Lone Star</v>
      </c>
      <c r="I278" t="s">
        <v>4288</v>
      </c>
      <c r="J278" t="str">
        <f t="shared" si="38"/>
        <v/>
      </c>
      <c r="K278" t="str">
        <f t="shared" si="40"/>
        <v/>
      </c>
      <c r="L278" s="69"/>
      <c r="M278">
        <f>'TMIS US'!A269</f>
        <v>9038</v>
      </c>
      <c r="N278" t="str">
        <f>T('TMIS US'!B269)</f>
        <v/>
      </c>
      <c r="O278" t="s">
        <v>4290</v>
      </c>
      <c r="P278" t="str">
        <f t="shared" si="39"/>
        <v/>
      </c>
      <c r="Q278" t="str">
        <f t="shared" si="41"/>
        <v/>
      </c>
      <c r="R278" s="69"/>
      <c r="S278">
        <f>'TMIS CA'!A269</f>
        <v>9468</v>
      </c>
      <c r="T278" t="str">
        <f>T('TMIS CA'!B269)</f>
        <v>Lone Star</v>
      </c>
      <c r="U278" t="s">
        <v>4288</v>
      </c>
      <c r="V278" t="str">
        <f t="shared" si="43"/>
        <v/>
      </c>
      <c r="W278" t="str">
        <f t="shared" si="42"/>
        <v/>
      </c>
    </row>
    <row r="279" spans="1:23">
      <c r="A279">
        <f>'IPTV US'!A270</f>
        <v>10439</v>
      </c>
      <c r="B279" t="str">
        <f>T('IPTV US'!B270)</f>
        <v>Unsolved Mysteries</v>
      </c>
      <c r="C279" t="s">
        <v>4288</v>
      </c>
      <c r="D279" t="str">
        <f t="shared" si="36"/>
        <v/>
      </c>
      <c r="E279" t="str">
        <f t="shared" si="37"/>
        <v/>
      </c>
      <c r="F279" s="68" t="s">
        <v>4289</v>
      </c>
      <c r="G279">
        <f>'IPTV CA'!A270</f>
        <v>10869</v>
      </c>
      <c r="H279" t="str">
        <f>T('IPTV CA'!B270)</f>
        <v/>
      </c>
      <c r="I279" t="s">
        <v>4290</v>
      </c>
      <c r="J279" t="str">
        <f t="shared" si="38"/>
        <v/>
      </c>
      <c r="K279" t="str">
        <f t="shared" si="40"/>
        <v/>
      </c>
      <c r="L279" s="69"/>
      <c r="M279">
        <f>'TMIS US'!A270</f>
        <v>9039</v>
      </c>
      <c r="N279" t="str">
        <f>T('TMIS US'!B270)</f>
        <v>Unsolved Mysteries</v>
      </c>
      <c r="O279" t="s">
        <v>4288</v>
      </c>
      <c r="P279" t="str">
        <f t="shared" si="39"/>
        <v/>
      </c>
      <c r="Q279" t="str">
        <f t="shared" si="41"/>
        <v/>
      </c>
      <c r="R279" s="69"/>
      <c r="S279">
        <f>'TMIS CA'!A270</f>
        <v>9469</v>
      </c>
      <c r="T279" t="str">
        <f>T('TMIS CA'!B270)</f>
        <v/>
      </c>
      <c r="U279" t="s">
        <v>4290</v>
      </c>
      <c r="V279" t="str">
        <f t="shared" si="43"/>
        <v/>
      </c>
      <c r="W279" t="str">
        <f t="shared" si="42"/>
        <v/>
      </c>
    </row>
    <row r="280" spans="1:23">
      <c r="A280">
        <f>'IPTV US'!A271</f>
        <v>10440</v>
      </c>
      <c r="B280" t="str">
        <f>T('IPTV US'!B271)</f>
        <v>Law &amp; Crime</v>
      </c>
      <c r="C280" t="s">
        <v>4288</v>
      </c>
      <c r="D280" t="str">
        <f t="shared" si="36"/>
        <v/>
      </c>
      <c r="E280" t="str">
        <f t="shared" si="37"/>
        <v/>
      </c>
      <c r="F280" s="68" t="s">
        <v>4289</v>
      </c>
      <c r="G280">
        <f>'IPTV CA'!A271</f>
        <v>10870</v>
      </c>
      <c r="H280" t="str">
        <f>T('IPTV CA'!B271)</f>
        <v/>
      </c>
      <c r="I280" t="s">
        <v>4290</v>
      </c>
      <c r="J280" t="str">
        <f t="shared" si="38"/>
        <v/>
      </c>
      <c r="K280" t="str">
        <f t="shared" si="40"/>
        <v/>
      </c>
      <c r="L280" s="69"/>
      <c r="M280">
        <f>'TMIS US'!A271</f>
        <v>9040</v>
      </c>
      <c r="N280" t="str">
        <f>T('TMIS US'!B271)</f>
        <v>Law &amp; Crime</v>
      </c>
      <c r="O280" t="s">
        <v>4288</v>
      </c>
      <c r="P280" t="str">
        <f t="shared" si="39"/>
        <v/>
      </c>
      <c r="Q280" t="str">
        <f t="shared" si="41"/>
        <v/>
      </c>
      <c r="R280" s="69"/>
      <c r="S280">
        <f>'TMIS CA'!A271</f>
        <v>9470</v>
      </c>
      <c r="T280" t="str">
        <f>T('TMIS CA'!B271)</f>
        <v/>
      </c>
      <c r="U280" t="s">
        <v>4290</v>
      </c>
      <c r="V280" t="str">
        <f t="shared" si="43"/>
        <v/>
      </c>
      <c r="W280" t="str">
        <f t="shared" si="42"/>
        <v/>
      </c>
    </row>
    <row r="281" spans="1:23">
      <c r="A281">
        <f>'IPTV US'!A272</f>
        <v>10441</v>
      </c>
      <c r="B281" t="str">
        <f>T('IPTV US'!B272)</f>
        <v/>
      </c>
      <c r="C281" t="s">
        <v>4290</v>
      </c>
      <c r="D281" t="str">
        <f t="shared" si="36"/>
        <v/>
      </c>
      <c r="E281" t="str">
        <f t="shared" si="37"/>
        <v/>
      </c>
      <c r="F281" s="68" t="s">
        <v>4289</v>
      </c>
      <c r="G281">
        <f>'IPTV CA'!A272</f>
        <v>10871</v>
      </c>
      <c r="H281" t="str">
        <f>T('IPTV CA'!B272)</f>
        <v/>
      </c>
      <c r="I281" t="s">
        <v>4290</v>
      </c>
      <c r="J281" t="str">
        <f t="shared" si="38"/>
        <v/>
      </c>
      <c r="K281" t="str">
        <f t="shared" si="40"/>
        <v/>
      </c>
      <c r="L281" s="69"/>
      <c r="M281">
        <f>'TMIS US'!A272</f>
        <v>9041</v>
      </c>
      <c r="N281" t="str">
        <f>T('TMIS US'!B272)</f>
        <v/>
      </c>
      <c r="O281" t="s">
        <v>4290</v>
      </c>
      <c r="P281" t="str">
        <f t="shared" si="39"/>
        <v/>
      </c>
      <c r="Q281" t="str">
        <f t="shared" si="41"/>
        <v/>
      </c>
      <c r="R281" s="69"/>
      <c r="S281">
        <f>'TMIS CA'!A272</f>
        <v>9471</v>
      </c>
      <c r="T281" t="str">
        <f>T('TMIS CA'!B272)</f>
        <v/>
      </c>
      <c r="U281" t="s">
        <v>4290</v>
      </c>
      <c r="V281" t="str">
        <f t="shared" si="43"/>
        <v/>
      </c>
      <c r="W281" t="str">
        <f t="shared" si="42"/>
        <v/>
      </c>
    </row>
    <row r="282" spans="1:23">
      <c r="A282">
        <f>'IPTV US'!A273</f>
        <v>10442</v>
      </c>
      <c r="B282" t="str">
        <f>T('IPTV US'!B273)</f>
        <v/>
      </c>
      <c r="C282" t="s">
        <v>4290</v>
      </c>
      <c r="D282" t="str">
        <f t="shared" si="36"/>
        <v/>
      </c>
      <c r="E282" t="str">
        <f t="shared" si="37"/>
        <v/>
      </c>
      <c r="F282" s="68" t="s">
        <v>4289</v>
      </c>
      <c r="G282">
        <f>'IPTV CA'!A273</f>
        <v>10872</v>
      </c>
      <c r="H282" t="str">
        <f>T('IPTV CA'!B273)</f>
        <v/>
      </c>
      <c r="I282" t="s">
        <v>4290</v>
      </c>
      <c r="J282" t="str">
        <f t="shared" si="38"/>
        <v/>
      </c>
      <c r="K282" t="str">
        <f t="shared" si="40"/>
        <v/>
      </c>
      <c r="L282" s="69"/>
      <c r="M282">
        <f>'TMIS US'!A273</f>
        <v>9042</v>
      </c>
      <c r="N282" t="str">
        <f>T('TMIS US'!B273)</f>
        <v/>
      </c>
      <c r="O282" t="s">
        <v>4290</v>
      </c>
      <c r="P282" t="str">
        <f t="shared" si="39"/>
        <v/>
      </c>
      <c r="Q282" t="str">
        <f t="shared" si="41"/>
        <v/>
      </c>
      <c r="R282" s="69"/>
      <c r="S282">
        <f>'TMIS CA'!A273</f>
        <v>9472</v>
      </c>
      <c r="T282" t="str">
        <f>T('TMIS CA'!B273)</f>
        <v/>
      </c>
      <c r="U282" t="s">
        <v>4290</v>
      </c>
      <c r="V282" t="str">
        <f t="shared" si="43"/>
        <v/>
      </c>
      <c r="W282" t="str">
        <f t="shared" si="42"/>
        <v/>
      </c>
    </row>
    <row r="283" spans="1:23">
      <c r="A283">
        <f>'IPTV US'!A274</f>
        <v>10443</v>
      </c>
      <c r="B283" t="str">
        <f>T('IPTV US'!B274)</f>
        <v/>
      </c>
      <c r="C283" t="s">
        <v>4290</v>
      </c>
      <c r="D283" t="str">
        <f t="shared" si="36"/>
        <v/>
      </c>
      <c r="E283" t="str">
        <f t="shared" si="37"/>
        <v/>
      </c>
      <c r="F283" s="68" t="s">
        <v>4289</v>
      </c>
      <c r="G283">
        <f>'IPTV CA'!A274</f>
        <v>10873</v>
      </c>
      <c r="H283" t="str">
        <f>T('IPTV CA'!B274)</f>
        <v>Maverick Black Cinema</v>
      </c>
      <c r="I283" t="s">
        <v>4288</v>
      </c>
      <c r="J283" t="str">
        <f t="shared" si="38"/>
        <v/>
      </c>
      <c r="K283" t="str">
        <f t="shared" si="40"/>
        <v/>
      </c>
      <c r="L283" s="69"/>
      <c r="M283">
        <f>'TMIS US'!A274</f>
        <v>9043</v>
      </c>
      <c r="N283" t="str">
        <f>T('TMIS US'!B274)</f>
        <v/>
      </c>
      <c r="O283" t="s">
        <v>4290</v>
      </c>
      <c r="P283" t="str">
        <f t="shared" si="39"/>
        <v/>
      </c>
      <c r="Q283" t="str">
        <f t="shared" si="41"/>
        <v/>
      </c>
      <c r="R283" s="69"/>
      <c r="S283">
        <f>'TMIS CA'!A274</f>
        <v>9473</v>
      </c>
      <c r="T283" t="str">
        <f>T('TMIS CA'!B274)</f>
        <v>Maverick Black Cinema</v>
      </c>
      <c r="U283" t="s">
        <v>4288</v>
      </c>
      <c r="V283" t="str">
        <f t="shared" si="43"/>
        <v/>
      </c>
      <c r="W283" t="str">
        <f t="shared" si="42"/>
        <v/>
      </c>
    </row>
    <row r="284" spans="1:23">
      <c r="A284">
        <f>'IPTV US'!A275</f>
        <v>10444</v>
      </c>
      <c r="B284" t="str">
        <f>T('IPTV US'!B275)</f>
        <v/>
      </c>
      <c r="C284" t="s">
        <v>4290</v>
      </c>
      <c r="D284" t="str">
        <f t="shared" si="36"/>
        <v/>
      </c>
      <c r="E284" t="str">
        <f t="shared" si="37"/>
        <v/>
      </c>
      <c r="F284" s="68" t="s">
        <v>4289</v>
      </c>
      <c r="G284">
        <f>'IPTV CA'!A275</f>
        <v>10874</v>
      </c>
      <c r="H284" t="str">
        <f>T('IPTV CA'!B275)</f>
        <v/>
      </c>
      <c r="I284" t="s">
        <v>4290</v>
      </c>
      <c r="J284" t="str">
        <f t="shared" si="38"/>
        <v/>
      </c>
      <c r="K284" t="str">
        <f t="shared" si="40"/>
        <v/>
      </c>
      <c r="L284" s="69"/>
      <c r="M284">
        <f>'TMIS US'!A275</f>
        <v>9044</v>
      </c>
      <c r="N284" t="str">
        <f>T('TMIS US'!B275)</f>
        <v/>
      </c>
      <c r="O284" t="s">
        <v>4290</v>
      </c>
      <c r="P284" t="str">
        <f t="shared" si="39"/>
        <v/>
      </c>
      <c r="Q284" t="str">
        <f t="shared" si="41"/>
        <v/>
      </c>
      <c r="R284" s="69"/>
      <c r="S284">
        <f>'TMIS CA'!A275</f>
        <v>9474</v>
      </c>
      <c r="T284" t="str">
        <f>T('TMIS CA'!B275)</f>
        <v/>
      </c>
      <c r="U284" t="s">
        <v>4290</v>
      </c>
      <c r="V284" t="str">
        <f t="shared" si="43"/>
        <v/>
      </c>
      <c r="W284" t="str">
        <f t="shared" si="42"/>
        <v/>
      </c>
    </row>
    <row r="285" spans="1:23">
      <c r="A285">
        <f>'IPTV US'!A276</f>
        <v>10445</v>
      </c>
      <c r="B285" t="str">
        <f>T('IPTV US'!B276)</f>
        <v>Electric Now</v>
      </c>
      <c r="C285" t="s">
        <v>4288</v>
      </c>
      <c r="D285" t="str">
        <f t="shared" si="36"/>
        <v/>
      </c>
      <c r="E285" t="str">
        <f t="shared" si="37"/>
        <v/>
      </c>
      <c r="F285" s="68" t="s">
        <v>4289</v>
      </c>
      <c r="G285">
        <f>'IPTV CA'!A276</f>
        <v>10875</v>
      </c>
      <c r="H285" t="str">
        <f>T('IPTV CA'!B276)</f>
        <v/>
      </c>
      <c r="I285" t="s">
        <v>4290</v>
      </c>
      <c r="J285" t="str">
        <f t="shared" si="38"/>
        <v/>
      </c>
      <c r="K285" t="str">
        <f t="shared" si="40"/>
        <v/>
      </c>
      <c r="L285" s="69"/>
      <c r="M285">
        <f>'TMIS US'!A276</f>
        <v>9045</v>
      </c>
      <c r="N285" t="str">
        <f>T('TMIS US'!B276)</f>
        <v>Electric Now</v>
      </c>
      <c r="O285" t="s">
        <v>4288</v>
      </c>
      <c r="P285" t="str">
        <f t="shared" si="39"/>
        <v/>
      </c>
      <c r="Q285" t="str">
        <f t="shared" si="41"/>
        <v/>
      </c>
      <c r="R285" s="69"/>
      <c r="S285">
        <f>'TMIS CA'!A276</f>
        <v>9475</v>
      </c>
      <c r="T285" t="str">
        <f>T('TMIS CA'!B276)</f>
        <v/>
      </c>
      <c r="U285" t="s">
        <v>4290</v>
      </c>
      <c r="V285" t="str">
        <f t="shared" si="43"/>
        <v/>
      </c>
      <c r="W285" t="str">
        <f t="shared" si="42"/>
        <v/>
      </c>
    </row>
    <row r="286" spans="1:23">
      <c r="A286">
        <f>'IPTV US'!A277</f>
        <v>10446</v>
      </c>
      <c r="B286" t="str">
        <f>T('IPTV US'!B277)</f>
        <v/>
      </c>
      <c r="C286" t="s">
        <v>4290</v>
      </c>
      <c r="D286" t="str">
        <f t="shared" si="36"/>
        <v/>
      </c>
      <c r="E286" t="str">
        <f t="shared" si="37"/>
        <v/>
      </c>
      <c r="F286" s="68" t="s">
        <v>4289</v>
      </c>
      <c r="G286">
        <f>'IPTV CA'!A277</f>
        <v>10876</v>
      </c>
      <c r="H286" t="str">
        <f>T('IPTV CA'!B277)</f>
        <v>BlackPix</v>
      </c>
      <c r="I286" t="s">
        <v>4288</v>
      </c>
      <c r="J286" t="str">
        <f t="shared" si="38"/>
        <v/>
      </c>
      <c r="K286" t="str">
        <f t="shared" si="40"/>
        <v/>
      </c>
      <c r="L286" s="69"/>
      <c r="M286">
        <f>'TMIS US'!A277</f>
        <v>9046</v>
      </c>
      <c r="N286" t="str">
        <f>T('TMIS US'!B277)</f>
        <v/>
      </c>
      <c r="O286" t="s">
        <v>4290</v>
      </c>
      <c r="P286" t="str">
        <f t="shared" si="39"/>
        <v/>
      </c>
      <c r="Q286" t="str">
        <f t="shared" si="41"/>
        <v/>
      </c>
      <c r="R286" s="69"/>
      <c r="S286">
        <f>'TMIS CA'!A277</f>
        <v>9476</v>
      </c>
      <c r="T286" t="str">
        <f>T('TMIS CA'!B277)</f>
        <v>BlackPix</v>
      </c>
      <c r="U286" t="s">
        <v>4288</v>
      </c>
      <c r="V286" t="str">
        <f t="shared" si="43"/>
        <v/>
      </c>
      <c r="W286" t="str">
        <f t="shared" si="42"/>
        <v/>
      </c>
    </row>
    <row r="287" spans="1:23">
      <c r="A287">
        <f>'IPTV US'!A278</f>
        <v>10447</v>
      </c>
      <c r="B287" t="str">
        <f>T('IPTV US'!B278)</f>
        <v/>
      </c>
      <c r="C287" t="s">
        <v>4290</v>
      </c>
      <c r="D287" t="str">
        <f t="shared" si="36"/>
        <v/>
      </c>
      <c r="E287" t="str">
        <f t="shared" si="37"/>
        <v/>
      </c>
      <c r="F287" s="68" t="s">
        <v>4289</v>
      </c>
      <c r="G287">
        <f>'IPTV CA'!A278</f>
        <v>10877</v>
      </c>
      <c r="H287" t="str">
        <f>T('IPTV CA'!B278)</f>
        <v/>
      </c>
      <c r="I287" t="s">
        <v>4290</v>
      </c>
      <c r="J287" t="str">
        <f t="shared" si="38"/>
        <v/>
      </c>
      <c r="K287" t="str">
        <f t="shared" si="40"/>
        <v/>
      </c>
      <c r="L287" s="69"/>
      <c r="M287">
        <f>'TMIS US'!A278</f>
        <v>9047</v>
      </c>
      <c r="N287" t="str">
        <f>T('TMIS US'!B278)</f>
        <v/>
      </c>
      <c r="O287" t="s">
        <v>4290</v>
      </c>
      <c r="P287" t="str">
        <f t="shared" si="39"/>
        <v/>
      </c>
      <c r="Q287" t="str">
        <f t="shared" si="41"/>
        <v/>
      </c>
      <c r="R287" s="69"/>
      <c r="S287">
        <f>'TMIS CA'!A278</f>
        <v>9477</v>
      </c>
      <c r="T287" t="str">
        <f>T('TMIS CA'!B278)</f>
        <v/>
      </c>
      <c r="U287" t="s">
        <v>4290</v>
      </c>
      <c r="V287" t="str">
        <f t="shared" si="43"/>
        <v/>
      </c>
      <c r="W287" t="str">
        <f t="shared" si="42"/>
        <v/>
      </c>
    </row>
    <row r="288" spans="1:23">
      <c r="A288">
        <f>'IPTV US'!A279</f>
        <v>10448</v>
      </c>
      <c r="B288" t="str">
        <f>T('IPTV US'!B279)</f>
        <v/>
      </c>
      <c r="C288" t="s">
        <v>4290</v>
      </c>
      <c r="D288" t="str">
        <f t="shared" si="36"/>
        <v/>
      </c>
      <c r="E288" t="str">
        <f t="shared" si="37"/>
        <v/>
      </c>
      <c r="F288" s="68" t="s">
        <v>4289</v>
      </c>
      <c r="G288">
        <f>'IPTV CA'!A279</f>
        <v>10878</v>
      </c>
      <c r="H288" t="str">
        <f>T('IPTV CA'!B279)</f>
        <v/>
      </c>
      <c r="I288" t="s">
        <v>4290</v>
      </c>
      <c r="J288" t="str">
        <f t="shared" si="38"/>
        <v/>
      </c>
      <c r="K288" t="str">
        <f t="shared" si="40"/>
        <v/>
      </c>
      <c r="L288" s="69"/>
      <c r="M288">
        <f>'TMIS US'!A279</f>
        <v>9048</v>
      </c>
      <c r="N288" t="str">
        <f>T('TMIS US'!B279)</f>
        <v/>
      </c>
      <c r="O288" t="s">
        <v>4290</v>
      </c>
      <c r="P288" t="str">
        <f t="shared" si="39"/>
        <v/>
      </c>
      <c r="Q288" t="str">
        <f t="shared" si="41"/>
        <v/>
      </c>
      <c r="R288" s="69"/>
      <c r="S288">
        <f>'TMIS CA'!A279</f>
        <v>9478</v>
      </c>
      <c r="T288" t="str">
        <f>T('TMIS CA'!B279)</f>
        <v/>
      </c>
      <c r="U288" t="s">
        <v>4290</v>
      </c>
      <c r="V288" t="str">
        <f t="shared" si="43"/>
        <v/>
      </c>
      <c r="W288" t="str">
        <f t="shared" si="42"/>
        <v/>
      </c>
    </row>
    <row r="289" spans="1:23">
      <c r="A289">
        <f>'IPTV US'!A280</f>
        <v>10449</v>
      </c>
      <c r="B289" t="str">
        <f>T('IPTV US'!B280)</f>
        <v>Filmrise Classic TV</v>
      </c>
      <c r="C289" t="s">
        <v>4288</v>
      </c>
      <c r="D289" t="str">
        <f t="shared" si="36"/>
        <v/>
      </c>
      <c r="E289" t="str">
        <f t="shared" si="37"/>
        <v/>
      </c>
      <c r="F289" s="68" t="s">
        <v>4289</v>
      </c>
      <c r="G289">
        <f>'IPTV CA'!A280</f>
        <v>10879</v>
      </c>
      <c r="H289" t="str">
        <f>T('IPTV CA'!B280)</f>
        <v>Revry</v>
      </c>
      <c r="I289" t="s">
        <v>4288</v>
      </c>
      <c r="J289" t="str">
        <f t="shared" si="38"/>
        <v/>
      </c>
      <c r="K289" t="str">
        <f t="shared" si="40"/>
        <v/>
      </c>
      <c r="L289" s="69"/>
      <c r="M289">
        <f>'TMIS US'!A280</f>
        <v>9049</v>
      </c>
      <c r="N289" t="str">
        <f>T('TMIS US'!B280)</f>
        <v>Filmrise Classic TV</v>
      </c>
      <c r="O289" t="s">
        <v>4288</v>
      </c>
      <c r="P289" t="str">
        <f t="shared" si="39"/>
        <v/>
      </c>
      <c r="Q289" t="str">
        <f t="shared" si="41"/>
        <v/>
      </c>
      <c r="R289" s="69"/>
      <c r="S289">
        <f>'TMIS CA'!A280</f>
        <v>9479</v>
      </c>
      <c r="T289" t="str">
        <f>T('TMIS CA'!B280)</f>
        <v>Revry</v>
      </c>
      <c r="U289" t="s">
        <v>4288</v>
      </c>
      <c r="V289" t="str">
        <f t="shared" si="43"/>
        <v/>
      </c>
      <c r="W289" t="str">
        <f t="shared" si="42"/>
        <v/>
      </c>
    </row>
    <row r="290" spans="1:23">
      <c r="A290">
        <f>'IPTV US'!A281</f>
        <v>10450</v>
      </c>
      <c r="B290" t="str">
        <f>T('IPTV US'!B281)</f>
        <v>American Classics</v>
      </c>
      <c r="C290" t="s">
        <v>4288</v>
      </c>
      <c r="D290" t="str">
        <f t="shared" si="36"/>
        <v/>
      </c>
      <c r="E290" t="str">
        <f t="shared" si="37"/>
        <v/>
      </c>
      <c r="F290" s="68" t="s">
        <v>4289</v>
      </c>
      <c r="G290">
        <f>'IPTV CA'!A281</f>
        <v>10880</v>
      </c>
      <c r="H290" t="str">
        <f>T('IPTV CA'!B281)</f>
        <v/>
      </c>
      <c r="I290" t="s">
        <v>4290</v>
      </c>
      <c r="J290" t="str">
        <f t="shared" si="38"/>
        <v/>
      </c>
      <c r="K290" t="str">
        <f t="shared" si="40"/>
        <v/>
      </c>
      <c r="L290" s="69"/>
      <c r="M290">
        <f>'TMIS US'!A281</f>
        <v>9050</v>
      </c>
      <c r="N290" t="str">
        <f>T('TMIS US'!B281)</f>
        <v>American Classics</v>
      </c>
      <c r="O290" t="s">
        <v>4288</v>
      </c>
      <c r="P290" t="str">
        <f t="shared" si="39"/>
        <v/>
      </c>
      <c r="Q290" t="str">
        <f t="shared" si="41"/>
        <v/>
      </c>
      <c r="R290" s="69"/>
      <c r="S290">
        <f>'TMIS CA'!A281</f>
        <v>9480</v>
      </c>
      <c r="T290" t="str">
        <f>T('TMIS CA'!B281)</f>
        <v/>
      </c>
      <c r="U290" t="s">
        <v>4290</v>
      </c>
      <c r="V290" t="str">
        <f t="shared" si="43"/>
        <v/>
      </c>
      <c r="W290" t="str">
        <f t="shared" si="42"/>
        <v/>
      </c>
    </row>
    <row r="291" spans="1:23">
      <c r="A291">
        <f>'IPTV US'!A282</f>
        <v>10451</v>
      </c>
      <c r="B291" t="str">
        <f>T('IPTV US'!B282)</f>
        <v>Filmrise Family</v>
      </c>
      <c r="C291" t="s">
        <v>4288</v>
      </c>
      <c r="D291" t="str">
        <f t="shared" si="36"/>
        <v/>
      </c>
      <c r="E291" t="str">
        <f t="shared" si="37"/>
        <v/>
      </c>
      <c r="F291" s="68" t="s">
        <v>4289</v>
      </c>
      <c r="G291">
        <f>'IPTV CA'!A282</f>
        <v>10881</v>
      </c>
      <c r="H291" t="str">
        <f>T('IPTV CA'!B282)</f>
        <v/>
      </c>
      <c r="I291" t="s">
        <v>4290</v>
      </c>
      <c r="J291" t="str">
        <f t="shared" si="38"/>
        <v/>
      </c>
      <c r="K291" t="str">
        <f t="shared" si="40"/>
        <v/>
      </c>
      <c r="L291" s="69"/>
      <c r="M291">
        <f>'TMIS US'!A282</f>
        <v>9051</v>
      </c>
      <c r="N291" t="str">
        <f>T('TMIS US'!B282)</f>
        <v>Filmrise Family</v>
      </c>
      <c r="O291" t="s">
        <v>4288</v>
      </c>
      <c r="P291" t="str">
        <f t="shared" si="39"/>
        <v/>
      </c>
      <c r="Q291" t="str">
        <f t="shared" si="41"/>
        <v/>
      </c>
      <c r="R291" s="69"/>
      <c r="S291">
        <f>'TMIS CA'!A282</f>
        <v>9481</v>
      </c>
      <c r="T291" t="str">
        <f>T('TMIS CA'!B282)</f>
        <v/>
      </c>
      <c r="U291" t="s">
        <v>4290</v>
      </c>
      <c r="V291" t="str">
        <f t="shared" si="43"/>
        <v/>
      </c>
      <c r="W291" t="str">
        <f t="shared" si="42"/>
        <v/>
      </c>
    </row>
    <row r="292" spans="1:23">
      <c r="A292">
        <f>'IPTV US'!A283</f>
        <v>10452</v>
      </c>
      <c r="B292" t="str">
        <f>T('IPTV US'!B283)</f>
        <v/>
      </c>
      <c r="C292" t="s">
        <v>4290</v>
      </c>
      <c r="D292" t="str">
        <f t="shared" si="36"/>
        <v/>
      </c>
      <c r="E292" t="str">
        <f t="shared" si="37"/>
        <v/>
      </c>
      <c r="F292" s="68" t="s">
        <v>4289</v>
      </c>
      <c r="G292">
        <f>'IPTV CA'!A283</f>
        <v>10882</v>
      </c>
      <c r="H292" t="str">
        <f>T('IPTV CA'!B283)</f>
        <v/>
      </c>
      <c r="I292" t="s">
        <v>4290</v>
      </c>
      <c r="J292" t="str">
        <f t="shared" si="38"/>
        <v/>
      </c>
      <c r="K292" t="str">
        <f t="shared" si="40"/>
        <v/>
      </c>
      <c r="L292" s="69"/>
      <c r="M292">
        <f>'TMIS US'!A283</f>
        <v>9052</v>
      </c>
      <c r="N292" t="str">
        <f>T('TMIS US'!B283)</f>
        <v/>
      </c>
      <c r="O292" t="s">
        <v>4290</v>
      </c>
      <c r="P292" t="str">
        <f t="shared" si="39"/>
        <v/>
      </c>
      <c r="Q292" t="str">
        <f t="shared" si="41"/>
        <v/>
      </c>
      <c r="R292" s="69"/>
      <c r="S292">
        <f>'TMIS CA'!A283</f>
        <v>9482</v>
      </c>
      <c r="T292" t="str">
        <f>T('TMIS CA'!B283)</f>
        <v/>
      </c>
      <c r="U292" t="s">
        <v>4290</v>
      </c>
      <c r="V292" t="str">
        <f t="shared" si="43"/>
        <v/>
      </c>
      <c r="W292" t="str">
        <f t="shared" si="42"/>
        <v/>
      </c>
    </row>
    <row r="293" spans="1:23">
      <c r="A293">
        <f>'IPTV US'!A284</f>
        <v>10453</v>
      </c>
      <c r="B293" t="str">
        <f>T('IPTV US'!B284)</f>
        <v/>
      </c>
      <c r="C293" t="s">
        <v>4290</v>
      </c>
      <c r="D293" t="str">
        <f t="shared" si="36"/>
        <v/>
      </c>
      <c r="E293" t="str">
        <f t="shared" si="37"/>
        <v/>
      </c>
      <c r="F293" s="68" t="s">
        <v>4289</v>
      </c>
      <c r="G293">
        <f>'IPTV CA'!A284</f>
        <v>10883</v>
      </c>
      <c r="H293" t="str">
        <f>T('IPTV CA'!B284)</f>
        <v>OUTtv Proud</v>
      </c>
      <c r="I293" t="s">
        <v>4288</v>
      </c>
      <c r="J293" t="str">
        <f t="shared" si="38"/>
        <v/>
      </c>
      <c r="K293" t="str">
        <f t="shared" si="40"/>
        <v/>
      </c>
      <c r="L293" s="69"/>
      <c r="M293">
        <f>'TMIS US'!A284</f>
        <v>9053</v>
      </c>
      <c r="N293" t="str">
        <f>T('TMIS US'!B284)</f>
        <v/>
      </c>
      <c r="O293" t="s">
        <v>4290</v>
      </c>
      <c r="P293" t="str">
        <f t="shared" si="39"/>
        <v/>
      </c>
      <c r="Q293" t="str">
        <f t="shared" si="41"/>
        <v/>
      </c>
      <c r="R293" s="69"/>
      <c r="S293">
        <f>'TMIS CA'!A284</f>
        <v>9483</v>
      </c>
      <c r="T293" t="str">
        <f>T('TMIS CA'!B284)</f>
        <v>OUTtv Proud</v>
      </c>
      <c r="U293" t="s">
        <v>4288</v>
      </c>
      <c r="V293" t="str">
        <f t="shared" si="43"/>
        <v/>
      </c>
      <c r="W293" t="str">
        <f t="shared" si="42"/>
        <v/>
      </c>
    </row>
    <row r="294" spans="1:23">
      <c r="A294">
        <f>'IPTV US'!A285</f>
        <v>10454</v>
      </c>
      <c r="B294" t="str">
        <f>T('IPTV US'!B285)</f>
        <v/>
      </c>
      <c r="C294" t="s">
        <v>4290</v>
      </c>
      <c r="D294" t="str">
        <f t="shared" si="36"/>
        <v/>
      </c>
      <c r="E294" t="str">
        <f t="shared" si="37"/>
        <v/>
      </c>
      <c r="F294" s="68" t="s">
        <v>4289</v>
      </c>
      <c r="G294">
        <f>'IPTV CA'!A285</f>
        <v>10884</v>
      </c>
      <c r="H294" t="str">
        <f>T('IPTV CA'!B285)</f>
        <v>CINEPRIDE</v>
      </c>
      <c r="I294" t="s">
        <v>4288</v>
      </c>
      <c r="J294" t="str">
        <f t="shared" si="38"/>
        <v/>
      </c>
      <c r="K294" t="str">
        <f t="shared" si="40"/>
        <v/>
      </c>
      <c r="L294" s="69"/>
      <c r="M294">
        <f>'TMIS US'!A285</f>
        <v>9054</v>
      </c>
      <c r="N294" t="str">
        <f>T('TMIS US'!B285)</f>
        <v/>
      </c>
      <c r="O294" t="s">
        <v>4290</v>
      </c>
      <c r="P294" t="str">
        <f t="shared" si="39"/>
        <v/>
      </c>
      <c r="Q294" t="str">
        <f t="shared" si="41"/>
        <v/>
      </c>
      <c r="R294" s="69"/>
      <c r="S294">
        <f>'TMIS CA'!A285</f>
        <v>9484</v>
      </c>
      <c r="T294" t="str">
        <f>T('TMIS CA'!B285)</f>
        <v>CINEPRIDE</v>
      </c>
      <c r="U294" t="s">
        <v>4288</v>
      </c>
      <c r="V294" t="str">
        <f t="shared" si="43"/>
        <v/>
      </c>
      <c r="W294" t="str">
        <f t="shared" si="42"/>
        <v/>
      </c>
    </row>
    <row r="295" spans="1:23">
      <c r="A295">
        <f>'IPTV US'!A286</f>
        <v>10455</v>
      </c>
      <c r="B295" t="str">
        <f>T('IPTV US'!B286)</f>
        <v/>
      </c>
      <c r="C295" t="s">
        <v>4290</v>
      </c>
      <c r="D295" t="str">
        <f t="shared" si="36"/>
        <v/>
      </c>
      <c r="E295" t="str">
        <f t="shared" si="37"/>
        <v/>
      </c>
      <c r="F295" s="68" t="s">
        <v>4289</v>
      </c>
      <c r="G295">
        <f>'IPTV CA'!A286</f>
        <v>10885</v>
      </c>
      <c r="H295" t="str">
        <f>T('IPTV CA'!B286)</f>
        <v/>
      </c>
      <c r="I295" t="s">
        <v>4290</v>
      </c>
      <c r="J295" t="str">
        <f t="shared" si="38"/>
        <v/>
      </c>
      <c r="K295" t="str">
        <f t="shared" si="40"/>
        <v/>
      </c>
      <c r="L295" s="69"/>
      <c r="M295">
        <f>'TMIS US'!A286</f>
        <v>9055</v>
      </c>
      <c r="N295" t="str">
        <f>T('TMIS US'!B286)</f>
        <v/>
      </c>
      <c r="O295" t="s">
        <v>4290</v>
      </c>
      <c r="P295" t="str">
        <f t="shared" si="39"/>
        <v/>
      </c>
      <c r="Q295" t="str">
        <f t="shared" si="41"/>
        <v/>
      </c>
      <c r="R295" s="69"/>
      <c r="S295">
        <f>'TMIS CA'!A286</f>
        <v>9485</v>
      </c>
      <c r="T295" t="str">
        <f>T('TMIS CA'!B286)</f>
        <v/>
      </c>
      <c r="U295" t="s">
        <v>4290</v>
      </c>
      <c r="V295" t="str">
        <f t="shared" si="43"/>
        <v/>
      </c>
      <c r="W295" t="str">
        <f t="shared" si="42"/>
        <v/>
      </c>
    </row>
    <row r="296" spans="1:23">
      <c r="A296">
        <f>'IPTV US'!A287</f>
        <v>10456</v>
      </c>
      <c r="B296" t="str">
        <f>T('IPTV US'!B287)</f>
        <v/>
      </c>
      <c r="C296" t="s">
        <v>4290</v>
      </c>
      <c r="D296" t="str">
        <f t="shared" si="36"/>
        <v/>
      </c>
      <c r="E296" t="str">
        <f t="shared" si="37"/>
        <v/>
      </c>
      <c r="F296" s="68" t="s">
        <v>4289</v>
      </c>
      <c r="G296">
        <f>'IPTV CA'!A287</f>
        <v>10886</v>
      </c>
      <c r="H296" t="str">
        <f>T('IPTV CA'!B287)</f>
        <v/>
      </c>
      <c r="I296" t="s">
        <v>4290</v>
      </c>
      <c r="J296" t="str">
        <f t="shared" si="38"/>
        <v/>
      </c>
      <c r="K296" t="str">
        <f t="shared" si="40"/>
        <v/>
      </c>
      <c r="L296" s="69"/>
      <c r="M296">
        <f>'TMIS US'!A287</f>
        <v>9056</v>
      </c>
      <c r="N296" t="str">
        <f>T('TMIS US'!B287)</f>
        <v/>
      </c>
      <c r="O296" t="s">
        <v>4290</v>
      </c>
      <c r="P296" t="str">
        <f t="shared" si="39"/>
        <v/>
      </c>
      <c r="Q296" t="str">
        <f t="shared" si="41"/>
        <v/>
      </c>
      <c r="R296" s="69"/>
      <c r="S296">
        <f>'TMIS CA'!A287</f>
        <v>9486</v>
      </c>
      <c r="T296" t="str">
        <f>T('TMIS CA'!B287)</f>
        <v/>
      </c>
      <c r="U296" t="s">
        <v>4290</v>
      </c>
      <c r="V296" t="str">
        <f t="shared" si="43"/>
        <v/>
      </c>
      <c r="W296" t="str">
        <f t="shared" si="42"/>
        <v/>
      </c>
    </row>
    <row r="297" spans="1:23">
      <c r="A297">
        <f>'IPTV US'!A288</f>
        <v>10457</v>
      </c>
      <c r="B297" t="str">
        <f>T('IPTV US'!B288)</f>
        <v/>
      </c>
      <c r="C297" t="s">
        <v>4290</v>
      </c>
      <c r="D297" t="str">
        <f t="shared" si="36"/>
        <v/>
      </c>
      <c r="E297" t="str">
        <f t="shared" si="37"/>
        <v/>
      </c>
      <c r="F297" s="68" t="s">
        <v>4289</v>
      </c>
      <c r="G297">
        <f>'IPTV CA'!A288</f>
        <v>10887</v>
      </c>
      <c r="H297" t="str">
        <f>T('IPTV CA'!B288)</f>
        <v/>
      </c>
      <c r="I297" t="s">
        <v>4290</v>
      </c>
      <c r="J297" t="str">
        <f t="shared" si="38"/>
        <v/>
      </c>
      <c r="K297" t="str">
        <f t="shared" si="40"/>
        <v/>
      </c>
      <c r="L297" s="69"/>
      <c r="M297">
        <f>'TMIS US'!A288</f>
        <v>9057</v>
      </c>
      <c r="N297" t="str">
        <f>T('TMIS US'!B288)</f>
        <v/>
      </c>
      <c r="O297" t="s">
        <v>4290</v>
      </c>
      <c r="P297" t="str">
        <f t="shared" si="39"/>
        <v/>
      </c>
      <c r="Q297" t="str">
        <f t="shared" si="41"/>
        <v/>
      </c>
      <c r="R297" s="69"/>
      <c r="S297">
        <f>'TMIS CA'!A288</f>
        <v>9487</v>
      </c>
      <c r="T297" t="str">
        <f>T('TMIS CA'!B288)</f>
        <v/>
      </c>
      <c r="U297" t="s">
        <v>4290</v>
      </c>
      <c r="V297" t="str">
        <f t="shared" si="43"/>
        <v/>
      </c>
      <c r="W297" t="str">
        <f t="shared" si="42"/>
        <v/>
      </c>
    </row>
    <row r="298" spans="1:23">
      <c r="A298">
        <f>'IPTV US'!A289</f>
        <v>10458</v>
      </c>
      <c r="B298" t="str">
        <f>T('IPTV US'!B289)</f>
        <v/>
      </c>
      <c r="C298" t="s">
        <v>4290</v>
      </c>
      <c r="D298" t="str">
        <f t="shared" si="36"/>
        <v/>
      </c>
      <c r="E298" t="str">
        <f t="shared" si="37"/>
        <v/>
      </c>
      <c r="F298" s="68" t="s">
        <v>4289</v>
      </c>
      <c r="G298">
        <f>'IPTV CA'!A289</f>
        <v>10888</v>
      </c>
      <c r="H298" t="str">
        <f>T('IPTV CA'!B289)</f>
        <v>CBC Comedy</v>
      </c>
      <c r="I298" t="s">
        <v>4288</v>
      </c>
      <c r="J298" t="str">
        <f t="shared" si="38"/>
        <v/>
      </c>
      <c r="K298" t="str">
        <f t="shared" si="40"/>
        <v/>
      </c>
      <c r="L298" s="69"/>
      <c r="M298">
        <f>'TMIS US'!A289</f>
        <v>9058</v>
      </c>
      <c r="N298" t="str">
        <f>T('TMIS US'!B289)</f>
        <v/>
      </c>
      <c r="O298" t="s">
        <v>4290</v>
      </c>
      <c r="P298" t="str">
        <f t="shared" si="39"/>
        <v/>
      </c>
      <c r="Q298" t="str">
        <f t="shared" si="41"/>
        <v/>
      </c>
      <c r="R298" s="69"/>
      <c r="S298">
        <f>'TMIS CA'!A289</f>
        <v>9488</v>
      </c>
      <c r="T298" t="str">
        <f>T('TMIS CA'!B289)</f>
        <v>CBC Comedy</v>
      </c>
      <c r="U298" t="s">
        <v>4288</v>
      </c>
      <c r="V298" t="str">
        <f t="shared" si="43"/>
        <v/>
      </c>
      <c r="W298" t="str">
        <f t="shared" si="42"/>
        <v/>
      </c>
    </row>
    <row r="299" spans="1:23">
      <c r="A299">
        <f>'IPTV US'!A290</f>
        <v>10459</v>
      </c>
      <c r="B299" t="str">
        <f>T('IPTV US'!B290)</f>
        <v/>
      </c>
      <c r="C299" t="s">
        <v>4290</v>
      </c>
      <c r="D299" t="str">
        <f t="shared" si="36"/>
        <v/>
      </c>
      <c r="E299" t="str">
        <f t="shared" si="37"/>
        <v/>
      </c>
      <c r="F299" s="68" t="s">
        <v>4289</v>
      </c>
      <c r="G299">
        <f>'IPTV CA'!A290</f>
        <v>10889</v>
      </c>
      <c r="H299" t="str">
        <f>T('IPTV CA'!B290)</f>
        <v/>
      </c>
      <c r="I299" t="s">
        <v>4290</v>
      </c>
      <c r="J299" t="str">
        <f t="shared" si="38"/>
        <v/>
      </c>
      <c r="K299" t="str">
        <f t="shared" si="40"/>
        <v/>
      </c>
      <c r="L299" s="69"/>
      <c r="M299">
        <f>'TMIS US'!A290</f>
        <v>9059</v>
      </c>
      <c r="N299" t="str">
        <f>T('TMIS US'!B290)</f>
        <v/>
      </c>
      <c r="O299" t="s">
        <v>4290</v>
      </c>
      <c r="P299" t="str">
        <f t="shared" si="39"/>
        <v/>
      </c>
      <c r="Q299" t="str">
        <f t="shared" si="41"/>
        <v/>
      </c>
      <c r="R299" s="69"/>
      <c r="S299">
        <f>'TMIS CA'!A290</f>
        <v>9489</v>
      </c>
      <c r="T299" t="str">
        <f>T('TMIS CA'!B290)</f>
        <v/>
      </c>
      <c r="U299" t="s">
        <v>4290</v>
      </c>
      <c r="V299" t="str">
        <f t="shared" si="43"/>
        <v/>
      </c>
      <c r="W299" t="str">
        <f t="shared" si="42"/>
        <v/>
      </c>
    </row>
    <row r="300" spans="1:23">
      <c r="A300">
        <f>'IPTV US'!A291</f>
        <v>10460</v>
      </c>
      <c r="B300" t="str">
        <f>T('IPTV US'!B291)</f>
        <v>Dark Matter TV</v>
      </c>
      <c r="C300" t="s">
        <v>4288</v>
      </c>
      <c r="D300" t="str">
        <f t="shared" si="36"/>
        <v/>
      </c>
      <c r="E300" t="str">
        <f t="shared" si="37"/>
        <v/>
      </c>
      <c r="F300" s="68" t="s">
        <v>4289</v>
      </c>
      <c r="G300">
        <f>'IPTV CA'!A291</f>
        <v>10890</v>
      </c>
      <c r="H300" t="str">
        <f>T('IPTV CA'!B291)</f>
        <v/>
      </c>
      <c r="I300" t="s">
        <v>4290</v>
      </c>
      <c r="J300" t="str">
        <f t="shared" si="38"/>
        <v/>
      </c>
      <c r="K300" t="str">
        <f t="shared" si="40"/>
        <v/>
      </c>
      <c r="L300" s="69"/>
      <c r="M300">
        <f>'TMIS US'!A291</f>
        <v>9060</v>
      </c>
      <c r="N300" t="str">
        <f>T('TMIS US'!B291)</f>
        <v>Dark Matter TV</v>
      </c>
      <c r="O300" t="s">
        <v>4288</v>
      </c>
      <c r="P300" t="str">
        <f t="shared" si="39"/>
        <v/>
      </c>
      <c r="Q300" t="str">
        <f t="shared" si="41"/>
        <v/>
      </c>
      <c r="R300" s="69"/>
      <c r="S300">
        <f>'TMIS CA'!A291</f>
        <v>9490</v>
      </c>
      <c r="T300" t="str">
        <f>T('TMIS CA'!B291)</f>
        <v/>
      </c>
      <c r="U300" t="s">
        <v>4290</v>
      </c>
      <c r="V300" t="str">
        <f t="shared" si="43"/>
        <v/>
      </c>
      <c r="W300" t="str">
        <f t="shared" si="42"/>
        <v/>
      </c>
    </row>
    <row r="301" spans="1:23">
      <c r="A301">
        <f>'IPTV US'!A292</f>
        <v>10461</v>
      </c>
      <c r="B301" t="str">
        <f>T('IPTV US'!B292)</f>
        <v/>
      </c>
      <c r="C301" t="s">
        <v>4290</v>
      </c>
      <c r="D301" t="str">
        <f t="shared" si="36"/>
        <v/>
      </c>
      <c r="E301" t="str">
        <f t="shared" si="37"/>
        <v/>
      </c>
      <c r="F301" s="68" t="s">
        <v>4289</v>
      </c>
      <c r="G301">
        <f>'IPTV CA'!A292</f>
        <v>10891</v>
      </c>
      <c r="H301" t="str">
        <f>T('IPTV CA'!B292)</f>
        <v>Hit Sitcoms</v>
      </c>
      <c r="I301" t="s">
        <v>4288</v>
      </c>
      <c r="J301" t="str">
        <f t="shared" si="38"/>
        <v/>
      </c>
      <c r="K301" t="str">
        <f t="shared" si="40"/>
        <v/>
      </c>
      <c r="L301" s="69"/>
      <c r="M301">
        <f>'TMIS US'!A292</f>
        <v>9061</v>
      </c>
      <c r="N301" t="str">
        <f>T('TMIS US'!B292)</f>
        <v/>
      </c>
      <c r="O301" t="s">
        <v>4290</v>
      </c>
      <c r="P301" t="str">
        <f t="shared" si="39"/>
        <v/>
      </c>
      <c r="Q301" t="str">
        <f t="shared" si="41"/>
        <v/>
      </c>
      <c r="R301" s="69"/>
      <c r="S301">
        <f>'TMIS CA'!A292</f>
        <v>9491</v>
      </c>
      <c r="T301" t="str">
        <f>T('TMIS CA'!B292)</f>
        <v>Hit Sitcoms</v>
      </c>
      <c r="U301" t="s">
        <v>4288</v>
      </c>
      <c r="V301" t="str">
        <f t="shared" si="43"/>
        <v/>
      </c>
      <c r="W301" t="str">
        <f t="shared" si="42"/>
        <v/>
      </c>
    </row>
    <row r="302" spans="1:23">
      <c r="A302">
        <f>'IPTV US'!A293</f>
        <v>10462</v>
      </c>
      <c r="B302" t="str">
        <f>T('IPTV US'!B293)</f>
        <v/>
      </c>
      <c r="C302" t="s">
        <v>4290</v>
      </c>
      <c r="D302" t="str">
        <f t="shared" si="36"/>
        <v/>
      </c>
      <c r="E302" t="str">
        <f t="shared" si="37"/>
        <v/>
      </c>
      <c r="F302" s="68" t="s">
        <v>4289</v>
      </c>
      <c r="G302">
        <f>'IPTV CA'!A293</f>
        <v>10892</v>
      </c>
      <c r="H302" t="str">
        <f>T('IPTV CA'!B293)</f>
        <v/>
      </c>
      <c r="I302" t="s">
        <v>4290</v>
      </c>
      <c r="J302" t="str">
        <f t="shared" si="38"/>
        <v/>
      </c>
      <c r="K302" t="str">
        <f t="shared" si="40"/>
        <v/>
      </c>
      <c r="L302" s="69"/>
      <c r="M302">
        <f>'TMIS US'!A293</f>
        <v>9062</v>
      </c>
      <c r="N302" t="str">
        <f>T('TMIS US'!B293)</f>
        <v/>
      </c>
      <c r="O302" t="s">
        <v>4290</v>
      </c>
      <c r="P302" t="str">
        <f t="shared" si="39"/>
        <v/>
      </c>
      <c r="Q302" t="str">
        <f t="shared" si="41"/>
        <v/>
      </c>
      <c r="R302" s="69"/>
      <c r="S302">
        <f>'TMIS CA'!A293</f>
        <v>9492</v>
      </c>
      <c r="T302" t="str">
        <f>T('TMIS CA'!B293)</f>
        <v/>
      </c>
      <c r="U302" t="s">
        <v>4290</v>
      </c>
      <c r="V302" t="str">
        <f t="shared" si="43"/>
        <v/>
      </c>
      <c r="W302" t="str">
        <f t="shared" si="42"/>
        <v/>
      </c>
    </row>
    <row r="303" spans="1:23">
      <c r="A303">
        <f>'IPTV US'!A294</f>
        <v>10463</v>
      </c>
      <c r="B303" t="str">
        <f>T('IPTV US'!B294)</f>
        <v/>
      </c>
      <c r="C303" t="s">
        <v>4290</v>
      </c>
      <c r="D303" t="str">
        <f t="shared" si="36"/>
        <v/>
      </c>
      <c r="E303" t="str">
        <f t="shared" si="37"/>
        <v/>
      </c>
      <c r="F303" s="68" t="s">
        <v>4289</v>
      </c>
      <c r="G303">
        <f>'IPTV CA'!A294</f>
        <v>10893</v>
      </c>
      <c r="H303" t="str">
        <f>T('IPTV CA'!B294)</f>
        <v/>
      </c>
      <c r="I303" t="s">
        <v>4290</v>
      </c>
      <c r="J303" t="str">
        <f t="shared" si="38"/>
        <v/>
      </c>
      <c r="K303" t="str">
        <f t="shared" si="40"/>
        <v/>
      </c>
      <c r="L303" s="69"/>
      <c r="M303">
        <f>'TMIS US'!A294</f>
        <v>9063</v>
      </c>
      <c r="N303" t="str">
        <f>T('TMIS US'!B294)</f>
        <v/>
      </c>
      <c r="O303" t="s">
        <v>4290</v>
      </c>
      <c r="P303" t="str">
        <f t="shared" si="39"/>
        <v/>
      </c>
      <c r="Q303" t="str">
        <f t="shared" si="41"/>
        <v/>
      </c>
      <c r="R303" s="69"/>
      <c r="S303">
        <f>'TMIS CA'!A294</f>
        <v>9493</v>
      </c>
      <c r="T303" t="str">
        <f>T('TMIS CA'!B294)</f>
        <v/>
      </c>
      <c r="U303" t="s">
        <v>4290</v>
      </c>
      <c r="V303" t="str">
        <f t="shared" si="43"/>
        <v/>
      </c>
      <c r="W303" t="str">
        <f t="shared" si="42"/>
        <v/>
      </c>
    </row>
    <row r="304" spans="1:23">
      <c r="A304">
        <f>'IPTV US'!A295</f>
        <v>10464</v>
      </c>
      <c r="B304" t="str">
        <f>T('IPTV US'!B295)</f>
        <v>The Asylum</v>
      </c>
      <c r="C304" t="s">
        <v>4288</v>
      </c>
      <c r="D304" t="str">
        <f t="shared" si="36"/>
        <v/>
      </c>
      <c r="E304" t="str">
        <f t="shared" si="37"/>
        <v/>
      </c>
      <c r="F304" s="68" t="s">
        <v>4289</v>
      </c>
      <c r="G304">
        <f>'IPTV CA'!A295</f>
        <v>10894</v>
      </c>
      <c r="H304" t="str">
        <f>T('IPTV CA'!B295)</f>
        <v>Corner Gas</v>
      </c>
      <c r="I304" t="s">
        <v>4288</v>
      </c>
      <c r="J304" t="str">
        <f t="shared" si="38"/>
        <v/>
      </c>
      <c r="K304" t="str">
        <f t="shared" si="40"/>
        <v/>
      </c>
      <c r="L304" s="69"/>
      <c r="M304">
        <f>'TMIS US'!A295</f>
        <v>9064</v>
      </c>
      <c r="N304" t="str">
        <f>T('TMIS US'!B295)</f>
        <v>The Asylum</v>
      </c>
      <c r="O304" t="s">
        <v>4288</v>
      </c>
      <c r="P304" t="str">
        <f t="shared" si="39"/>
        <v/>
      </c>
      <c r="Q304" t="str">
        <f t="shared" si="41"/>
        <v/>
      </c>
      <c r="R304" s="69"/>
      <c r="S304">
        <f>'TMIS CA'!A295</f>
        <v>9494</v>
      </c>
      <c r="T304" t="str">
        <f>T('TMIS CA'!B295)</f>
        <v>Corner Gas</v>
      </c>
      <c r="U304" t="s">
        <v>4288</v>
      </c>
      <c r="V304" t="str">
        <f t="shared" si="43"/>
        <v/>
      </c>
      <c r="W304" t="str">
        <f t="shared" si="42"/>
        <v/>
      </c>
    </row>
    <row r="305" spans="1:23">
      <c r="A305">
        <f>'IPTV US'!A296</f>
        <v>10465</v>
      </c>
      <c r="B305" t="str">
        <f>T('IPTV US'!B296)</f>
        <v>Haunt TV</v>
      </c>
      <c r="C305" t="s">
        <v>4288</v>
      </c>
      <c r="D305" t="str">
        <f t="shared" si="36"/>
        <v/>
      </c>
      <c r="E305" t="str">
        <f t="shared" si="37"/>
        <v/>
      </c>
      <c r="F305" s="68" t="s">
        <v>4289</v>
      </c>
      <c r="G305">
        <f>'IPTV CA'!A296</f>
        <v>10895</v>
      </c>
      <c r="H305" t="str">
        <f>T('IPTV CA'!B296)</f>
        <v>CTV Laughs</v>
      </c>
      <c r="I305" t="s">
        <v>4288</v>
      </c>
      <c r="J305" t="str">
        <f t="shared" si="38"/>
        <v/>
      </c>
      <c r="K305" t="str">
        <f t="shared" si="40"/>
        <v/>
      </c>
      <c r="L305" s="69"/>
      <c r="M305">
        <f>'TMIS US'!A296</f>
        <v>9065</v>
      </c>
      <c r="N305" t="str">
        <f>T('TMIS US'!B296)</f>
        <v>Haunt TV</v>
      </c>
      <c r="O305" t="s">
        <v>4288</v>
      </c>
      <c r="P305" t="str">
        <f t="shared" si="39"/>
        <v/>
      </c>
      <c r="Q305" t="str">
        <f t="shared" si="41"/>
        <v/>
      </c>
      <c r="R305" s="69"/>
      <c r="S305">
        <f>'TMIS CA'!A296</f>
        <v>9495</v>
      </c>
      <c r="T305" t="str">
        <f>T('TMIS CA'!B296)</f>
        <v>CTV Laughs</v>
      </c>
      <c r="U305" t="s">
        <v>4288</v>
      </c>
      <c r="V305" t="str">
        <f t="shared" si="43"/>
        <v/>
      </c>
      <c r="W305" t="str">
        <f t="shared" si="42"/>
        <v/>
      </c>
    </row>
    <row r="306" spans="1:23">
      <c r="A306">
        <f>'IPTV US'!A297</f>
        <v>10466</v>
      </c>
      <c r="B306" t="str">
        <f>T('IPTV US'!B297)</f>
        <v>Paranormal Files</v>
      </c>
      <c r="C306" t="s">
        <v>4288</v>
      </c>
      <c r="D306" t="str">
        <f t="shared" si="36"/>
        <v/>
      </c>
      <c r="E306" t="str">
        <f t="shared" si="37"/>
        <v/>
      </c>
      <c r="F306" s="68" t="s">
        <v>4289</v>
      </c>
      <c r="G306">
        <f>'IPTV CA'!A297</f>
        <v>10896</v>
      </c>
      <c r="H306" t="str">
        <f>T('IPTV CA'!B297)</f>
        <v/>
      </c>
      <c r="I306" t="s">
        <v>4290</v>
      </c>
      <c r="J306" t="str">
        <f t="shared" si="38"/>
        <v/>
      </c>
      <c r="K306" t="str">
        <f t="shared" si="40"/>
        <v/>
      </c>
      <c r="L306" s="69"/>
      <c r="M306">
        <f>'TMIS US'!A297</f>
        <v>9066</v>
      </c>
      <c r="N306" t="str">
        <f>T('TMIS US'!B297)</f>
        <v>Paranormal Files</v>
      </c>
      <c r="O306" t="s">
        <v>4288</v>
      </c>
      <c r="P306" t="str">
        <f t="shared" si="39"/>
        <v/>
      </c>
      <c r="Q306" t="str">
        <f t="shared" si="41"/>
        <v/>
      </c>
      <c r="R306" s="69"/>
      <c r="S306">
        <f>'TMIS CA'!A297</f>
        <v>9496</v>
      </c>
      <c r="T306" t="str">
        <f>T('TMIS CA'!B297)</f>
        <v/>
      </c>
      <c r="U306" t="s">
        <v>4290</v>
      </c>
      <c r="V306" t="str">
        <f t="shared" si="43"/>
        <v/>
      </c>
      <c r="W306" t="str">
        <f t="shared" si="42"/>
        <v/>
      </c>
    </row>
    <row r="307" spans="1:23">
      <c r="A307">
        <f>'IPTV US'!A298</f>
        <v>10467</v>
      </c>
      <c r="B307" t="str">
        <f>T('IPTV US'!B298)</f>
        <v/>
      </c>
      <c r="C307" t="s">
        <v>4290</v>
      </c>
      <c r="D307" t="str">
        <f t="shared" si="36"/>
        <v/>
      </c>
      <c r="E307" t="str">
        <f t="shared" si="37"/>
        <v/>
      </c>
      <c r="F307" s="68" t="s">
        <v>4289</v>
      </c>
      <c r="G307">
        <f>'IPTV CA'!A298</f>
        <v>10897</v>
      </c>
      <c r="H307" t="str">
        <f>T('IPTV CA'!B298)</f>
        <v/>
      </c>
      <c r="I307" t="s">
        <v>4290</v>
      </c>
      <c r="J307" t="str">
        <f t="shared" si="38"/>
        <v/>
      </c>
      <c r="K307" t="str">
        <f t="shared" si="40"/>
        <v/>
      </c>
      <c r="L307" s="69"/>
      <c r="M307">
        <f>'TMIS US'!A298</f>
        <v>9067</v>
      </c>
      <c r="N307" t="str">
        <f>T('TMIS US'!B298)</f>
        <v/>
      </c>
      <c r="O307" t="s">
        <v>4290</v>
      </c>
      <c r="P307" t="str">
        <f t="shared" si="39"/>
        <v/>
      </c>
      <c r="Q307" t="str">
        <f t="shared" si="41"/>
        <v/>
      </c>
      <c r="R307" s="69"/>
      <c r="S307">
        <f>'TMIS CA'!A298</f>
        <v>9497</v>
      </c>
      <c r="T307" t="str">
        <f>T('TMIS CA'!B298)</f>
        <v/>
      </c>
      <c r="U307" t="s">
        <v>4290</v>
      </c>
      <c r="V307" t="str">
        <f t="shared" si="43"/>
        <v/>
      </c>
      <c r="W307" t="str">
        <f t="shared" si="42"/>
        <v/>
      </c>
    </row>
    <row r="308" spans="1:23">
      <c r="A308">
        <f>'IPTV US'!A299</f>
        <v>10468</v>
      </c>
      <c r="B308" t="str">
        <f>T('IPTV US'!B299)</f>
        <v/>
      </c>
      <c r="C308" t="s">
        <v>4290</v>
      </c>
      <c r="D308" t="str">
        <f t="shared" si="36"/>
        <v/>
      </c>
      <c r="E308" t="str">
        <f t="shared" si="37"/>
        <v/>
      </c>
      <c r="F308" s="68" t="s">
        <v>4289</v>
      </c>
      <c r="G308">
        <f>'IPTV CA'!A299</f>
        <v>10898</v>
      </c>
      <c r="H308" t="str">
        <f>T('IPTV CA'!B299)</f>
        <v>Are We There Yet?</v>
      </c>
      <c r="I308" t="s">
        <v>4288</v>
      </c>
      <c r="J308" t="str">
        <f t="shared" si="38"/>
        <v/>
      </c>
      <c r="K308" t="str">
        <f t="shared" si="40"/>
        <v/>
      </c>
      <c r="L308" s="69"/>
      <c r="M308">
        <f>'TMIS US'!A299</f>
        <v>9068</v>
      </c>
      <c r="N308" t="str">
        <f>T('TMIS US'!B299)</f>
        <v/>
      </c>
      <c r="O308" t="s">
        <v>4290</v>
      </c>
      <c r="P308" t="str">
        <f t="shared" si="39"/>
        <v/>
      </c>
      <c r="Q308" t="str">
        <f t="shared" si="41"/>
        <v/>
      </c>
      <c r="R308" s="69"/>
      <c r="S308">
        <f>'TMIS CA'!A299</f>
        <v>9498</v>
      </c>
      <c r="T308" t="str">
        <f>T('TMIS CA'!B299)</f>
        <v>Are We There Yet?</v>
      </c>
      <c r="U308" t="s">
        <v>4288</v>
      </c>
      <c r="V308" t="str">
        <f t="shared" si="43"/>
        <v/>
      </c>
      <c r="W308" t="str">
        <f t="shared" si="42"/>
        <v/>
      </c>
    </row>
    <row r="309" spans="1:23">
      <c r="A309">
        <f>'IPTV US'!A300</f>
        <v>10469</v>
      </c>
      <c r="B309" t="str">
        <f>T('IPTV US'!B300)</f>
        <v/>
      </c>
      <c r="C309" t="s">
        <v>4290</v>
      </c>
      <c r="D309" t="str">
        <f t="shared" si="36"/>
        <v/>
      </c>
      <c r="E309" t="str">
        <f t="shared" si="37"/>
        <v/>
      </c>
      <c r="F309" s="68" t="s">
        <v>4289</v>
      </c>
      <c r="G309">
        <f>'IPTV CA'!A300</f>
        <v>10899</v>
      </c>
      <c r="H309" t="str">
        <f>T('IPTV CA'!B300)</f>
        <v>Anger Management</v>
      </c>
      <c r="I309" t="s">
        <v>4288</v>
      </c>
      <c r="J309" t="str">
        <f t="shared" si="38"/>
        <v/>
      </c>
      <c r="K309" t="str">
        <f t="shared" si="40"/>
        <v/>
      </c>
      <c r="L309" s="69"/>
      <c r="M309">
        <f>'TMIS US'!A300</f>
        <v>9069</v>
      </c>
      <c r="N309" t="str">
        <f>T('TMIS US'!B300)</f>
        <v/>
      </c>
      <c r="O309" t="s">
        <v>4290</v>
      </c>
      <c r="P309" t="str">
        <f t="shared" si="39"/>
        <v/>
      </c>
      <c r="Q309" t="str">
        <f t="shared" si="41"/>
        <v/>
      </c>
      <c r="R309" s="69"/>
      <c r="S309">
        <f>'TMIS CA'!A300</f>
        <v>9499</v>
      </c>
      <c r="T309" t="str">
        <f>T('TMIS CA'!B300)</f>
        <v>Anger Management</v>
      </c>
      <c r="U309" t="s">
        <v>4288</v>
      </c>
      <c r="V309" t="str">
        <f t="shared" si="43"/>
        <v/>
      </c>
      <c r="W309" t="str">
        <f t="shared" si="42"/>
        <v/>
      </c>
    </row>
    <row r="310" spans="1:23">
      <c r="A310">
        <f>'IPTV US'!A301</f>
        <v>10470</v>
      </c>
      <c r="B310" t="str">
        <f>T('IPTV US'!B301)</f>
        <v>Heartland</v>
      </c>
      <c r="C310" t="s">
        <v>4288</v>
      </c>
      <c r="D310" t="str">
        <f t="shared" si="36"/>
        <v/>
      </c>
      <c r="E310" t="str">
        <f t="shared" si="37"/>
        <v/>
      </c>
      <c r="F310" s="68" t="s">
        <v>4289</v>
      </c>
      <c r="G310">
        <f>'IPTV CA'!A301</f>
        <v>10900</v>
      </c>
      <c r="H310" t="str">
        <f>T('IPTV CA'!B301)</f>
        <v/>
      </c>
      <c r="I310" t="s">
        <v>4290</v>
      </c>
      <c r="J310" t="str">
        <f t="shared" si="38"/>
        <v/>
      </c>
      <c r="K310" t="str">
        <f t="shared" si="40"/>
        <v/>
      </c>
      <c r="L310" s="69"/>
      <c r="M310">
        <f>'TMIS US'!A301</f>
        <v>9070</v>
      </c>
      <c r="N310" t="str">
        <f>T('TMIS US'!B301)</f>
        <v>Heartland</v>
      </c>
      <c r="O310" t="s">
        <v>4288</v>
      </c>
      <c r="P310" t="str">
        <f t="shared" si="39"/>
        <v/>
      </c>
      <c r="Q310" t="str">
        <f t="shared" si="41"/>
        <v/>
      </c>
      <c r="R310" s="69"/>
      <c r="S310">
        <f>'TMIS CA'!A301</f>
        <v>9500</v>
      </c>
      <c r="T310" t="str">
        <f>T('TMIS CA'!B301)</f>
        <v/>
      </c>
      <c r="U310" t="s">
        <v>4290</v>
      </c>
      <c r="V310" t="str">
        <f t="shared" si="43"/>
        <v/>
      </c>
      <c r="W310" t="str">
        <f t="shared" si="42"/>
        <v/>
      </c>
    </row>
    <row r="311" spans="1:23">
      <c r="A311">
        <f>'IPTV US'!A302</f>
        <v>10471</v>
      </c>
      <c r="B311" t="str">
        <f>T('IPTV US'!B302)</f>
        <v/>
      </c>
      <c r="C311" t="s">
        <v>4290</v>
      </c>
      <c r="D311" t="str">
        <f t="shared" si="36"/>
        <v/>
      </c>
      <c r="E311" t="str">
        <f t="shared" si="37"/>
        <v/>
      </c>
      <c r="F311" s="68" t="s">
        <v>4289</v>
      </c>
      <c r="G311">
        <f>'IPTV CA'!A302</f>
        <v>10901</v>
      </c>
      <c r="H311" t="str">
        <f>T('IPTV CA'!B302)</f>
        <v/>
      </c>
      <c r="I311" t="s">
        <v>4290</v>
      </c>
      <c r="J311" t="str">
        <f t="shared" si="38"/>
        <v/>
      </c>
      <c r="K311" t="str">
        <f t="shared" si="40"/>
        <v/>
      </c>
      <c r="L311" s="69"/>
      <c r="M311">
        <f>'TMIS US'!A302</f>
        <v>9071</v>
      </c>
      <c r="N311" t="str">
        <f>T('TMIS US'!B302)</f>
        <v/>
      </c>
      <c r="O311" t="s">
        <v>4290</v>
      </c>
      <c r="P311" t="str">
        <f t="shared" si="39"/>
        <v/>
      </c>
      <c r="Q311" t="str">
        <f t="shared" si="41"/>
        <v/>
      </c>
      <c r="R311" s="69"/>
      <c r="S311">
        <f>'TMIS CA'!A302</f>
        <v>9501</v>
      </c>
      <c r="T311" t="str">
        <f>T('TMIS CA'!B302)</f>
        <v/>
      </c>
      <c r="U311" t="s">
        <v>4290</v>
      </c>
      <c r="V311" t="str">
        <f t="shared" si="43"/>
        <v/>
      </c>
      <c r="W311" t="str">
        <f t="shared" si="42"/>
        <v/>
      </c>
    </row>
    <row r="312" spans="1:23">
      <c r="A312">
        <f>'IPTV US'!A303</f>
        <v>10472</v>
      </c>
      <c r="B312" t="str">
        <f>T('IPTV US'!B303)</f>
        <v>FilmRise Western</v>
      </c>
      <c r="C312" t="s">
        <v>4288</v>
      </c>
      <c r="D312" t="str">
        <f t="shared" si="36"/>
        <v/>
      </c>
      <c r="E312" t="str">
        <f t="shared" si="37"/>
        <v/>
      </c>
      <c r="F312" s="68" t="s">
        <v>4289</v>
      </c>
      <c r="G312">
        <f>'IPTV CA'!A303</f>
        <v>10902</v>
      </c>
      <c r="H312" t="str">
        <f>T('IPTV CA'!B303)</f>
        <v>BBC Comedy</v>
      </c>
      <c r="I312" t="s">
        <v>4288</v>
      </c>
      <c r="J312" t="str">
        <f t="shared" si="38"/>
        <v/>
      </c>
      <c r="K312" t="str">
        <f t="shared" si="40"/>
        <v/>
      </c>
      <c r="L312" s="69"/>
      <c r="M312">
        <f>'TMIS US'!A303</f>
        <v>9072</v>
      </c>
      <c r="N312" t="str">
        <f>T('TMIS US'!B303)</f>
        <v>FilmRise Western</v>
      </c>
      <c r="O312" t="s">
        <v>4288</v>
      </c>
      <c r="P312" t="str">
        <f t="shared" si="39"/>
        <v/>
      </c>
      <c r="Q312" t="str">
        <f t="shared" si="41"/>
        <v/>
      </c>
      <c r="R312" s="69"/>
      <c r="S312">
        <f>'TMIS CA'!A303</f>
        <v>9502</v>
      </c>
      <c r="T312" t="str">
        <f>T('TMIS CA'!B303)</f>
        <v>BBC Comedy</v>
      </c>
      <c r="U312" t="s">
        <v>4288</v>
      </c>
      <c r="V312" t="str">
        <f t="shared" si="43"/>
        <v/>
      </c>
      <c r="W312" t="str">
        <f t="shared" si="42"/>
        <v/>
      </c>
    </row>
    <row r="313" spans="1:23">
      <c r="A313">
        <f>'IPTV US'!A304</f>
        <v>10473</v>
      </c>
      <c r="B313" t="str">
        <f>T('IPTV US'!B304)</f>
        <v>XUMO Free Westerns</v>
      </c>
      <c r="C313" t="s">
        <v>4288</v>
      </c>
      <c r="D313" t="str">
        <f t="shared" si="36"/>
        <v/>
      </c>
      <c r="E313" t="str">
        <f t="shared" si="37"/>
        <v/>
      </c>
      <c r="F313" s="68" t="s">
        <v>4289</v>
      </c>
      <c r="G313">
        <f>'IPTV CA'!A304</f>
        <v>10903</v>
      </c>
      <c r="H313" t="str">
        <f>T('IPTV CA'!B304)</f>
        <v>Trailer Park Boys: The SwearNet Show</v>
      </c>
      <c r="I313" t="s">
        <v>4288</v>
      </c>
      <c r="J313" t="str">
        <f t="shared" si="38"/>
        <v/>
      </c>
      <c r="K313" t="str">
        <f t="shared" si="40"/>
        <v/>
      </c>
      <c r="L313" s="69"/>
      <c r="M313">
        <f>'TMIS US'!A304</f>
        <v>9073</v>
      </c>
      <c r="N313" t="str">
        <f>T('TMIS US'!B304)</f>
        <v>XUMO Free Westerns</v>
      </c>
      <c r="O313" t="s">
        <v>4288</v>
      </c>
      <c r="P313" t="str">
        <f t="shared" si="39"/>
        <v/>
      </c>
      <c r="Q313" t="str">
        <f t="shared" si="41"/>
        <v/>
      </c>
      <c r="R313" s="69"/>
      <c r="S313">
        <f>'TMIS CA'!A304</f>
        <v>9503</v>
      </c>
      <c r="T313" t="str">
        <f>T('TMIS CA'!B304)</f>
        <v>Trailer Park Boys: The SwearNet Show</v>
      </c>
      <c r="U313" t="s">
        <v>4288</v>
      </c>
      <c r="V313" t="str">
        <f t="shared" si="43"/>
        <v/>
      </c>
      <c r="W313" t="str">
        <f t="shared" si="42"/>
        <v/>
      </c>
    </row>
    <row r="314" spans="1:23">
      <c r="A314">
        <f>'IPTV US'!A305</f>
        <v>10474</v>
      </c>
      <c r="B314" t="str">
        <f>T('IPTV US'!B305)</f>
        <v>Circle TV</v>
      </c>
      <c r="C314" t="s">
        <v>4288</v>
      </c>
      <c r="D314" t="str">
        <f t="shared" si="36"/>
        <v/>
      </c>
      <c r="E314" t="str">
        <f t="shared" si="37"/>
        <v/>
      </c>
      <c r="F314" s="68" t="s">
        <v>4289</v>
      </c>
      <c r="G314">
        <f>'IPTV CA'!A305</f>
        <v>10904</v>
      </c>
      <c r="H314" t="str">
        <f>T('IPTV CA'!B305)</f>
        <v>Hot Ones</v>
      </c>
      <c r="I314" t="s">
        <v>4288</v>
      </c>
      <c r="J314" t="str">
        <f t="shared" si="38"/>
        <v/>
      </c>
      <c r="K314" t="str">
        <f t="shared" si="40"/>
        <v/>
      </c>
      <c r="L314" s="69"/>
      <c r="M314">
        <f>'TMIS US'!A305</f>
        <v>9074</v>
      </c>
      <c r="N314" t="str">
        <f>T('TMIS US'!B305)</f>
        <v>Circle TV</v>
      </c>
      <c r="O314" t="s">
        <v>4288</v>
      </c>
      <c r="P314" t="str">
        <f t="shared" si="39"/>
        <v/>
      </c>
      <c r="Q314" t="str">
        <f t="shared" si="41"/>
        <v/>
      </c>
      <c r="R314" s="69"/>
      <c r="S314">
        <f>'TMIS CA'!A305</f>
        <v>9504</v>
      </c>
      <c r="T314" t="str">
        <f>T('TMIS CA'!B305)</f>
        <v>Hot Ones</v>
      </c>
      <c r="U314" t="s">
        <v>4288</v>
      </c>
      <c r="V314" t="str">
        <f t="shared" si="43"/>
        <v/>
      </c>
      <c r="W314" t="str">
        <f t="shared" si="42"/>
        <v/>
      </c>
    </row>
    <row r="315" spans="1:23">
      <c r="A315">
        <f>'IPTV US'!A306</f>
        <v>10475</v>
      </c>
      <c r="B315" t="str">
        <f>T('IPTV US'!B306)</f>
        <v/>
      </c>
      <c r="C315" t="s">
        <v>4290</v>
      </c>
      <c r="D315" t="str">
        <f t="shared" si="36"/>
        <v/>
      </c>
      <c r="E315" t="str">
        <f t="shared" si="37"/>
        <v/>
      </c>
      <c r="F315" s="68" t="s">
        <v>4289</v>
      </c>
      <c r="G315">
        <f>'IPTV CA'!A306</f>
        <v>10905</v>
      </c>
      <c r="H315" t="str">
        <f>T('IPTV CA'!B306)</f>
        <v/>
      </c>
      <c r="I315" t="s">
        <v>4290</v>
      </c>
      <c r="J315" t="str">
        <f t="shared" si="38"/>
        <v/>
      </c>
      <c r="K315" t="str">
        <f t="shared" si="40"/>
        <v/>
      </c>
      <c r="L315" s="69"/>
      <c r="M315">
        <f>'TMIS US'!A306</f>
        <v>9075</v>
      </c>
      <c r="N315" t="str">
        <f>T('TMIS US'!B306)</f>
        <v/>
      </c>
      <c r="O315" t="s">
        <v>4290</v>
      </c>
      <c r="P315" t="str">
        <f t="shared" si="39"/>
        <v/>
      </c>
      <c r="Q315" t="str">
        <f t="shared" si="41"/>
        <v/>
      </c>
      <c r="R315" s="69"/>
      <c r="S315">
        <f>'TMIS CA'!A306</f>
        <v>9505</v>
      </c>
      <c r="T315" t="str">
        <f>T('TMIS CA'!B306)</f>
        <v/>
      </c>
      <c r="U315" t="s">
        <v>4290</v>
      </c>
      <c r="V315" t="str">
        <f t="shared" si="43"/>
        <v/>
      </c>
      <c r="W315" t="str">
        <f t="shared" si="42"/>
        <v/>
      </c>
    </row>
    <row r="316" spans="1:23">
      <c r="A316">
        <f>'IPTV US'!A307</f>
        <v>10476</v>
      </c>
      <c r="B316" t="str">
        <f>T('IPTV US'!B307)</f>
        <v/>
      </c>
      <c r="C316" t="s">
        <v>4290</v>
      </c>
      <c r="D316" t="str">
        <f t="shared" si="36"/>
        <v/>
      </c>
      <c r="E316" t="str">
        <f t="shared" si="37"/>
        <v/>
      </c>
      <c r="F316" s="68" t="s">
        <v>4289</v>
      </c>
      <c r="G316">
        <f>'IPTV CA'!A307</f>
        <v>10906</v>
      </c>
      <c r="H316" t="str">
        <f>T('IPTV CA'!B307)</f>
        <v/>
      </c>
      <c r="I316" t="s">
        <v>4290</v>
      </c>
      <c r="J316" t="str">
        <f t="shared" si="38"/>
        <v/>
      </c>
      <c r="K316" t="str">
        <f t="shared" si="40"/>
        <v/>
      </c>
      <c r="L316" s="69"/>
      <c r="M316">
        <f>'TMIS US'!A307</f>
        <v>9076</v>
      </c>
      <c r="N316" t="str">
        <f>T('TMIS US'!B307)</f>
        <v/>
      </c>
      <c r="O316" t="s">
        <v>4290</v>
      </c>
      <c r="P316" t="str">
        <f t="shared" si="39"/>
        <v/>
      </c>
      <c r="Q316" t="str">
        <f t="shared" si="41"/>
        <v/>
      </c>
      <c r="R316" s="69"/>
      <c r="S316">
        <f>'TMIS CA'!A307</f>
        <v>9506</v>
      </c>
      <c r="T316" t="str">
        <f>T('TMIS CA'!B307)</f>
        <v/>
      </c>
      <c r="U316" t="s">
        <v>4290</v>
      </c>
      <c r="V316" t="str">
        <f t="shared" si="43"/>
        <v/>
      </c>
      <c r="W316" t="str">
        <f t="shared" si="42"/>
        <v/>
      </c>
    </row>
    <row r="317" spans="1:23">
      <c r="A317">
        <f>'IPTV US'!A308</f>
        <v>10477</v>
      </c>
      <c r="B317" t="str">
        <f>T('IPTV US'!B308)</f>
        <v/>
      </c>
      <c r="C317" t="s">
        <v>4290</v>
      </c>
      <c r="D317" t="str">
        <f t="shared" si="36"/>
        <v/>
      </c>
      <c r="E317" t="str">
        <f t="shared" si="37"/>
        <v/>
      </c>
      <c r="F317" s="68" t="s">
        <v>4289</v>
      </c>
      <c r="G317">
        <f>'IPTV CA'!A308</f>
        <v>10907</v>
      </c>
      <c r="H317" t="str">
        <f>T('IPTV CA'!B308)</f>
        <v>Shout! Factory TV Stream</v>
      </c>
      <c r="I317" t="s">
        <v>4288</v>
      </c>
      <c r="J317" t="str">
        <f t="shared" si="38"/>
        <v/>
      </c>
      <c r="K317" t="str">
        <f t="shared" si="40"/>
        <v/>
      </c>
      <c r="L317" s="69"/>
      <c r="M317">
        <f>'TMIS US'!A308</f>
        <v>9077</v>
      </c>
      <c r="N317" t="str">
        <f>T('TMIS US'!B308)</f>
        <v/>
      </c>
      <c r="O317" t="s">
        <v>4290</v>
      </c>
      <c r="P317" t="str">
        <f t="shared" si="39"/>
        <v/>
      </c>
      <c r="Q317" t="str">
        <f t="shared" si="41"/>
        <v/>
      </c>
      <c r="R317" s="69"/>
      <c r="S317">
        <f>'TMIS CA'!A308</f>
        <v>9507</v>
      </c>
      <c r="T317" t="str">
        <f>T('TMIS CA'!B308)</f>
        <v>Shout! Factory TV Stream</v>
      </c>
      <c r="U317" t="s">
        <v>4288</v>
      </c>
      <c r="V317" t="str">
        <f t="shared" si="43"/>
        <v/>
      </c>
      <c r="W317" t="str">
        <f t="shared" si="42"/>
        <v/>
      </c>
    </row>
    <row r="318" spans="1:23">
      <c r="A318">
        <f>'IPTV US'!A309</f>
        <v>10478</v>
      </c>
      <c r="B318" t="str">
        <f>T('IPTV US'!B309)</f>
        <v>Shades of Black</v>
      </c>
      <c r="C318" t="s">
        <v>4288</v>
      </c>
      <c r="D318" t="str">
        <f t="shared" si="36"/>
        <v/>
      </c>
      <c r="E318" t="str">
        <f t="shared" si="37"/>
        <v/>
      </c>
      <c r="F318" s="68" t="s">
        <v>4289</v>
      </c>
      <c r="G318">
        <f>'IPTV CA'!A309</f>
        <v>10908</v>
      </c>
      <c r="H318" t="str">
        <f>T('IPTV CA'!B309)</f>
        <v>Comedy Dynamics</v>
      </c>
      <c r="I318" t="s">
        <v>4288</v>
      </c>
      <c r="J318" t="str">
        <f t="shared" si="38"/>
        <v/>
      </c>
      <c r="K318" t="str">
        <f t="shared" si="40"/>
        <v/>
      </c>
      <c r="L318" s="69"/>
      <c r="M318">
        <f>'TMIS US'!A309</f>
        <v>9078</v>
      </c>
      <c r="N318" t="str">
        <f>T('TMIS US'!B309)</f>
        <v>Shades of Black</v>
      </c>
      <c r="O318" t="s">
        <v>4288</v>
      </c>
      <c r="P318" t="str">
        <f t="shared" si="39"/>
        <v/>
      </c>
      <c r="Q318" t="str">
        <f t="shared" si="41"/>
        <v/>
      </c>
      <c r="R318" s="69"/>
      <c r="S318">
        <f>'TMIS CA'!A309</f>
        <v>9508</v>
      </c>
      <c r="T318" t="str">
        <f>T('TMIS CA'!B309)</f>
        <v>Comedy Dynamics</v>
      </c>
      <c r="U318" t="s">
        <v>4288</v>
      </c>
      <c r="V318" t="str">
        <f t="shared" si="43"/>
        <v/>
      </c>
      <c r="W318" t="str">
        <f t="shared" si="42"/>
        <v/>
      </c>
    </row>
    <row r="319" spans="1:23">
      <c r="A319">
        <f>'IPTV US'!A310</f>
        <v>10479</v>
      </c>
      <c r="B319" t="str">
        <f>T('IPTV US'!B310)</f>
        <v/>
      </c>
      <c r="C319" t="s">
        <v>4290</v>
      </c>
      <c r="D319" t="str">
        <f t="shared" si="36"/>
        <v/>
      </c>
      <c r="E319" t="str">
        <f t="shared" si="37"/>
        <v/>
      </c>
      <c r="F319" s="68" t="s">
        <v>4289</v>
      </c>
      <c r="G319">
        <f>'IPTV CA'!A310</f>
        <v>10909</v>
      </c>
      <c r="H319" t="str">
        <f>T('IPTV CA'!B310)</f>
        <v/>
      </c>
      <c r="I319" t="s">
        <v>4290</v>
      </c>
      <c r="J319" t="str">
        <f t="shared" si="38"/>
        <v/>
      </c>
      <c r="K319" t="str">
        <f t="shared" si="40"/>
        <v/>
      </c>
      <c r="L319" s="69"/>
      <c r="M319">
        <f>'TMIS US'!A310</f>
        <v>9079</v>
      </c>
      <c r="N319" t="str">
        <f>T('TMIS US'!B310)</f>
        <v/>
      </c>
      <c r="O319" t="s">
        <v>4290</v>
      </c>
      <c r="P319" t="str">
        <f t="shared" si="39"/>
        <v/>
      </c>
      <c r="Q319" t="str">
        <f t="shared" si="41"/>
        <v/>
      </c>
      <c r="R319" s="69"/>
      <c r="S319">
        <f>'TMIS CA'!A310</f>
        <v>9509</v>
      </c>
      <c r="T319" t="str">
        <f>T('TMIS CA'!B310)</f>
        <v/>
      </c>
      <c r="U319" t="s">
        <v>4290</v>
      </c>
      <c r="V319" t="str">
        <f t="shared" si="43"/>
        <v/>
      </c>
      <c r="W319" t="str">
        <f t="shared" si="42"/>
        <v/>
      </c>
    </row>
    <row r="320" spans="1:23">
      <c r="A320">
        <f>'IPTV US'!A311</f>
        <v>10480</v>
      </c>
      <c r="B320" t="str">
        <f>T('IPTV US'!B311)</f>
        <v>Maverick Black Cinema</v>
      </c>
      <c r="C320" t="s">
        <v>4288</v>
      </c>
      <c r="D320" t="str">
        <f t="shared" si="36"/>
        <v/>
      </c>
      <c r="E320" t="str">
        <f t="shared" si="37"/>
        <v/>
      </c>
      <c r="F320" s="68" t="s">
        <v>4289</v>
      </c>
      <c r="G320">
        <f>'IPTV CA'!A311</f>
        <v>10910</v>
      </c>
      <c r="H320" t="str">
        <f>T('IPTV CA'!B311)</f>
        <v/>
      </c>
      <c r="I320" t="s">
        <v>4290</v>
      </c>
      <c r="J320" t="str">
        <f t="shared" si="38"/>
        <v/>
      </c>
      <c r="K320" t="str">
        <f t="shared" si="40"/>
        <v/>
      </c>
      <c r="L320" s="69"/>
      <c r="M320">
        <f>'TMIS US'!A311</f>
        <v>9080</v>
      </c>
      <c r="N320" t="str">
        <f>T('TMIS US'!B311)</f>
        <v>Maverick Black Cinema</v>
      </c>
      <c r="O320" t="s">
        <v>4288</v>
      </c>
      <c r="P320" t="str">
        <f t="shared" si="39"/>
        <v/>
      </c>
      <c r="Q320" t="str">
        <f t="shared" si="41"/>
        <v/>
      </c>
      <c r="R320" s="69"/>
      <c r="S320">
        <f>'TMIS CA'!A311</f>
        <v>9510</v>
      </c>
      <c r="T320" t="str">
        <f>T('TMIS CA'!B311)</f>
        <v/>
      </c>
      <c r="U320" t="s">
        <v>4290</v>
      </c>
      <c r="V320" t="str">
        <f t="shared" si="43"/>
        <v/>
      </c>
      <c r="W320" t="str">
        <f t="shared" si="42"/>
        <v/>
      </c>
    </row>
    <row r="321" spans="1:23">
      <c r="A321">
        <f>'IPTV US'!A312</f>
        <v>10481</v>
      </c>
      <c r="B321" t="str">
        <f>T('IPTV US'!B312)</f>
        <v>theGrio</v>
      </c>
      <c r="C321" t="s">
        <v>4288</v>
      </c>
      <c r="D321" t="str">
        <f t="shared" si="36"/>
        <v/>
      </c>
      <c r="E321" t="str">
        <f t="shared" si="37"/>
        <v/>
      </c>
      <c r="F321" s="68" t="s">
        <v>4289</v>
      </c>
      <c r="G321">
        <f>'IPTV CA'!A312</f>
        <v>10911</v>
      </c>
      <c r="H321" t="str">
        <f>T('IPTV CA'!B312)</f>
        <v>Humor Mill</v>
      </c>
      <c r="I321" t="s">
        <v>4288</v>
      </c>
      <c r="J321" t="str">
        <f t="shared" si="38"/>
        <v/>
      </c>
      <c r="K321" t="str">
        <f t="shared" si="40"/>
        <v/>
      </c>
      <c r="L321" s="69"/>
      <c r="M321">
        <f>'TMIS US'!A312</f>
        <v>9081</v>
      </c>
      <c r="N321" t="str">
        <f>T('TMIS US'!B312)</f>
        <v>theGrio</v>
      </c>
      <c r="O321" t="s">
        <v>4288</v>
      </c>
      <c r="P321" t="str">
        <f t="shared" si="39"/>
        <v/>
      </c>
      <c r="Q321" t="str">
        <f t="shared" si="41"/>
        <v/>
      </c>
      <c r="R321" s="69"/>
      <c r="S321">
        <f>'TMIS CA'!A312</f>
        <v>9511</v>
      </c>
      <c r="T321" t="str">
        <f>T('TMIS CA'!B312)</f>
        <v>Humor Mill</v>
      </c>
      <c r="U321" t="s">
        <v>4288</v>
      </c>
      <c r="V321" t="str">
        <f t="shared" si="43"/>
        <v/>
      </c>
      <c r="W321" t="str">
        <f t="shared" si="42"/>
        <v/>
      </c>
    </row>
    <row r="322" spans="1:23">
      <c r="A322">
        <f>'IPTV US'!A313</f>
        <v>10482</v>
      </c>
      <c r="B322" t="str">
        <f>T('IPTV US'!B313)</f>
        <v/>
      </c>
      <c r="C322" t="s">
        <v>4290</v>
      </c>
      <c r="D322" t="str">
        <f t="shared" si="36"/>
        <v/>
      </c>
      <c r="E322" t="str">
        <f t="shared" si="37"/>
        <v/>
      </c>
      <c r="F322" s="68" t="s">
        <v>4289</v>
      </c>
      <c r="G322">
        <f>'IPTV CA'!A313</f>
        <v>10912</v>
      </c>
      <c r="H322" t="str">
        <f>T('IPTV CA'!B313)</f>
        <v>Always Funny</v>
      </c>
      <c r="I322" t="s">
        <v>4288</v>
      </c>
      <c r="J322" t="str">
        <f t="shared" si="38"/>
        <v/>
      </c>
      <c r="K322" t="str">
        <f t="shared" si="40"/>
        <v/>
      </c>
      <c r="L322" s="69"/>
      <c r="M322">
        <f>'TMIS US'!A313</f>
        <v>9082</v>
      </c>
      <c r="N322" t="str">
        <f>T('TMIS US'!B313)</f>
        <v/>
      </c>
      <c r="O322" t="s">
        <v>4290</v>
      </c>
      <c r="P322" t="str">
        <f t="shared" si="39"/>
        <v/>
      </c>
      <c r="Q322" t="str">
        <f t="shared" si="41"/>
        <v/>
      </c>
      <c r="R322" s="69"/>
      <c r="S322">
        <f>'TMIS CA'!A313</f>
        <v>9512</v>
      </c>
      <c r="T322" t="str">
        <f>T('TMIS CA'!B313)</f>
        <v>Always Funny</v>
      </c>
      <c r="U322" t="s">
        <v>4288</v>
      </c>
      <c r="V322" t="str">
        <f t="shared" si="43"/>
        <v/>
      </c>
      <c r="W322" t="str">
        <f t="shared" si="42"/>
        <v/>
      </c>
    </row>
    <row r="323" spans="1:23">
      <c r="A323">
        <f>'IPTV US'!A314</f>
        <v>10483</v>
      </c>
      <c r="B323" t="str">
        <f>T('IPTV US'!B314)</f>
        <v/>
      </c>
      <c r="C323" t="s">
        <v>4290</v>
      </c>
      <c r="D323" t="str">
        <f t="shared" si="36"/>
        <v/>
      </c>
      <c r="E323" t="str">
        <f t="shared" si="37"/>
        <v/>
      </c>
      <c r="F323" s="68" t="s">
        <v>4289</v>
      </c>
      <c r="G323">
        <f>'IPTV CA'!A314</f>
        <v>10913</v>
      </c>
      <c r="H323" t="str">
        <f>T('IPTV CA'!B314)</f>
        <v>FailArmy</v>
      </c>
      <c r="I323" t="s">
        <v>4288</v>
      </c>
      <c r="J323" t="str">
        <f t="shared" si="38"/>
        <v/>
      </c>
      <c r="K323" t="str">
        <f t="shared" si="40"/>
        <v/>
      </c>
      <c r="L323" s="69"/>
      <c r="M323">
        <f>'TMIS US'!A314</f>
        <v>9083</v>
      </c>
      <c r="N323" t="str">
        <f>T('TMIS US'!B314)</f>
        <v/>
      </c>
      <c r="O323" t="s">
        <v>4290</v>
      </c>
      <c r="P323" t="str">
        <f t="shared" si="39"/>
        <v/>
      </c>
      <c r="Q323" t="str">
        <f t="shared" si="41"/>
        <v/>
      </c>
      <c r="R323" s="69"/>
      <c r="S323">
        <f>'TMIS CA'!A314</f>
        <v>9513</v>
      </c>
      <c r="T323" t="str">
        <f>T('TMIS CA'!B314)</f>
        <v>FailArmy</v>
      </c>
      <c r="U323" t="s">
        <v>4288</v>
      </c>
      <c r="V323" t="str">
        <f t="shared" si="43"/>
        <v/>
      </c>
      <c r="W323" t="str">
        <f t="shared" si="42"/>
        <v/>
      </c>
    </row>
    <row r="324" spans="1:23">
      <c r="A324">
        <f>'IPTV US'!A315</f>
        <v>10484</v>
      </c>
      <c r="B324" t="str">
        <f>T('IPTV US'!B315)</f>
        <v>Revry</v>
      </c>
      <c r="C324" t="s">
        <v>4288</v>
      </c>
      <c r="D324" t="str">
        <f t="shared" si="36"/>
        <v/>
      </c>
      <c r="E324" t="str">
        <f t="shared" si="37"/>
        <v/>
      </c>
      <c r="F324" s="68" t="s">
        <v>4289</v>
      </c>
      <c r="G324">
        <f>'IPTV CA'!A315</f>
        <v>10914</v>
      </c>
      <c r="H324" t="str">
        <f>T('IPTV CA'!B315)</f>
        <v/>
      </c>
      <c r="I324" t="s">
        <v>4290</v>
      </c>
      <c r="J324" t="str">
        <f t="shared" si="38"/>
        <v/>
      </c>
      <c r="K324" t="str">
        <f t="shared" si="40"/>
        <v/>
      </c>
      <c r="L324" s="69"/>
      <c r="M324">
        <f>'TMIS US'!A315</f>
        <v>9084</v>
      </c>
      <c r="N324" t="str">
        <f>T('TMIS US'!B315)</f>
        <v>Revry</v>
      </c>
      <c r="O324" t="s">
        <v>4288</v>
      </c>
      <c r="P324" t="str">
        <f t="shared" si="39"/>
        <v/>
      </c>
      <c r="Q324" t="str">
        <f t="shared" si="41"/>
        <v/>
      </c>
      <c r="R324" s="69"/>
      <c r="S324">
        <f>'TMIS CA'!A315</f>
        <v>9514</v>
      </c>
      <c r="T324" t="str">
        <f>T('TMIS CA'!B315)</f>
        <v/>
      </c>
      <c r="U324" t="s">
        <v>4290</v>
      </c>
      <c r="V324" t="str">
        <f t="shared" si="43"/>
        <v/>
      </c>
      <c r="W324" t="str">
        <f t="shared" si="42"/>
        <v/>
      </c>
    </row>
    <row r="325" spans="1:23">
      <c r="A325">
        <f>'IPTV US'!A316</f>
        <v>10485</v>
      </c>
      <c r="B325" t="str">
        <f>T('IPTV US'!B316)</f>
        <v>OUTtv Proud</v>
      </c>
      <c r="C325" t="s">
        <v>4288</v>
      </c>
      <c r="D325" t="str">
        <f t="shared" si="36"/>
        <v/>
      </c>
      <c r="E325" t="str">
        <f t="shared" si="37"/>
        <v/>
      </c>
      <c r="F325" s="68" t="s">
        <v>4289</v>
      </c>
      <c r="G325">
        <f>'IPTV CA'!A316</f>
        <v>10915</v>
      </c>
      <c r="H325" t="str">
        <f>T('IPTV CA'!B316)</f>
        <v/>
      </c>
      <c r="I325" t="s">
        <v>4290</v>
      </c>
      <c r="J325" t="str">
        <f t="shared" si="38"/>
        <v/>
      </c>
      <c r="K325" t="str">
        <f t="shared" si="40"/>
        <v/>
      </c>
      <c r="L325" s="69"/>
      <c r="M325">
        <f>'TMIS US'!A316</f>
        <v>9085</v>
      </c>
      <c r="N325" t="str">
        <f>T('TMIS US'!B316)</f>
        <v>OUTtv Proud</v>
      </c>
      <c r="O325" t="s">
        <v>4288</v>
      </c>
      <c r="P325" t="str">
        <f t="shared" si="39"/>
        <v/>
      </c>
      <c r="Q325" t="str">
        <f t="shared" si="41"/>
        <v/>
      </c>
      <c r="R325" s="69"/>
      <c r="S325">
        <f>'TMIS CA'!A316</f>
        <v>9515</v>
      </c>
      <c r="T325" t="str">
        <f>T('TMIS CA'!B316)</f>
        <v/>
      </c>
      <c r="U325" t="s">
        <v>4290</v>
      </c>
      <c r="V325" t="str">
        <f t="shared" si="43"/>
        <v/>
      </c>
      <c r="W325" t="str">
        <f t="shared" si="42"/>
        <v/>
      </c>
    </row>
    <row r="326" spans="1:23">
      <c r="A326">
        <f>'IPTV US'!A317</f>
        <v>10486</v>
      </c>
      <c r="B326" t="str">
        <f>T('IPTV US'!B317)</f>
        <v>True History</v>
      </c>
      <c r="C326" t="s">
        <v>4288</v>
      </c>
      <c r="D326" t="str">
        <f t="shared" si="36"/>
        <v/>
      </c>
      <c r="E326" t="str">
        <f t="shared" si="37"/>
        <v/>
      </c>
      <c r="F326" s="68" t="s">
        <v>4289</v>
      </c>
      <c r="G326">
        <f>'IPTV CA'!A317</f>
        <v>10916</v>
      </c>
      <c r="H326" t="str">
        <f>T('IPTV CA'!B317)</f>
        <v>Funny Or Die, Inc.</v>
      </c>
      <c r="I326" t="s">
        <v>4288</v>
      </c>
      <c r="J326" t="str">
        <f t="shared" si="38"/>
        <v/>
      </c>
      <c r="K326" t="str">
        <f t="shared" si="40"/>
        <v/>
      </c>
      <c r="L326" s="69"/>
      <c r="M326">
        <f>'TMIS US'!A317</f>
        <v>9086</v>
      </c>
      <c r="N326" t="str">
        <f>T('TMIS US'!B317)</f>
        <v>True History</v>
      </c>
      <c r="O326" t="s">
        <v>4288</v>
      </c>
      <c r="P326" t="str">
        <f t="shared" si="39"/>
        <v/>
      </c>
      <c r="Q326" t="str">
        <f t="shared" si="41"/>
        <v/>
      </c>
      <c r="R326" s="69"/>
      <c r="S326">
        <f>'TMIS CA'!A317</f>
        <v>9516</v>
      </c>
      <c r="T326" t="str">
        <f>T('TMIS CA'!B317)</f>
        <v>Funny Or Die, Inc.</v>
      </c>
      <c r="U326" t="s">
        <v>4288</v>
      </c>
      <c r="V326" t="str">
        <f t="shared" si="43"/>
        <v/>
      </c>
      <c r="W326" t="str">
        <f t="shared" si="42"/>
        <v/>
      </c>
    </row>
    <row r="327" spans="1:23">
      <c r="A327">
        <f>'IPTV US'!A318</f>
        <v>10487</v>
      </c>
      <c r="B327" t="str">
        <f>T('IPTV US'!B318)</f>
        <v/>
      </c>
      <c r="C327" t="s">
        <v>4290</v>
      </c>
      <c r="D327" t="str">
        <f t="shared" si="36"/>
        <v/>
      </c>
      <c r="E327" t="str">
        <f t="shared" si="37"/>
        <v/>
      </c>
      <c r="F327" s="68" t="s">
        <v>4289</v>
      </c>
      <c r="G327">
        <f>'IPTV CA'!A318</f>
        <v>10917</v>
      </c>
      <c r="H327" t="str">
        <f>T('IPTV CA'!B318)</f>
        <v/>
      </c>
      <c r="I327" t="s">
        <v>4290</v>
      </c>
      <c r="J327" t="str">
        <f t="shared" si="38"/>
        <v/>
      </c>
      <c r="K327" t="str">
        <f t="shared" si="40"/>
        <v/>
      </c>
      <c r="L327" s="69"/>
      <c r="M327">
        <f>'TMIS US'!A318</f>
        <v>9087</v>
      </c>
      <c r="N327" t="str">
        <f>T('TMIS US'!B318)</f>
        <v/>
      </c>
      <c r="O327" t="s">
        <v>4290</v>
      </c>
      <c r="P327" t="str">
        <f t="shared" si="39"/>
        <v/>
      </c>
      <c r="Q327" t="str">
        <f t="shared" si="41"/>
        <v/>
      </c>
      <c r="R327" s="69"/>
      <c r="S327">
        <f>'TMIS CA'!A318</f>
        <v>9517</v>
      </c>
      <c r="T327" t="str">
        <f>T('TMIS CA'!B318)</f>
        <v/>
      </c>
      <c r="U327" t="s">
        <v>4290</v>
      </c>
      <c r="V327" t="str">
        <f t="shared" si="43"/>
        <v/>
      </c>
      <c r="W327" t="str">
        <f t="shared" si="42"/>
        <v/>
      </c>
    </row>
    <row r="328" spans="1:23">
      <c r="A328">
        <f>'IPTV US'!A319</f>
        <v>10488</v>
      </c>
      <c r="B328" t="str">
        <f>T('IPTV US'!B319)</f>
        <v/>
      </c>
      <c r="C328" t="s">
        <v>4290</v>
      </c>
      <c r="D328" t="str">
        <f t="shared" si="36"/>
        <v/>
      </c>
      <c r="E328" t="str">
        <f t="shared" si="37"/>
        <v/>
      </c>
      <c r="F328" s="68" t="s">
        <v>4289</v>
      </c>
      <c r="G328">
        <f>'IPTV CA'!A319</f>
        <v>10918</v>
      </c>
      <c r="H328" t="str">
        <f>T('IPTV CA'!B319)</f>
        <v/>
      </c>
      <c r="I328" t="s">
        <v>4290</v>
      </c>
      <c r="J328" t="str">
        <f t="shared" si="38"/>
        <v/>
      </c>
      <c r="K328" t="str">
        <f t="shared" si="40"/>
        <v/>
      </c>
      <c r="L328" s="69"/>
      <c r="M328">
        <f>'TMIS US'!A319</f>
        <v>9088</v>
      </c>
      <c r="N328" t="str">
        <f>T('TMIS US'!B319)</f>
        <v/>
      </c>
      <c r="O328" t="s">
        <v>4290</v>
      </c>
      <c r="P328" t="str">
        <f t="shared" si="39"/>
        <v/>
      </c>
      <c r="Q328" t="str">
        <f t="shared" si="41"/>
        <v/>
      </c>
      <c r="R328" s="69"/>
      <c r="S328">
        <f>'TMIS CA'!A319</f>
        <v>9518</v>
      </c>
      <c r="T328" t="str">
        <f>T('TMIS CA'!B319)</f>
        <v/>
      </c>
      <c r="U328" t="s">
        <v>4290</v>
      </c>
      <c r="V328" t="str">
        <f t="shared" si="43"/>
        <v/>
      </c>
      <c r="W328" t="str">
        <f t="shared" si="42"/>
        <v/>
      </c>
    </row>
    <row r="329" spans="1:23">
      <c r="A329">
        <f>'IPTV US'!A320</f>
        <v>10489</v>
      </c>
      <c r="B329" t="str">
        <f>T('IPTV US'!B320)</f>
        <v/>
      </c>
      <c r="C329" t="s">
        <v>4290</v>
      </c>
      <c r="D329" t="str">
        <f t="shared" si="36"/>
        <v/>
      </c>
      <c r="E329" t="str">
        <f t="shared" si="37"/>
        <v/>
      </c>
      <c r="F329" s="68" t="s">
        <v>4289</v>
      </c>
      <c r="G329">
        <f>'IPTV CA'!A320</f>
        <v>10919</v>
      </c>
      <c r="H329" t="str">
        <f>T('IPTV CA'!B320)</f>
        <v>Unspeakable</v>
      </c>
      <c r="I329" t="s">
        <v>4288</v>
      </c>
      <c r="J329" t="str">
        <f t="shared" si="38"/>
        <v/>
      </c>
      <c r="K329" t="str">
        <f t="shared" si="40"/>
        <v/>
      </c>
      <c r="L329" s="69"/>
      <c r="M329">
        <f>'TMIS US'!A320</f>
        <v>9089</v>
      </c>
      <c r="N329" t="str">
        <f>T('TMIS US'!B320)</f>
        <v/>
      </c>
      <c r="O329" t="s">
        <v>4290</v>
      </c>
      <c r="P329" t="str">
        <f t="shared" si="39"/>
        <v/>
      </c>
      <c r="Q329" t="str">
        <f t="shared" si="41"/>
        <v/>
      </c>
      <c r="R329" s="69"/>
      <c r="S329">
        <f>'TMIS CA'!A320</f>
        <v>9519</v>
      </c>
      <c r="T329" t="str">
        <f>T('TMIS CA'!B320)</f>
        <v>Unspeakable</v>
      </c>
      <c r="U329" t="s">
        <v>4288</v>
      </c>
      <c r="V329" t="str">
        <f t="shared" si="43"/>
        <v/>
      </c>
      <c r="W329" t="str">
        <f t="shared" si="42"/>
        <v/>
      </c>
    </row>
    <row r="330" spans="1:23">
      <c r="A330">
        <f>'IPTV US'!A321</f>
        <v>10490</v>
      </c>
      <c r="B330" t="str">
        <f>T('IPTV US'!B321)</f>
        <v>Untold Stories of the ER</v>
      </c>
      <c r="C330" t="s">
        <v>4288</v>
      </c>
      <c r="D330" t="str">
        <f t="shared" si="36"/>
        <v/>
      </c>
      <c r="E330" t="str">
        <f t="shared" si="37"/>
        <v/>
      </c>
      <c r="F330" s="68" t="s">
        <v>4289</v>
      </c>
      <c r="G330">
        <f>'IPTV CA'!A321</f>
        <v>10920</v>
      </c>
      <c r="H330" t="str">
        <f>T('IPTV CA'!B321)</f>
        <v>Creator Television</v>
      </c>
      <c r="I330" t="s">
        <v>4288</v>
      </c>
      <c r="J330" t="str">
        <f t="shared" si="38"/>
        <v/>
      </c>
      <c r="K330" t="str">
        <f t="shared" si="40"/>
        <v/>
      </c>
      <c r="L330" s="69"/>
      <c r="M330">
        <f>'TMIS US'!A321</f>
        <v>9090</v>
      </c>
      <c r="N330" t="str">
        <f>T('TMIS US'!B321)</f>
        <v>Untold Stories of the ER</v>
      </c>
      <c r="O330" t="s">
        <v>4288</v>
      </c>
      <c r="P330" t="str">
        <f t="shared" si="39"/>
        <v/>
      </c>
      <c r="Q330" t="str">
        <f t="shared" si="41"/>
        <v/>
      </c>
      <c r="R330" s="69"/>
      <c r="S330">
        <f>'TMIS CA'!A321</f>
        <v>9520</v>
      </c>
      <c r="T330" t="str">
        <f>T('TMIS CA'!B321)</f>
        <v>Creator Television</v>
      </c>
      <c r="U330" t="s">
        <v>4288</v>
      </c>
      <c r="V330" t="str">
        <f t="shared" si="43"/>
        <v/>
      </c>
      <c r="W330" t="str">
        <f t="shared" si="42"/>
        <v/>
      </c>
    </row>
    <row r="331" spans="1:23">
      <c r="A331">
        <f>'IPTV US'!A322</f>
        <v>10491</v>
      </c>
      <c r="B331" t="str">
        <f>T('IPTV US'!B322)</f>
        <v/>
      </c>
      <c r="C331" t="s">
        <v>4290</v>
      </c>
      <c r="D331" t="str">
        <f t="shared" ref="D331:D394" si="44">IF(C331="Active",IF(B331="","Please Notify - Channel Removed",""),"")</f>
        <v/>
      </c>
      <c r="E331" t="str">
        <f t="shared" ref="E331:E394" si="45">IF(C331="Vacant",IF(B331="","","Please Notify - Channel Added"),"")</f>
        <v/>
      </c>
      <c r="F331" s="68" t="s">
        <v>4289</v>
      </c>
      <c r="G331">
        <f>'IPTV CA'!A322</f>
        <v>10921</v>
      </c>
      <c r="H331" t="str">
        <f>T('IPTV CA'!B322)</f>
        <v>MST3K</v>
      </c>
      <c r="I331" t="s">
        <v>4288</v>
      </c>
      <c r="J331" t="str">
        <f t="shared" ref="J331:J394" si="46">IF(I331="Active",IF(H331="","Please Notify - Channel Removed",""),"")</f>
        <v/>
      </c>
      <c r="K331" t="str">
        <f t="shared" si="40"/>
        <v/>
      </c>
      <c r="L331" s="69"/>
      <c r="M331">
        <f>'TMIS US'!A322</f>
        <v>9091</v>
      </c>
      <c r="N331" t="str">
        <f>T('TMIS US'!B322)</f>
        <v/>
      </c>
      <c r="O331" t="s">
        <v>4290</v>
      </c>
      <c r="P331" t="str">
        <f t="shared" ref="P331:P394" si="47">IF(O331="Active",IF(N331="","Please Notify - Channel Removed",""),"")</f>
        <v/>
      </c>
      <c r="Q331" t="str">
        <f t="shared" si="41"/>
        <v/>
      </c>
      <c r="R331" s="69"/>
      <c r="S331">
        <f>'TMIS CA'!A322</f>
        <v>9521</v>
      </c>
      <c r="T331" t="str">
        <f>T('TMIS CA'!B322)</f>
        <v>MST3K</v>
      </c>
      <c r="U331" t="s">
        <v>4288</v>
      </c>
      <c r="V331" t="str">
        <f t="shared" si="43"/>
        <v/>
      </c>
      <c r="W331" t="str">
        <f t="shared" si="42"/>
        <v/>
      </c>
    </row>
    <row r="332" spans="1:23">
      <c r="A332">
        <f>'IPTV US'!A323</f>
        <v>10492</v>
      </c>
      <c r="B332" t="str">
        <f>T('IPTV US'!B323)</f>
        <v>Cheaters</v>
      </c>
      <c r="C332" t="s">
        <v>4288</v>
      </c>
      <c r="D332" t="str">
        <f t="shared" si="44"/>
        <v/>
      </c>
      <c r="E332" t="str">
        <f t="shared" si="45"/>
        <v/>
      </c>
      <c r="F332" s="68" t="s">
        <v>4289</v>
      </c>
      <c r="G332">
        <f>'IPTV CA'!A323</f>
        <v>10922</v>
      </c>
      <c r="H332" t="str">
        <f>T('IPTV CA'!B323)</f>
        <v>Mythical 24/7</v>
      </c>
      <c r="I332" t="s">
        <v>4288</v>
      </c>
      <c r="J332" t="str">
        <f t="shared" si="46"/>
        <v/>
      </c>
      <c r="K332" t="str">
        <f t="shared" ref="K332:K395" si="48">IF(I332="Vacant",IF(H332="","","Please Notify - Channel Added"),"")</f>
        <v/>
      </c>
      <c r="L332" s="69"/>
      <c r="M332">
        <f>'TMIS US'!A323</f>
        <v>9092</v>
      </c>
      <c r="N332" t="str">
        <f>T('TMIS US'!B323)</f>
        <v>Cheaters</v>
      </c>
      <c r="O332" t="s">
        <v>4288</v>
      </c>
      <c r="P332" t="str">
        <f t="shared" si="47"/>
        <v/>
      </c>
      <c r="Q332" t="str">
        <f t="shared" ref="Q332:Q395" si="49">IF(O332="Vacant",IF(N332="","","Please Notify - Channel Added"),"")</f>
        <v/>
      </c>
      <c r="R332" s="69"/>
      <c r="S332">
        <f>'TMIS CA'!A323</f>
        <v>9522</v>
      </c>
      <c r="T332" t="str">
        <f>T('TMIS CA'!B323)</f>
        <v>Mythical 24/7</v>
      </c>
      <c r="U332" t="s">
        <v>4288</v>
      </c>
      <c r="V332" t="str">
        <f t="shared" si="43"/>
        <v/>
      </c>
      <c r="W332" t="str">
        <f t="shared" ref="W332:W395" si="50">IF(U332="Vacant",IF(T332="","","Please Notify - Channel Added"),"")</f>
        <v/>
      </c>
    </row>
    <row r="333" spans="1:23">
      <c r="A333">
        <f>'IPTV US'!A324</f>
        <v>10493</v>
      </c>
      <c r="B333" t="str">
        <f>T('IPTV US'!B324)</f>
        <v/>
      </c>
      <c r="C333" t="s">
        <v>4290</v>
      </c>
      <c r="D333" t="str">
        <f t="shared" si="44"/>
        <v/>
      </c>
      <c r="E333" t="str">
        <f t="shared" si="45"/>
        <v/>
      </c>
      <c r="F333" s="68" t="s">
        <v>4289</v>
      </c>
      <c r="G333">
        <f>'IPTV CA'!A324</f>
        <v>10923</v>
      </c>
      <c r="H333" t="str">
        <f>T('IPTV CA'!B324)</f>
        <v/>
      </c>
      <c r="I333" t="s">
        <v>4290</v>
      </c>
      <c r="J333" t="str">
        <f t="shared" si="46"/>
        <v/>
      </c>
      <c r="K333" t="str">
        <f t="shared" si="48"/>
        <v/>
      </c>
      <c r="L333" s="69"/>
      <c r="M333">
        <f>'TMIS US'!A324</f>
        <v>9093</v>
      </c>
      <c r="N333" t="str">
        <f>T('TMIS US'!B324)</f>
        <v/>
      </c>
      <c r="O333" t="s">
        <v>4290</v>
      </c>
      <c r="P333" t="str">
        <f t="shared" si="47"/>
        <v/>
      </c>
      <c r="Q333" t="str">
        <f t="shared" si="49"/>
        <v/>
      </c>
      <c r="R333" s="69"/>
      <c r="S333">
        <f>'TMIS CA'!A324</f>
        <v>9523</v>
      </c>
      <c r="T333" t="str">
        <f>T('TMIS CA'!B324)</f>
        <v/>
      </c>
      <c r="U333" t="s">
        <v>4290</v>
      </c>
      <c r="V333" t="str">
        <f t="shared" si="43"/>
        <v/>
      </c>
      <c r="W333" t="str">
        <f t="shared" si="50"/>
        <v/>
      </c>
    </row>
    <row r="334" spans="1:23">
      <c r="A334">
        <f>'IPTV US'!A325</f>
        <v>10494</v>
      </c>
      <c r="B334" t="str">
        <f>T('IPTV US'!B325)</f>
        <v>FailArmy</v>
      </c>
      <c r="C334" t="s">
        <v>4288</v>
      </c>
      <c r="D334" t="str">
        <f t="shared" si="44"/>
        <v/>
      </c>
      <c r="E334" t="str">
        <f t="shared" si="45"/>
        <v/>
      </c>
      <c r="F334" s="68" t="s">
        <v>4289</v>
      </c>
      <c r="G334">
        <f>'IPTV CA'!A325</f>
        <v>10924</v>
      </c>
      <c r="H334" t="str">
        <f>T('IPTV CA'!B325)</f>
        <v/>
      </c>
      <c r="I334" t="s">
        <v>4290</v>
      </c>
      <c r="J334" t="str">
        <f t="shared" si="46"/>
        <v/>
      </c>
      <c r="K334" t="str">
        <f t="shared" si="48"/>
        <v/>
      </c>
      <c r="L334" s="69"/>
      <c r="M334">
        <f>'TMIS US'!A325</f>
        <v>9094</v>
      </c>
      <c r="N334" t="str">
        <f>T('TMIS US'!B325)</f>
        <v>FailArmy</v>
      </c>
      <c r="O334" t="s">
        <v>4288</v>
      </c>
      <c r="P334" t="str">
        <f t="shared" si="47"/>
        <v/>
      </c>
      <c r="Q334" t="str">
        <f t="shared" si="49"/>
        <v/>
      </c>
      <c r="R334" s="69"/>
      <c r="S334">
        <f>'TMIS CA'!A325</f>
        <v>9524</v>
      </c>
      <c r="T334" t="str">
        <f>T('TMIS CA'!B325)</f>
        <v/>
      </c>
      <c r="U334" t="s">
        <v>4290</v>
      </c>
      <c r="V334" t="str">
        <f t="shared" ref="V334:V397" si="51">IF(U334="Active",IF(T334="","Please Notify - Channel Removed",""),"")</f>
        <v/>
      </c>
      <c r="W334" t="str">
        <f t="shared" si="50"/>
        <v/>
      </c>
    </row>
    <row r="335" spans="1:23">
      <c r="A335">
        <f>'IPTV US'!A326</f>
        <v>10495</v>
      </c>
      <c r="B335" t="str">
        <f>T('IPTV US'!B326)</f>
        <v>Just for Laughs &amp; Gags</v>
      </c>
      <c r="C335" t="s">
        <v>4288</v>
      </c>
      <c r="D335" t="str">
        <f t="shared" si="44"/>
        <v/>
      </c>
      <c r="E335" t="str">
        <f t="shared" si="45"/>
        <v/>
      </c>
      <c r="F335" s="68" t="s">
        <v>4289</v>
      </c>
      <c r="G335">
        <f>'IPTV CA'!A326</f>
        <v>10925</v>
      </c>
      <c r="H335" t="str">
        <f>T('IPTV CA'!B326)</f>
        <v/>
      </c>
      <c r="I335" t="s">
        <v>4290</v>
      </c>
      <c r="J335" t="str">
        <f t="shared" si="46"/>
        <v/>
      </c>
      <c r="K335" t="str">
        <f t="shared" si="48"/>
        <v/>
      </c>
      <c r="L335" s="69"/>
      <c r="M335">
        <f>'TMIS US'!A326</f>
        <v>9095</v>
      </c>
      <c r="N335" t="str">
        <f>T('TMIS US'!B326)</f>
        <v>Just for Laughs &amp; Gags</v>
      </c>
      <c r="O335" t="s">
        <v>4288</v>
      </c>
      <c r="P335" t="str">
        <f t="shared" si="47"/>
        <v/>
      </c>
      <c r="Q335" t="str">
        <f t="shared" si="49"/>
        <v/>
      </c>
      <c r="R335" s="69"/>
      <c r="S335">
        <f>'TMIS CA'!A326</f>
        <v>9525</v>
      </c>
      <c r="T335" t="str">
        <f>T('TMIS CA'!B326)</f>
        <v/>
      </c>
      <c r="U335" t="s">
        <v>4290</v>
      </c>
      <c r="V335" t="str">
        <f t="shared" si="51"/>
        <v/>
      </c>
      <c r="W335" t="str">
        <f t="shared" si="50"/>
        <v/>
      </c>
    </row>
    <row r="336" spans="1:23">
      <c r="A336">
        <f>'IPTV US'!A327</f>
        <v>10496</v>
      </c>
      <c r="B336" t="str">
        <f>T('IPTV US'!B327)</f>
        <v/>
      </c>
      <c r="C336" t="s">
        <v>4290</v>
      </c>
      <c r="D336" t="str">
        <f t="shared" si="44"/>
        <v/>
      </c>
      <c r="E336" t="str">
        <f t="shared" si="45"/>
        <v/>
      </c>
      <c r="F336" s="68" t="s">
        <v>4289</v>
      </c>
      <c r="G336">
        <f>'IPTV CA'!A327</f>
        <v>10926</v>
      </c>
      <c r="H336" t="str">
        <f>T('IPTV CA'!B327)</f>
        <v/>
      </c>
      <c r="I336" t="s">
        <v>4290</v>
      </c>
      <c r="J336" t="str">
        <f t="shared" si="46"/>
        <v/>
      </c>
      <c r="K336" t="str">
        <f t="shared" si="48"/>
        <v/>
      </c>
      <c r="L336" s="69"/>
      <c r="M336">
        <f>'TMIS US'!A327</f>
        <v>9096</v>
      </c>
      <c r="N336" t="str">
        <f>T('TMIS US'!B327)</f>
        <v/>
      </c>
      <c r="O336" t="s">
        <v>4290</v>
      </c>
      <c r="P336" t="str">
        <f t="shared" si="47"/>
        <v/>
      </c>
      <c r="Q336" t="str">
        <f t="shared" si="49"/>
        <v/>
      </c>
      <c r="R336" s="69"/>
      <c r="S336">
        <f>'TMIS CA'!A327</f>
        <v>9526</v>
      </c>
      <c r="T336" t="str">
        <f>T('TMIS CA'!B327)</f>
        <v/>
      </c>
      <c r="U336" t="s">
        <v>4290</v>
      </c>
      <c r="V336" t="str">
        <f t="shared" si="51"/>
        <v/>
      </c>
      <c r="W336" t="str">
        <f t="shared" si="50"/>
        <v/>
      </c>
    </row>
    <row r="337" spans="1:23">
      <c r="A337">
        <f>'IPTV US'!A328</f>
        <v>10497</v>
      </c>
      <c r="B337" t="str">
        <f>T('IPTV US'!B328)</f>
        <v/>
      </c>
      <c r="C337" t="s">
        <v>4290</v>
      </c>
      <c r="D337" t="str">
        <f t="shared" si="44"/>
        <v/>
      </c>
      <c r="E337" t="str">
        <f t="shared" si="45"/>
        <v/>
      </c>
      <c r="F337" s="68" t="s">
        <v>4289</v>
      </c>
      <c r="G337">
        <f>'IPTV CA'!A328</f>
        <v>10927</v>
      </c>
      <c r="H337" t="str">
        <f>T('IPTV CA'!B328)</f>
        <v>Dr. Phil</v>
      </c>
      <c r="I337" t="s">
        <v>4288</v>
      </c>
      <c r="J337" t="str">
        <f t="shared" si="46"/>
        <v/>
      </c>
      <c r="K337" t="str">
        <f t="shared" si="48"/>
        <v/>
      </c>
      <c r="L337" s="69"/>
      <c r="M337">
        <f>'TMIS US'!A328</f>
        <v>9097</v>
      </c>
      <c r="N337" t="str">
        <f>T('TMIS US'!B328)</f>
        <v/>
      </c>
      <c r="O337" t="s">
        <v>4290</v>
      </c>
      <c r="P337" t="str">
        <f t="shared" si="47"/>
        <v/>
      </c>
      <c r="Q337" t="str">
        <f t="shared" si="49"/>
        <v/>
      </c>
      <c r="R337" s="69"/>
      <c r="S337">
        <f>'TMIS CA'!A328</f>
        <v>9527</v>
      </c>
      <c r="T337" t="str">
        <f>T('TMIS CA'!B328)</f>
        <v>Dr. Phil</v>
      </c>
      <c r="U337" t="s">
        <v>4288</v>
      </c>
      <c r="V337" t="str">
        <f t="shared" si="51"/>
        <v/>
      </c>
      <c r="W337" t="str">
        <f t="shared" si="50"/>
        <v/>
      </c>
    </row>
    <row r="338" spans="1:23">
      <c r="A338">
        <f>'IPTV US'!A329</f>
        <v>10498</v>
      </c>
      <c r="B338" t="str">
        <f>T('IPTV US'!B329)</f>
        <v/>
      </c>
      <c r="C338" t="s">
        <v>4290</v>
      </c>
      <c r="D338" t="str">
        <f t="shared" si="44"/>
        <v/>
      </c>
      <c r="E338" t="str">
        <f t="shared" si="45"/>
        <v/>
      </c>
      <c r="F338" s="68" t="s">
        <v>4289</v>
      </c>
      <c r="G338">
        <f>'IPTV CA'!A329</f>
        <v>10928</v>
      </c>
      <c r="H338" t="str">
        <f>T('IPTV CA'!B329)</f>
        <v/>
      </c>
      <c r="I338" t="s">
        <v>4290</v>
      </c>
      <c r="J338" t="str">
        <f t="shared" si="46"/>
        <v/>
      </c>
      <c r="K338" t="str">
        <f t="shared" si="48"/>
        <v/>
      </c>
      <c r="L338" s="69"/>
      <c r="M338">
        <f>'TMIS US'!A329</f>
        <v>9098</v>
      </c>
      <c r="N338" t="str">
        <f>T('TMIS US'!B329)</f>
        <v/>
      </c>
      <c r="O338" t="s">
        <v>4290</v>
      </c>
      <c r="P338" t="str">
        <f t="shared" si="47"/>
        <v/>
      </c>
      <c r="Q338" t="str">
        <f t="shared" si="49"/>
        <v/>
      </c>
      <c r="R338" s="69"/>
      <c r="S338">
        <f>'TMIS CA'!A329</f>
        <v>9528</v>
      </c>
      <c r="T338" t="str">
        <f>T('TMIS CA'!B329)</f>
        <v/>
      </c>
      <c r="U338" t="s">
        <v>4290</v>
      </c>
      <c r="V338" t="str">
        <f t="shared" si="51"/>
        <v/>
      </c>
      <c r="W338" t="str">
        <f t="shared" si="50"/>
        <v/>
      </c>
    </row>
    <row r="339" spans="1:23">
      <c r="A339">
        <f>'IPTV US'!A330</f>
        <v>10499</v>
      </c>
      <c r="B339" t="str">
        <f>T('IPTV US'!B330)</f>
        <v/>
      </c>
      <c r="C339" t="s">
        <v>4290</v>
      </c>
      <c r="D339" t="str">
        <f t="shared" si="44"/>
        <v/>
      </c>
      <c r="E339" t="str">
        <f t="shared" si="45"/>
        <v/>
      </c>
      <c r="F339" s="68" t="s">
        <v>4289</v>
      </c>
      <c r="G339">
        <f>'IPTV CA'!A330</f>
        <v>10929</v>
      </c>
      <c r="H339" t="str">
        <f>T('IPTV CA'!B330)</f>
        <v/>
      </c>
      <c r="I339" t="s">
        <v>4290</v>
      </c>
      <c r="J339" t="str">
        <f t="shared" si="46"/>
        <v/>
      </c>
      <c r="K339" t="str">
        <f t="shared" si="48"/>
        <v/>
      </c>
      <c r="L339" s="69"/>
      <c r="M339">
        <f>'TMIS US'!A330</f>
        <v>9099</v>
      </c>
      <c r="N339" t="str">
        <f>T('TMIS US'!B330)</f>
        <v/>
      </c>
      <c r="O339" t="s">
        <v>4290</v>
      </c>
      <c r="P339" t="str">
        <f t="shared" si="47"/>
        <v/>
      </c>
      <c r="Q339" t="str">
        <f t="shared" si="49"/>
        <v/>
      </c>
      <c r="R339" s="69"/>
      <c r="S339">
        <f>'TMIS CA'!A330</f>
        <v>9529</v>
      </c>
      <c r="T339" t="str">
        <f>T('TMIS CA'!B330)</f>
        <v/>
      </c>
      <c r="U339" t="s">
        <v>4290</v>
      </c>
      <c r="V339" t="str">
        <f t="shared" si="51"/>
        <v/>
      </c>
      <c r="W339" t="str">
        <f t="shared" si="50"/>
        <v/>
      </c>
    </row>
    <row r="340" spans="1:23">
      <c r="A340">
        <f>'IPTV US'!A331</f>
        <v>10500</v>
      </c>
      <c r="B340" t="str">
        <f>T('IPTV US'!B331)</f>
        <v/>
      </c>
      <c r="C340" t="s">
        <v>4290</v>
      </c>
      <c r="D340" t="str">
        <f t="shared" si="44"/>
        <v/>
      </c>
      <c r="E340" t="str">
        <f t="shared" si="45"/>
        <v/>
      </c>
      <c r="F340" s="68" t="s">
        <v>4289</v>
      </c>
      <c r="G340">
        <f>'IPTV CA'!A331</f>
        <v>10930</v>
      </c>
      <c r="H340" t="str">
        <f>T('IPTV CA'!B331)</f>
        <v>Nosey</v>
      </c>
      <c r="I340" t="s">
        <v>4288</v>
      </c>
      <c r="J340" t="str">
        <f t="shared" si="46"/>
        <v/>
      </c>
      <c r="K340" t="str">
        <f t="shared" si="48"/>
        <v/>
      </c>
      <c r="L340" s="69"/>
      <c r="M340">
        <f>'TMIS US'!A331</f>
        <v>9100</v>
      </c>
      <c r="N340" t="str">
        <f>T('TMIS US'!B331)</f>
        <v/>
      </c>
      <c r="O340" t="s">
        <v>4290</v>
      </c>
      <c r="P340" t="str">
        <f t="shared" si="47"/>
        <v/>
      </c>
      <c r="Q340" t="str">
        <f t="shared" si="49"/>
        <v/>
      </c>
      <c r="R340" s="69"/>
      <c r="S340">
        <f>'TMIS CA'!A331</f>
        <v>9530</v>
      </c>
      <c r="T340" t="str">
        <f>T('TMIS CA'!B331)</f>
        <v>Nosey</v>
      </c>
      <c r="U340" t="s">
        <v>4288</v>
      </c>
      <c r="V340" t="str">
        <f t="shared" si="51"/>
        <v/>
      </c>
      <c r="W340" t="str">
        <f t="shared" si="50"/>
        <v/>
      </c>
    </row>
    <row r="341" spans="1:23">
      <c r="A341">
        <f>'IPTV US'!A332</f>
        <v>10501</v>
      </c>
      <c r="B341" t="str">
        <f>T('IPTV US'!B332)</f>
        <v/>
      </c>
      <c r="C341" t="s">
        <v>4290</v>
      </c>
      <c r="D341" t="str">
        <f t="shared" si="44"/>
        <v/>
      </c>
      <c r="E341" t="str">
        <f t="shared" si="45"/>
        <v/>
      </c>
      <c r="F341" s="68" t="s">
        <v>4289</v>
      </c>
      <c r="G341">
        <f>'IPTV CA'!A332</f>
        <v>10931</v>
      </c>
      <c r="H341" t="str">
        <f>T('IPTV CA'!B332)</f>
        <v>Judge Nosey</v>
      </c>
      <c r="I341" t="s">
        <v>4288</v>
      </c>
      <c r="J341" t="str">
        <f t="shared" si="46"/>
        <v/>
      </c>
      <c r="K341" t="str">
        <f t="shared" si="48"/>
        <v/>
      </c>
      <c r="L341" s="69"/>
      <c r="M341">
        <f>'TMIS US'!A332</f>
        <v>9101</v>
      </c>
      <c r="N341" t="str">
        <f>T('TMIS US'!B332)</f>
        <v/>
      </c>
      <c r="O341" t="s">
        <v>4290</v>
      </c>
      <c r="P341" t="str">
        <f t="shared" si="47"/>
        <v/>
      </c>
      <c r="Q341" t="str">
        <f t="shared" si="49"/>
        <v/>
      </c>
      <c r="R341" s="69"/>
      <c r="S341">
        <f>'TMIS CA'!A332</f>
        <v>9531</v>
      </c>
      <c r="T341" t="str">
        <f>T('TMIS CA'!B332)</f>
        <v>Judge Nosey</v>
      </c>
      <c r="U341" t="s">
        <v>4288</v>
      </c>
      <c r="V341" t="str">
        <f t="shared" si="51"/>
        <v/>
      </c>
      <c r="W341" t="str">
        <f t="shared" si="50"/>
        <v/>
      </c>
    </row>
    <row r="342" spans="1:23">
      <c r="A342">
        <f>'IPTV US'!A333</f>
        <v>10502</v>
      </c>
      <c r="B342" t="str">
        <f>T('IPTV US'!B333)</f>
        <v>The Pet Collective</v>
      </c>
      <c r="C342" t="s">
        <v>4288</v>
      </c>
      <c r="D342" t="str">
        <f t="shared" si="44"/>
        <v/>
      </c>
      <c r="E342" t="str">
        <f t="shared" si="45"/>
        <v/>
      </c>
      <c r="F342" s="68" t="s">
        <v>4289</v>
      </c>
      <c r="G342">
        <f>'IPTV CA'!A333</f>
        <v>10932</v>
      </c>
      <c r="H342" t="str">
        <f>T('IPTV CA'!B333)</f>
        <v>Judge Faith</v>
      </c>
      <c r="I342" t="s">
        <v>4288</v>
      </c>
      <c r="J342" t="str">
        <f t="shared" si="46"/>
        <v/>
      </c>
      <c r="K342" t="str">
        <f t="shared" si="48"/>
        <v/>
      </c>
      <c r="L342" s="69"/>
      <c r="M342">
        <f>'TMIS US'!A333</f>
        <v>9102</v>
      </c>
      <c r="N342" t="str">
        <f>T('TMIS US'!B333)</f>
        <v>The Pet Collective</v>
      </c>
      <c r="O342" t="s">
        <v>4288</v>
      </c>
      <c r="P342" t="str">
        <f t="shared" si="47"/>
        <v/>
      </c>
      <c r="Q342" t="str">
        <f t="shared" si="49"/>
        <v/>
      </c>
      <c r="R342" s="69"/>
      <c r="S342">
        <f>'TMIS CA'!A333</f>
        <v>9532</v>
      </c>
      <c r="T342" t="str">
        <f>T('TMIS CA'!B333)</f>
        <v>Judge Faith</v>
      </c>
      <c r="U342" t="s">
        <v>4288</v>
      </c>
      <c r="V342" t="str">
        <f t="shared" si="51"/>
        <v/>
      </c>
      <c r="W342" t="str">
        <f t="shared" si="50"/>
        <v/>
      </c>
    </row>
    <row r="343" spans="1:23">
      <c r="A343">
        <f>'IPTV US'!A334</f>
        <v>10503</v>
      </c>
      <c r="B343" t="str">
        <f>T('IPTV US'!B334)</f>
        <v>People Are Awesome</v>
      </c>
      <c r="C343" t="s">
        <v>4288</v>
      </c>
      <c r="D343" t="str">
        <f t="shared" si="44"/>
        <v/>
      </c>
      <c r="E343" t="str">
        <f t="shared" si="45"/>
        <v/>
      </c>
      <c r="F343" s="68" t="s">
        <v>4289</v>
      </c>
      <c r="G343">
        <f>'IPTV CA'!A334</f>
        <v>10933</v>
      </c>
      <c r="H343" t="str">
        <f>T('IPTV CA'!B334)</f>
        <v/>
      </c>
      <c r="I343" t="s">
        <v>4290</v>
      </c>
      <c r="J343" t="str">
        <f t="shared" si="46"/>
        <v/>
      </c>
      <c r="K343" t="str">
        <f t="shared" si="48"/>
        <v/>
      </c>
      <c r="L343" s="69"/>
      <c r="M343">
        <f>'TMIS US'!A334</f>
        <v>9103</v>
      </c>
      <c r="N343" t="str">
        <f>T('TMIS US'!B334)</f>
        <v>People Are Awesome</v>
      </c>
      <c r="O343" t="s">
        <v>4288</v>
      </c>
      <c r="P343" t="str">
        <f t="shared" si="47"/>
        <v/>
      </c>
      <c r="Q343" t="str">
        <f t="shared" si="49"/>
        <v/>
      </c>
      <c r="R343" s="69"/>
      <c r="S343">
        <f>'TMIS CA'!A334</f>
        <v>9533</v>
      </c>
      <c r="T343" t="str">
        <f>T('TMIS CA'!B334)</f>
        <v/>
      </c>
      <c r="U343" t="s">
        <v>4290</v>
      </c>
      <c r="V343" t="str">
        <f t="shared" si="51"/>
        <v/>
      </c>
      <c r="W343" t="str">
        <f t="shared" si="50"/>
        <v/>
      </c>
    </row>
    <row r="344" spans="1:23">
      <c r="A344">
        <f>'IPTV US'!A335</f>
        <v>10504</v>
      </c>
      <c r="B344" t="str">
        <f>T('IPTV US'!B335)</f>
        <v/>
      </c>
      <c r="C344" t="s">
        <v>4290</v>
      </c>
      <c r="D344" t="str">
        <f t="shared" si="44"/>
        <v/>
      </c>
      <c r="E344" t="str">
        <f t="shared" si="45"/>
        <v/>
      </c>
      <c r="F344" s="68" t="s">
        <v>4289</v>
      </c>
      <c r="G344">
        <f>'IPTV CA'!A335</f>
        <v>10934</v>
      </c>
      <c r="H344" t="str">
        <f>T('IPTV CA'!B335)</f>
        <v/>
      </c>
      <c r="I344" t="s">
        <v>4290</v>
      </c>
      <c r="J344" t="str">
        <f t="shared" si="46"/>
        <v/>
      </c>
      <c r="K344" t="str">
        <f t="shared" si="48"/>
        <v/>
      </c>
      <c r="L344" s="69"/>
      <c r="M344">
        <f>'TMIS US'!A335</f>
        <v>9104</v>
      </c>
      <c r="N344" t="str">
        <f>T('TMIS US'!B335)</f>
        <v/>
      </c>
      <c r="O344" t="s">
        <v>4290</v>
      </c>
      <c r="P344" t="str">
        <f t="shared" si="47"/>
        <v/>
      </c>
      <c r="Q344" t="str">
        <f t="shared" si="49"/>
        <v/>
      </c>
      <c r="R344" s="69"/>
      <c r="S344">
        <f>'TMIS CA'!A335</f>
        <v>9534</v>
      </c>
      <c r="T344" t="str">
        <f>T('TMIS CA'!B335)</f>
        <v/>
      </c>
      <c r="U344" t="s">
        <v>4290</v>
      </c>
      <c r="V344" t="str">
        <f t="shared" si="51"/>
        <v/>
      </c>
      <c r="W344" t="str">
        <f t="shared" si="50"/>
        <v/>
      </c>
    </row>
    <row r="345" spans="1:23">
      <c r="A345">
        <f>'IPTV US'!A336</f>
        <v>10505</v>
      </c>
      <c r="B345" t="str">
        <f>T('IPTV US'!B336)</f>
        <v/>
      </c>
      <c r="C345" t="s">
        <v>4290</v>
      </c>
      <c r="D345" t="str">
        <f t="shared" si="44"/>
        <v/>
      </c>
      <c r="E345" t="str">
        <f t="shared" si="45"/>
        <v/>
      </c>
      <c r="F345" s="68" t="s">
        <v>4289</v>
      </c>
      <c r="G345">
        <f>'IPTV CA'!A336</f>
        <v>10935</v>
      </c>
      <c r="H345" t="str">
        <f>T('IPTV CA'!B336)</f>
        <v/>
      </c>
      <c r="I345" t="s">
        <v>4290</v>
      </c>
      <c r="J345" t="str">
        <f t="shared" si="46"/>
        <v/>
      </c>
      <c r="K345" t="str">
        <f t="shared" si="48"/>
        <v/>
      </c>
      <c r="L345" s="69"/>
      <c r="M345">
        <f>'TMIS US'!A336</f>
        <v>9105</v>
      </c>
      <c r="N345" t="str">
        <f>T('TMIS US'!B336)</f>
        <v/>
      </c>
      <c r="O345" t="s">
        <v>4290</v>
      </c>
      <c r="P345" t="str">
        <f t="shared" si="47"/>
        <v/>
      </c>
      <c r="Q345" t="str">
        <f t="shared" si="49"/>
        <v/>
      </c>
      <c r="R345" s="69"/>
      <c r="S345">
        <f>'TMIS CA'!A336</f>
        <v>9535</v>
      </c>
      <c r="T345" t="str">
        <f>T('TMIS CA'!B336)</f>
        <v/>
      </c>
      <c r="U345" t="s">
        <v>4290</v>
      </c>
      <c r="V345" t="str">
        <f t="shared" si="51"/>
        <v/>
      </c>
      <c r="W345" t="str">
        <f t="shared" si="50"/>
        <v/>
      </c>
    </row>
    <row r="346" spans="1:23">
      <c r="A346">
        <f>'IPTV US'!A337</f>
        <v>10506</v>
      </c>
      <c r="B346" t="str">
        <f>T('IPTV US'!B337)</f>
        <v>Supermarket Sweep</v>
      </c>
      <c r="C346" t="s">
        <v>4288</v>
      </c>
      <c r="D346" t="str">
        <f t="shared" si="44"/>
        <v/>
      </c>
      <c r="E346" t="str">
        <f t="shared" si="45"/>
        <v/>
      </c>
      <c r="F346" s="68" t="s">
        <v>4289</v>
      </c>
      <c r="G346">
        <f>'IPTV CA'!A337</f>
        <v>10936</v>
      </c>
      <c r="H346" t="str">
        <f>T('IPTV CA'!B337)</f>
        <v/>
      </c>
      <c r="I346" t="s">
        <v>4290</v>
      </c>
      <c r="J346" t="str">
        <f t="shared" si="46"/>
        <v/>
      </c>
      <c r="K346" t="str">
        <f t="shared" si="48"/>
        <v/>
      </c>
      <c r="L346" s="69"/>
      <c r="M346">
        <f>'TMIS US'!A337</f>
        <v>9106</v>
      </c>
      <c r="N346" t="str">
        <f>T('TMIS US'!B337)</f>
        <v>Supermarket Sweep</v>
      </c>
      <c r="O346" t="s">
        <v>4288</v>
      </c>
      <c r="P346" t="str">
        <f t="shared" si="47"/>
        <v/>
      </c>
      <c r="Q346" t="str">
        <f t="shared" si="49"/>
        <v/>
      </c>
      <c r="R346" s="69"/>
      <c r="S346">
        <f>'TMIS CA'!A337</f>
        <v>9536</v>
      </c>
      <c r="T346" t="str">
        <f>T('TMIS CA'!B337)</f>
        <v/>
      </c>
      <c r="U346" t="s">
        <v>4290</v>
      </c>
      <c r="V346" t="str">
        <f t="shared" si="51"/>
        <v/>
      </c>
      <c r="W346" t="str">
        <f t="shared" si="50"/>
        <v/>
      </c>
    </row>
    <row r="347" spans="1:23">
      <c r="A347">
        <f>'IPTV US'!A338</f>
        <v>10507</v>
      </c>
      <c r="B347" t="str">
        <f>T('IPTV US'!B338)</f>
        <v/>
      </c>
      <c r="C347" t="s">
        <v>4290</v>
      </c>
      <c r="D347" t="str">
        <f t="shared" si="44"/>
        <v/>
      </c>
      <c r="E347" t="str">
        <f t="shared" si="45"/>
        <v/>
      </c>
      <c r="F347" s="68" t="s">
        <v>4289</v>
      </c>
      <c r="G347">
        <f>'IPTV CA'!A338</f>
        <v>10937</v>
      </c>
      <c r="H347" t="str">
        <f>T('IPTV CA'!B338)</f>
        <v>Intervention</v>
      </c>
      <c r="I347" t="s">
        <v>4288</v>
      </c>
      <c r="J347" t="str">
        <f t="shared" si="46"/>
        <v/>
      </c>
      <c r="K347" t="str">
        <f t="shared" si="48"/>
        <v/>
      </c>
      <c r="L347" s="69"/>
      <c r="M347">
        <f>'TMIS US'!A338</f>
        <v>9107</v>
      </c>
      <c r="N347" t="str">
        <f>T('TMIS US'!B338)</f>
        <v/>
      </c>
      <c r="O347" t="s">
        <v>4290</v>
      </c>
      <c r="P347" t="str">
        <f t="shared" si="47"/>
        <v/>
      </c>
      <c r="Q347" t="str">
        <f t="shared" si="49"/>
        <v/>
      </c>
      <c r="R347" s="69"/>
      <c r="S347">
        <f>'TMIS CA'!A338</f>
        <v>9537</v>
      </c>
      <c r="T347" t="str">
        <f>T('TMIS CA'!B338)</f>
        <v>Intervention</v>
      </c>
      <c r="U347" t="s">
        <v>4288</v>
      </c>
      <c r="V347" t="str">
        <f t="shared" si="51"/>
        <v/>
      </c>
      <c r="W347" t="str">
        <f t="shared" si="50"/>
        <v/>
      </c>
    </row>
    <row r="348" spans="1:23">
      <c r="A348">
        <f>'IPTV US'!A339</f>
        <v>10508</v>
      </c>
      <c r="B348" t="str">
        <f>T('IPTV US'!B339)</f>
        <v/>
      </c>
      <c r="C348" t="s">
        <v>4290</v>
      </c>
      <c r="D348" t="str">
        <f t="shared" si="44"/>
        <v/>
      </c>
      <c r="E348" t="str">
        <f t="shared" si="45"/>
        <v/>
      </c>
      <c r="F348" s="68" t="s">
        <v>4289</v>
      </c>
      <c r="G348">
        <f>'IPTV CA'!A339</f>
        <v>10938</v>
      </c>
      <c r="H348" t="str">
        <f>T('IPTV CA'!B339)</f>
        <v/>
      </c>
      <c r="I348" t="s">
        <v>4290</v>
      </c>
      <c r="J348" t="str">
        <f t="shared" si="46"/>
        <v/>
      </c>
      <c r="K348" t="str">
        <f t="shared" si="48"/>
        <v/>
      </c>
      <c r="L348" s="69"/>
      <c r="M348">
        <f>'TMIS US'!A339</f>
        <v>9108</v>
      </c>
      <c r="N348" t="str">
        <f>T('TMIS US'!B339)</f>
        <v/>
      </c>
      <c r="O348" t="s">
        <v>4290</v>
      </c>
      <c r="P348" t="str">
        <f t="shared" si="47"/>
        <v/>
      </c>
      <c r="Q348" t="str">
        <f t="shared" si="49"/>
        <v/>
      </c>
      <c r="R348" s="69"/>
      <c r="S348">
        <f>'TMIS CA'!A339</f>
        <v>9538</v>
      </c>
      <c r="T348" t="str">
        <f>T('TMIS CA'!B339)</f>
        <v/>
      </c>
      <c r="U348" t="s">
        <v>4290</v>
      </c>
      <c r="V348" t="str">
        <f t="shared" si="51"/>
        <v/>
      </c>
      <c r="W348" t="str">
        <f t="shared" si="50"/>
        <v/>
      </c>
    </row>
    <row r="349" spans="1:23">
      <c r="A349">
        <f>'IPTV US'!A340</f>
        <v>10509</v>
      </c>
      <c r="B349" t="str">
        <f>T('IPTV US'!B340)</f>
        <v/>
      </c>
      <c r="C349" t="s">
        <v>4290</v>
      </c>
      <c r="D349" t="str">
        <f t="shared" si="44"/>
        <v/>
      </c>
      <c r="E349" t="str">
        <f t="shared" si="45"/>
        <v/>
      </c>
      <c r="F349" s="68" t="s">
        <v>4289</v>
      </c>
      <c r="G349">
        <f>'IPTV CA'!A340</f>
        <v>10939</v>
      </c>
      <c r="H349" t="str">
        <f>T('IPTV CA'!B340)</f>
        <v/>
      </c>
      <c r="I349" t="s">
        <v>4290</v>
      </c>
      <c r="J349" t="str">
        <f t="shared" si="46"/>
        <v/>
      </c>
      <c r="K349" t="str">
        <f t="shared" si="48"/>
        <v/>
      </c>
      <c r="L349" s="69"/>
      <c r="M349">
        <f>'TMIS US'!A340</f>
        <v>9109</v>
      </c>
      <c r="N349" t="str">
        <f>T('TMIS US'!B340)</f>
        <v/>
      </c>
      <c r="O349" t="s">
        <v>4290</v>
      </c>
      <c r="P349" t="str">
        <f t="shared" si="47"/>
        <v/>
      </c>
      <c r="Q349" t="str">
        <f t="shared" si="49"/>
        <v/>
      </c>
      <c r="R349" s="69"/>
      <c r="S349">
        <f>'TMIS CA'!A340</f>
        <v>9539</v>
      </c>
      <c r="T349" t="str">
        <f>T('TMIS CA'!B340)</f>
        <v/>
      </c>
      <c r="U349" t="s">
        <v>4290</v>
      </c>
      <c r="V349" t="str">
        <f t="shared" si="51"/>
        <v/>
      </c>
      <c r="W349" t="str">
        <f t="shared" si="50"/>
        <v/>
      </c>
    </row>
    <row r="350" spans="1:23">
      <c r="A350">
        <f>'IPTV US'!A341</f>
        <v>10510</v>
      </c>
      <c r="B350" t="str">
        <f>T('IPTV US'!B341)</f>
        <v/>
      </c>
      <c r="C350" t="s">
        <v>4290</v>
      </c>
      <c r="D350" t="str">
        <f t="shared" si="44"/>
        <v/>
      </c>
      <c r="E350" t="str">
        <f t="shared" si="45"/>
        <v/>
      </c>
      <c r="F350" s="68" t="s">
        <v>4289</v>
      </c>
      <c r="G350">
        <f>'IPTV CA'!A341</f>
        <v>10940</v>
      </c>
      <c r="H350" t="str">
        <f>T('IPTV CA'!B341)</f>
        <v>Cheaters</v>
      </c>
      <c r="I350" t="s">
        <v>4288</v>
      </c>
      <c r="J350" t="str">
        <f t="shared" si="46"/>
        <v/>
      </c>
      <c r="K350" t="str">
        <f t="shared" si="48"/>
        <v/>
      </c>
      <c r="L350" s="69"/>
      <c r="M350">
        <f>'TMIS US'!A341</f>
        <v>9110</v>
      </c>
      <c r="N350" t="str">
        <f>T('TMIS US'!B341)</f>
        <v/>
      </c>
      <c r="O350" t="s">
        <v>4290</v>
      </c>
      <c r="P350" t="str">
        <f t="shared" si="47"/>
        <v/>
      </c>
      <c r="Q350" t="str">
        <f t="shared" si="49"/>
        <v/>
      </c>
      <c r="R350" s="69"/>
      <c r="S350">
        <f>'TMIS CA'!A341</f>
        <v>9540</v>
      </c>
      <c r="T350" t="str">
        <f>T('TMIS CA'!B341)</f>
        <v>Cheaters</v>
      </c>
      <c r="U350" t="s">
        <v>4288</v>
      </c>
      <c r="V350" t="str">
        <f t="shared" si="51"/>
        <v/>
      </c>
      <c r="W350" t="str">
        <f t="shared" si="50"/>
        <v/>
      </c>
    </row>
    <row r="351" spans="1:23">
      <c r="A351">
        <f>'IPTV US'!A342</f>
        <v>10511</v>
      </c>
      <c r="B351" t="str">
        <f>T('IPTV US'!B342)</f>
        <v>Gusto TV</v>
      </c>
      <c r="C351" t="s">
        <v>4288</v>
      </c>
      <c r="D351" t="str">
        <f t="shared" si="44"/>
        <v/>
      </c>
      <c r="E351" t="str">
        <f t="shared" si="45"/>
        <v/>
      </c>
      <c r="F351" s="68" t="s">
        <v>4289</v>
      </c>
      <c r="G351">
        <f>'IPTV CA'!A342</f>
        <v>10941</v>
      </c>
      <c r="H351" t="str">
        <f>T('IPTV CA'!B342)</f>
        <v>CTV Gets Real</v>
      </c>
      <c r="I351" t="s">
        <v>4288</v>
      </c>
      <c r="J351" t="str">
        <f t="shared" si="46"/>
        <v/>
      </c>
      <c r="K351" t="str">
        <f t="shared" si="48"/>
        <v/>
      </c>
      <c r="L351" s="69"/>
      <c r="M351">
        <f>'TMIS US'!A342</f>
        <v>9111</v>
      </c>
      <c r="N351" t="str">
        <f>T('TMIS US'!B342)</f>
        <v>Gusto TV</v>
      </c>
      <c r="O351" t="s">
        <v>4288</v>
      </c>
      <c r="P351" t="str">
        <f t="shared" si="47"/>
        <v/>
      </c>
      <c r="Q351" t="str">
        <f t="shared" si="49"/>
        <v/>
      </c>
      <c r="R351" s="69"/>
      <c r="S351">
        <f>'TMIS CA'!A342</f>
        <v>9541</v>
      </c>
      <c r="T351" t="str">
        <f>T('TMIS CA'!B342)</f>
        <v>CTV Gets Real</v>
      </c>
      <c r="U351" t="s">
        <v>4288</v>
      </c>
      <c r="V351" t="str">
        <f t="shared" si="51"/>
        <v/>
      </c>
      <c r="W351" t="str">
        <f t="shared" si="50"/>
        <v/>
      </c>
    </row>
    <row r="352" spans="1:23">
      <c r="A352">
        <f>'IPTV US'!A343</f>
        <v>10512</v>
      </c>
      <c r="B352" t="str">
        <f>T('IPTV US'!B343)</f>
        <v/>
      </c>
      <c r="C352" t="s">
        <v>4290</v>
      </c>
      <c r="D352" t="str">
        <f t="shared" si="44"/>
        <v/>
      </c>
      <c r="E352" t="str">
        <f t="shared" si="45"/>
        <v/>
      </c>
      <c r="F352" s="68" t="s">
        <v>4289</v>
      </c>
      <c r="G352">
        <f>'IPTV CA'!A343</f>
        <v>10942</v>
      </c>
      <c r="H352" t="str">
        <f>T('IPTV CA'!B343)</f>
        <v/>
      </c>
      <c r="I352" t="s">
        <v>4290</v>
      </c>
      <c r="J352" t="str">
        <f t="shared" si="46"/>
        <v/>
      </c>
      <c r="K352" t="str">
        <f t="shared" si="48"/>
        <v/>
      </c>
      <c r="L352" s="69"/>
      <c r="M352">
        <f>'TMIS US'!A343</f>
        <v>9112</v>
      </c>
      <c r="N352" t="str">
        <f>T('TMIS US'!B343)</f>
        <v/>
      </c>
      <c r="O352" t="s">
        <v>4290</v>
      </c>
      <c r="P352" t="str">
        <f t="shared" si="47"/>
        <v/>
      </c>
      <c r="Q352" t="str">
        <f t="shared" si="49"/>
        <v/>
      </c>
      <c r="R352" s="69"/>
      <c r="S352">
        <f>'TMIS CA'!A343</f>
        <v>9542</v>
      </c>
      <c r="T352" t="str">
        <f>T('TMIS CA'!B343)</f>
        <v/>
      </c>
      <c r="U352" t="s">
        <v>4290</v>
      </c>
      <c r="V352" t="str">
        <f t="shared" si="51"/>
        <v/>
      </c>
      <c r="W352" t="str">
        <f t="shared" si="50"/>
        <v/>
      </c>
    </row>
    <row r="353" spans="1:23">
      <c r="A353">
        <f>'IPTV US'!A344</f>
        <v>10513</v>
      </c>
      <c r="B353" t="str">
        <f>T('IPTV US'!B344)</f>
        <v/>
      </c>
      <c r="C353" t="s">
        <v>4290</v>
      </c>
      <c r="D353" t="str">
        <f t="shared" si="44"/>
        <v/>
      </c>
      <c r="E353" t="str">
        <f t="shared" si="45"/>
        <v/>
      </c>
      <c r="F353" s="68" t="s">
        <v>4289</v>
      </c>
      <c r="G353">
        <f>'IPTV CA'!A344</f>
        <v>10943</v>
      </c>
      <c r="H353" t="str">
        <f>T('IPTV CA'!B344)</f>
        <v>Don't Tell The Bride</v>
      </c>
      <c r="I353" t="s">
        <v>4288</v>
      </c>
      <c r="J353" t="str">
        <f t="shared" si="46"/>
        <v/>
      </c>
      <c r="K353" t="str">
        <f t="shared" si="48"/>
        <v/>
      </c>
      <c r="L353" s="69"/>
      <c r="M353">
        <f>'TMIS US'!A344</f>
        <v>9113</v>
      </c>
      <c r="N353" t="str">
        <f>T('TMIS US'!B344)</f>
        <v/>
      </c>
      <c r="O353" t="s">
        <v>4290</v>
      </c>
      <c r="P353" t="str">
        <f t="shared" si="47"/>
        <v/>
      </c>
      <c r="Q353" t="str">
        <f t="shared" si="49"/>
        <v/>
      </c>
      <c r="R353" s="69"/>
      <c r="S353">
        <f>'TMIS CA'!A344</f>
        <v>9543</v>
      </c>
      <c r="T353" t="str">
        <f>T('TMIS CA'!B344)</f>
        <v>Don't Tell The Bride</v>
      </c>
      <c r="U353" t="s">
        <v>4288</v>
      </c>
      <c r="V353" t="str">
        <f t="shared" si="51"/>
        <v/>
      </c>
      <c r="W353" t="str">
        <f t="shared" si="50"/>
        <v/>
      </c>
    </row>
    <row r="354" spans="1:23">
      <c r="A354">
        <f>'IPTV US'!A345</f>
        <v>10514</v>
      </c>
      <c r="B354" t="str">
        <f>T('IPTV US'!B345)</f>
        <v/>
      </c>
      <c r="C354" t="s">
        <v>4290</v>
      </c>
      <c r="D354" t="str">
        <f t="shared" si="44"/>
        <v/>
      </c>
      <c r="E354" t="str">
        <f t="shared" si="45"/>
        <v/>
      </c>
      <c r="F354" s="68" t="s">
        <v>4289</v>
      </c>
      <c r="G354">
        <f>'IPTV CA'!A345</f>
        <v>10944</v>
      </c>
      <c r="H354" t="str">
        <f>T('IPTV CA'!B345)</f>
        <v/>
      </c>
      <c r="I354" t="s">
        <v>4290</v>
      </c>
      <c r="J354" t="str">
        <f t="shared" si="46"/>
        <v/>
      </c>
      <c r="K354" t="str">
        <f t="shared" si="48"/>
        <v/>
      </c>
      <c r="L354" s="69"/>
      <c r="M354">
        <f>'TMIS US'!A345</f>
        <v>9114</v>
      </c>
      <c r="N354" t="str">
        <f>T('TMIS US'!B345)</f>
        <v/>
      </c>
      <c r="O354" t="s">
        <v>4290</v>
      </c>
      <c r="P354" t="str">
        <f t="shared" si="47"/>
        <v/>
      </c>
      <c r="Q354" t="str">
        <f t="shared" si="49"/>
        <v/>
      </c>
      <c r="R354" s="69"/>
      <c r="S354">
        <f>'TMIS CA'!A345</f>
        <v>9544</v>
      </c>
      <c r="T354" t="str">
        <f>T('TMIS CA'!B345)</f>
        <v/>
      </c>
      <c r="U354" t="s">
        <v>4290</v>
      </c>
      <c r="V354" t="str">
        <f t="shared" si="51"/>
        <v/>
      </c>
      <c r="W354" t="str">
        <f t="shared" si="50"/>
        <v/>
      </c>
    </row>
    <row r="355" spans="1:23">
      <c r="A355">
        <f>'IPTV US'!A346</f>
        <v>10515</v>
      </c>
      <c r="B355" t="str">
        <f>T('IPTV US'!B346)</f>
        <v/>
      </c>
      <c r="C355" t="s">
        <v>4290</v>
      </c>
      <c r="D355" t="str">
        <f t="shared" si="44"/>
        <v/>
      </c>
      <c r="E355" t="str">
        <f t="shared" si="45"/>
        <v/>
      </c>
      <c r="F355" s="68" t="s">
        <v>4289</v>
      </c>
      <c r="G355">
        <f>'IPTV CA'!A346</f>
        <v>10945</v>
      </c>
      <c r="H355" t="str">
        <f>T('IPTV CA'!B346)</f>
        <v/>
      </c>
      <c r="I355" t="s">
        <v>4290</v>
      </c>
      <c r="J355" t="str">
        <f t="shared" si="46"/>
        <v/>
      </c>
      <c r="K355" t="str">
        <f t="shared" si="48"/>
        <v/>
      </c>
      <c r="L355" s="69"/>
      <c r="M355">
        <f>'TMIS US'!A346</f>
        <v>9115</v>
      </c>
      <c r="N355" t="str">
        <f>T('TMIS US'!B346)</f>
        <v/>
      </c>
      <c r="O355" t="s">
        <v>4290</v>
      </c>
      <c r="P355" t="str">
        <f t="shared" si="47"/>
        <v/>
      </c>
      <c r="Q355" t="str">
        <f t="shared" si="49"/>
        <v/>
      </c>
      <c r="R355" s="69"/>
      <c r="S355">
        <f>'TMIS CA'!A346</f>
        <v>9545</v>
      </c>
      <c r="T355" t="str">
        <f>T('TMIS CA'!B346)</f>
        <v/>
      </c>
      <c r="U355" t="s">
        <v>4290</v>
      </c>
      <c r="V355" t="str">
        <f t="shared" si="51"/>
        <v/>
      </c>
      <c r="W355" t="str">
        <f t="shared" si="50"/>
        <v/>
      </c>
    </row>
    <row r="356" spans="1:23">
      <c r="A356">
        <f>'IPTV US'!A347</f>
        <v>10516</v>
      </c>
      <c r="B356" t="str">
        <f>T('IPTV US'!B347)</f>
        <v>Tastemade</v>
      </c>
      <c r="C356" t="s">
        <v>4288</v>
      </c>
      <c r="D356" t="str">
        <f t="shared" si="44"/>
        <v/>
      </c>
      <c r="E356" t="str">
        <f t="shared" si="45"/>
        <v/>
      </c>
      <c r="F356" s="68" t="s">
        <v>4289</v>
      </c>
      <c r="G356">
        <f>'IPTV CA'!A347</f>
        <v>10946</v>
      </c>
      <c r="H356" t="str">
        <f>T('IPTV CA'!B347)</f>
        <v>Love Stories TV</v>
      </c>
      <c r="I356" t="s">
        <v>4288</v>
      </c>
      <c r="J356" t="str">
        <f t="shared" si="46"/>
        <v/>
      </c>
      <c r="K356" t="str">
        <f t="shared" si="48"/>
        <v/>
      </c>
      <c r="L356" s="69"/>
      <c r="M356">
        <f>'TMIS US'!A347</f>
        <v>9116</v>
      </c>
      <c r="N356" t="str">
        <f>T('TMIS US'!B347)</f>
        <v>Tastemade</v>
      </c>
      <c r="O356" t="s">
        <v>4288</v>
      </c>
      <c r="P356" t="str">
        <f t="shared" si="47"/>
        <v/>
      </c>
      <c r="Q356" t="str">
        <f t="shared" si="49"/>
        <v/>
      </c>
      <c r="R356" s="69"/>
      <c r="S356">
        <f>'TMIS CA'!A347</f>
        <v>9546</v>
      </c>
      <c r="T356" t="str">
        <f>T('TMIS CA'!B347)</f>
        <v>Love Stories TV</v>
      </c>
      <c r="U356" t="s">
        <v>4288</v>
      </c>
      <c r="V356" t="str">
        <f t="shared" si="51"/>
        <v/>
      </c>
      <c r="W356" t="str">
        <f t="shared" si="50"/>
        <v/>
      </c>
    </row>
    <row r="357" spans="1:23">
      <c r="A357">
        <f>'IPTV US'!A348</f>
        <v>10517</v>
      </c>
      <c r="B357" t="str">
        <f>T('IPTV US'!B348)</f>
        <v>Hell's Kitchen</v>
      </c>
      <c r="C357" t="s">
        <v>4288</v>
      </c>
      <c r="D357" t="str">
        <f t="shared" si="44"/>
        <v/>
      </c>
      <c r="E357" t="str">
        <f t="shared" si="45"/>
        <v/>
      </c>
      <c r="F357" s="68" t="s">
        <v>4289</v>
      </c>
      <c r="G357">
        <f>'IPTV CA'!A348</f>
        <v>10947</v>
      </c>
      <c r="H357" t="str">
        <f>T('IPTV CA'!B348)</f>
        <v/>
      </c>
      <c r="I357" t="s">
        <v>4290</v>
      </c>
      <c r="J357" t="str">
        <f t="shared" si="46"/>
        <v/>
      </c>
      <c r="K357" t="str">
        <f t="shared" si="48"/>
        <v/>
      </c>
      <c r="L357" s="69"/>
      <c r="M357">
        <f>'TMIS US'!A348</f>
        <v>9117</v>
      </c>
      <c r="N357" t="str">
        <f>T('TMIS US'!B348)</f>
        <v>Hell's Kitchen</v>
      </c>
      <c r="O357" t="s">
        <v>4288</v>
      </c>
      <c r="P357" t="str">
        <f t="shared" si="47"/>
        <v/>
      </c>
      <c r="Q357" t="str">
        <f t="shared" si="49"/>
        <v/>
      </c>
      <c r="R357" s="69"/>
      <c r="S357">
        <f>'TMIS CA'!A348</f>
        <v>9547</v>
      </c>
      <c r="T357" t="str">
        <f>T('TMIS CA'!B348)</f>
        <v/>
      </c>
      <c r="U357" t="s">
        <v>4290</v>
      </c>
      <c r="V357" t="str">
        <f t="shared" si="51"/>
        <v/>
      </c>
      <c r="W357" t="str">
        <f t="shared" si="50"/>
        <v/>
      </c>
    </row>
    <row r="358" spans="1:23">
      <c r="A358">
        <f>'IPTV US'!A349</f>
        <v>10518</v>
      </c>
      <c r="B358" t="str">
        <f>T('IPTV US'!B349)</f>
        <v>Filmrise Food</v>
      </c>
      <c r="C358" t="s">
        <v>4288</v>
      </c>
      <c r="D358" t="str">
        <f t="shared" si="44"/>
        <v/>
      </c>
      <c r="E358" t="str">
        <f t="shared" si="45"/>
        <v/>
      </c>
      <c r="F358" s="68" t="s">
        <v>4289</v>
      </c>
      <c r="G358">
        <f>'IPTV CA'!A349</f>
        <v>10948</v>
      </c>
      <c r="H358" t="str">
        <f>T('IPTV CA'!B349)</f>
        <v>Dance Moms</v>
      </c>
      <c r="I358" t="s">
        <v>4288</v>
      </c>
      <c r="J358" t="str">
        <f t="shared" si="46"/>
        <v/>
      </c>
      <c r="K358" t="str">
        <f t="shared" si="48"/>
        <v/>
      </c>
      <c r="L358" s="69"/>
      <c r="M358">
        <f>'TMIS US'!A349</f>
        <v>9118</v>
      </c>
      <c r="N358" t="str">
        <f>T('TMIS US'!B349)</f>
        <v>Filmrise Food</v>
      </c>
      <c r="O358" t="s">
        <v>4288</v>
      </c>
      <c r="P358" t="str">
        <f t="shared" si="47"/>
        <v/>
      </c>
      <c r="Q358" t="str">
        <f t="shared" si="49"/>
        <v/>
      </c>
      <c r="R358" s="69"/>
      <c r="S358">
        <f>'TMIS CA'!A349</f>
        <v>9548</v>
      </c>
      <c r="T358" t="str">
        <f>T('TMIS CA'!B349)</f>
        <v>Dance Moms</v>
      </c>
      <c r="U358" t="s">
        <v>4288</v>
      </c>
      <c r="V358" t="str">
        <f t="shared" si="51"/>
        <v/>
      </c>
      <c r="W358" t="str">
        <f t="shared" si="50"/>
        <v/>
      </c>
    </row>
    <row r="359" spans="1:23">
      <c r="A359">
        <f>'IPTV US'!A350</f>
        <v>10519</v>
      </c>
      <c r="B359" t="str">
        <f>T('IPTV US'!B350)</f>
        <v>The Jamie Oliver Channel</v>
      </c>
      <c r="C359" t="s">
        <v>4288</v>
      </c>
      <c r="D359" t="str">
        <f t="shared" si="44"/>
        <v/>
      </c>
      <c r="E359" t="str">
        <f t="shared" si="45"/>
        <v/>
      </c>
      <c r="F359" s="68" t="s">
        <v>4289</v>
      </c>
      <c r="G359">
        <f>'IPTV CA'!A350</f>
        <v>10949</v>
      </c>
      <c r="H359" t="str">
        <f>T('IPTV CA'!B350)</f>
        <v/>
      </c>
      <c r="I359" t="s">
        <v>4290</v>
      </c>
      <c r="J359" t="str">
        <f t="shared" si="46"/>
        <v/>
      </c>
      <c r="K359" t="str">
        <f t="shared" si="48"/>
        <v/>
      </c>
      <c r="L359" s="69"/>
      <c r="M359">
        <f>'TMIS US'!A350</f>
        <v>9119</v>
      </c>
      <c r="N359" t="str">
        <f>T('TMIS US'!B350)</f>
        <v>The Jamie Oliver Channel</v>
      </c>
      <c r="O359" t="s">
        <v>4288</v>
      </c>
      <c r="P359" t="str">
        <f t="shared" si="47"/>
        <v/>
      </c>
      <c r="Q359" t="str">
        <f t="shared" si="49"/>
        <v/>
      </c>
      <c r="R359" s="69"/>
      <c r="S359">
        <f>'TMIS CA'!A350</f>
        <v>9549</v>
      </c>
      <c r="T359" t="str">
        <f>T('TMIS CA'!B350)</f>
        <v/>
      </c>
      <c r="U359" t="s">
        <v>4290</v>
      </c>
      <c r="V359" t="str">
        <f t="shared" si="51"/>
        <v/>
      </c>
      <c r="W359" t="str">
        <f t="shared" si="50"/>
        <v/>
      </c>
    </row>
    <row r="360" spans="1:23">
      <c r="A360">
        <f>'IPTV US'!A351</f>
        <v>10520</v>
      </c>
      <c r="B360" t="str">
        <f>T('IPTV US'!B351)</f>
        <v/>
      </c>
      <c r="C360" t="s">
        <v>4290</v>
      </c>
      <c r="D360" t="str">
        <f t="shared" si="44"/>
        <v/>
      </c>
      <c r="E360" t="str">
        <f t="shared" si="45"/>
        <v/>
      </c>
      <c r="F360" s="68" t="s">
        <v>4289</v>
      </c>
      <c r="G360">
        <f>'IPTV CA'!A351</f>
        <v>10950</v>
      </c>
      <c r="H360" t="str">
        <f>T('IPTV CA'!B351)</f>
        <v/>
      </c>
      <c r="I360" t="s">
        <v>4290</v>
      </c>
      <c r="J360" t="str">
        <f t="shared" si="46"/>
        <v/>
      </c>
      <c r="K360" t="str">
        <f t="shared" si="48"/>
        <v/>
      </c>
      <c r="L360" s="69"/>
      <c r="M360">
        <f>'TMIS US'!A351</f>
        <v>9120</v>
      </c>
      <c r="N360" t="str">
        <f>T('TMIS US'!B351)</f>
        <v/>
      </c>
      <c r="O360" t="s">
        <v>4290</v>
      </c>
      <c r="P360" t="str">
        <f t="shared" si="47"/>
        <v/>
      </c>
      <c r="Q360" t="str">
        <f t="shared" si="49"/>
        <v/>
      </c>
      <c r="R360" s="69"/>
      <c r="S360">
        <f>'TMIS CA'!A351</f>
        <v>9550</v>
      </c>
      <c r="T360" t="str">
        <f>T('TMIS CA'!B351)</f>
        <v/>
      </c>
      <c r="U360" t="s">
        <v>4290</v>
      </c>
      <c r="V360" t="str">
        <f t="shared" si="51"/>
        <v/>
      </c>
      <c r="W360" t="str">
        <f t="shared" si="50"/>
        <v/>
      </c>
    </row>
    <row r="361" spans="1:23">
      <c r="A361">
        <f>'IPTV US'!A352</f>
        <v>10521</v>
      </c>
      <c r="B361" t="str">
        <f>T('IPTV US'!B352)</f>
        <v>QVC</v>
      </c>
      <c r="C361" t="s">
        <v>4288</v>
      </c>
      <c r="D361" t="str">
        <f t="shared" si="44"/>
        <v/>
      </c>
      <c r="E361" t="str">
        <f t="shared" si="45"/>
        <v/>
      </c>
      <c r="F361" s="68" t="s">
        <v>4289</v>
      </c>
      <c r="G361">
        <f>'IPTV CA'!A352</f>
        <v>10951</v>
      </c>
      <c r="H361" t="str">
        <f>T('IPTV CA'!B352)</f>
        <v/>
      </c>
      <c r="I361" t="s">
        <v>4290</v>
      </c>
      <c r="J361" t="str">
        <f t="shared" si="46"/>
        <v/>
      </c>
      <c r="K361" t="str">
        <f t="shared" si="48"/>
        <v/>
      </c>
      <c r="L361" s="69"/>
      <c r="M361">
        <f>'TMIS US'!A352</f>
        <v>9121</v>
      </c>
      <c r="N361" t="str">
        <f>T('TMIS US'!B352)</f>
        <v>QVC</v>
      </c>
      <c r="O361" t="s">
        <v>4288</v>
      </c>
      <c r="P361" t="str">
        <f t="shared" si="47"/>
        <v/>
      </c>
      <c r="Q361" t="str">
        <f t="shared" si="49"/>
        <v/>
      </c>
      <c r="R361" s="69"/>
      <c r="S361">
        <f>'TMIS CA'!A352</f>
        <v>9551</v>
      </c>
      <c r="T361" t="str">
        <f>T('TMIS CA'!B352)</f>
        <v/>
      </c>
      <c r="U361" t="s">
        <v>4290</v>
      </c>
      <c r="V361" t="str">
        <f t="shared" si="51"/>
        <v/>
      </c>
      <c r="W361" t="str">
        <f t="shared" si="50"/>
        <v/>
      </c>
    </row>
    <row r="362" spans="1:23">
      <c r="A362">
        <f>'IPTV US'!A353</f>
        <v>10522</v>
      </c>
      <c r="B362" t="str">
        <f>T('IPTV US'!B353)</f>
        <v>HSN</v>
      </c>
      <c r="C362" t="s">
        <v>4288</v>
      </c>
      <c r="D362" t="str">
        <f t="shared" si="44"/>
        <v/>
      </c>
      <c r="E362" t="str">
        <f t="shared" si="45"/>
        <v/>
      </c>
      <c r="F362" s="68" t="s">
        <v>4289</v>
      </c>
      <c r="G362">
        <f>'IPTV CA'!A353</f>
        <v>10952</v>
      </c>
      <c r="H362" t="str">
        <f>T('IPTV CA'!B353)</f>
        <v>Little Women: LA</v>
      </c>
      <c r="I362" t="s">
        <v>4288</v>
      </c>
      <c r="J362" t="str">
        <f t="shared" si="46"/>
        <v/>
      </c>
      <c r="K362" t="str">
        <f t="shared" si="48"/>
        <v/>
      </c>
      <c r="L362" s="69"/>
      <c r="M362">
        <f>'TMIS US'!A353</f>
        <v>9122</v>
      </c>
      <c r="N362" t="str">
        <f>T('TMIS US'!B353)</f>
        <v>HSN</v>
      </c>
      <c r="O362" t="s">
        <v>4288</v>
      </c>
      <c r="P362" t="str">
        <f t="shared" si="47"/>
        <v/>
      </c>
      <c r="Q362" t="str">
        <f t="shared" si="49"/>
        <v/>
      </c>
      <c r="R362" s="69"/>
      <c r="S362">
        <f>'TMIS CA'!A353</f>
        <v>9552</v>
      </c>
      <c r="T362" t="str">
        <f>T('TMIS CA'!B353)</f>
        <v>Little Women: LA</v>
      </c>
      <c r="U362" t="s">
        <v>4288</v>
      </c>
      <c r="V362" t="str">
        <f t="shared" si="51"/>
        <v/>
      </c>
      <c r="W362" t="str">
        <f t="shared" si="50"/>
        <v/>
      </c>
    </row>
    <row r="363" spans="1:23">
      <c r="A363">
        <f>'IPTV US'!A354</f>
        <v>10523</v>
      </c>
      <c r="B363" t="str">
        <f>T('IPTV US'!B354)</f>
        <v>Antiques Roadshow</v>
      </c>
      <c r="C363" t="s">
        <v>4288</v>
      </c>
      <c r="D363" t="str">
        <f t="shared" si="44"/>
        <v/>
      </c>
      <c r="E363" t="str">
        <f t="shared" si="45"/>
        <v/>
      </c>
      <c r="F363" s="68" t="s">
        <v>4289</v>
      </c>
      <c r="G363">
        <f>'IPTV CA'!A354</f>
        <v>10953</v>
      </c>
      <c r="H363" t="str">
        <f>T('IPTV CA'!B354)</f>
        <v>So... Real</v>
      </c>
      <c r="I363" t="s">
        <v>4288</v>
      </c>
      <c r="J363" t="str">
        <f t="shared" si="46"/>
        <v/>
      </c>
      <c r="K363" t="str">
        <f t="shared" si="48"/>
        <v/>
      </c>
      <c r="L363" s="69"/>
      <c r="M363">
        <f>'TMIS US'!A354</f>
        <v>9123</v>
      </c>
      <c r="N363" t="str">
        <f>T('TMIS US'!B354)</f>
        <v>Antiques Roadshow</v>
      </c>
      <c r="O363" t="s">
        <v>4288</v>
      </c>
      <c r="P363" t="str">
        <f t="shared" si="47"/>
        <v/>
      </c>
      <c r="Q363" t="str">
        <f t="shared" si="49"/>
        <v/>
      </c>
      <c r="R363" s="69"/>
      <c r="S363">
        <f>'TMIS CA'!A354</f>
        <v>9553</v>
      </c>
      <c r="T363" t="str">
        <f>T('TMIS CA'!B354)</f>
        <v>So... Real</v>
      </c>
      <c r="U363" t="s">
        <v>4288</v>
      </c>
      <c r="V363" t="str">
        <f t="shared" si="51"/>
        <v/>
      </c>
      <c r="W363" t="str">
        <f t="shared" si="50"/>
        <v/>
      </c>
    </row>
    <row r="364" spans="1:23">
      <c r="A364">
        <f>'IPTV US'!A355</f>
        <v>10524</v>
      </c>
      <c r="B364" t="str">
        <f>T('IPTV US'!B355)</f>
        <v>Antiques Road Trip</v>
      </c>
      <c r="C364" t="s">
        <v>4288</v>
      </c>
      <c r="D364" t="str">
        <f t="shared" si="44"/>
        <v/>
      </c>
      <c r="E364" t="str">
        <f t="shared" si="45"/>
        <v/>
      </c>
      <c r="F364" s="68" t="s">
        <v>4289</v>
      </c>
      <c r="G364">
        <f>'IPTV CA'!A355</f>
        <v>10954</v>
      </c>
      <c r="H364" t="str">
        <f>T('IPTV CA'!B355)</f>
        <v/>
      </c>
      <c r="I364" t="s">
        <v>4290</v>
      </c>
      <c r="J364" t="str">
        <f t="shared" si="46"/>
        <v/>
      </c>
      <c r="K364" t="str">
        <f t="shared" si="48"/>
        <v/>
      </c>
      <c r="L364" s="69"/>
      <c r="M364">
        <f>'TMIS US'!A355</f>
        <v>9124</v>
      </c>
      <c r="N364" t="str">
        <f>T('TMIS US'!B355)</f>
        <v>Antiques Road Trip</v>
      </c>
      <c r="O364" t="s">
        <v>4288</v>
      </c>
      <c r="P364" t="str">
        <f t="shared" si="47"/>
        <v/>
      </c>
      <c r="Q364" t="str">
        <f t="shared" si="49"/>
        <v/>
      </c>
      <c r="R364" s="69"/>
      <c r="S364">
        <f>'TMIS CA'!A355</f>
        <v>9554</v>
      </c>
      <c r="T364" t="str">
        <f>T('TMIS CA'!B355)</f>
        <v/>
      </c>
      <c r="U364" t="s">
        <v>4290</v>
      </c>
      <c r="V364" t="str">
        <f t="shared" si="51"/>
        <v/>
      </c>
      <c r="W364" t="str">
        <f t="shared" si="50"/>
        <v/>
      </c>
    </row>
    <row r="365" spans="1:23">
      <c r="A365">
        <f>'IPTV US'!A356</f>
        <v>10525</v>
      </c>
      <c r="B365" t="str">
        <f>T('IPTV US'!B356)</f>
        <v/>
      </c>
      <c r="C365" t="s">
        <v>4290</v>
      </c>
      <c r="D365" t="str">
        <f t="shared" si="44"/>
        <v/>
      </c>
      <c r="E365" t="str">
        <f t="shared" si="45"/>
        <v/>
      </c>
      <c r="F365" s="68" t="s">
        <v>4289</v>
      </c>
      <c r="G365">
        <f>'IPTV CA'!A356</f>
        <v>10955</v>
      </c>
      <c r="H365" t="str">
        <f>T('IPTV CA'!B356)</f>
        <v/>
      </c>
      <c r="I365" t="s">
        <v>4290</v>
      </c>
      <c r="J365" t="str">
        <f t="shared" si="46"/>
        <v/>
      </c>
      <c r="K365" t="str">
        <f t="shared" si="48"/>
        <v/>
      </c>
      <c r="L365" s="69"/>
      <c r="M365">
        <f>'TMIS US'!A356</f>
        <v>9125</v>
      </c>
      <c r="N365" t="str">
        <f>T('TMIS US'!B356)</f>
        <v/>
      </c>
      <c r="O365" t="s">
        <v>4290</v>
      </c>
      <c r="P365" t="str">
        <f t="shared" si="47"/>
        <v/>
      </c>
      <c r="Q365" t="str">
        <f t="shared" si="49"/>
        <v/>
      </c>
      <c r="R365" s="69"/>
      <c r="S365">
        <f>'TMIS CA'!A356</f>
        <v>9555</v>
      </c>
      <c r="T365" t="str">
        <f>T('TMIS CA'!B356)</f>
        <v/>
      </c>
      <c r="U365" t="s">
        <v>4290</v>
      </c>
      <c r="V365" t="str">
        <f t="shared" si="51"/>
        <v/>
      </c>
      <c r="W365" t="str">
        <f t="shared" si="50"/>
        <v/>
      </c>
    </row>
    <row r="366" spans="1:23">
      <c r="A366">
        <f>'IPTV US'!A357</f>
        <v>10526</v>
      </c>
      <c r="B366" t="str">
        <f>T('IPTV US'!B357)</f>
        <v>Homeful</v>
      </c>
      <c r="C366" t="s">
        <v>4288</v>
      </c>
      <c r="D366" t="str">
        <f t="shared" si="44"/>
        <v/>
      </c>
      <c r="E366" t="str">
        <f t="shared" si="45"/>
        <v/>
      </c>
      <c r="F366" s="68" t="s">
        <v>4289</v>
      </c>
      <c r="G366">
        <f>'IPTV CA'!A357</f>
        <v>10956</v>
      </c>
      <c r="H366" t="str">
        <f>T('IPTV CA'!B357)</f>
        <v>Love Quest</v>
      </c>
      <c r="I366" t="s">
        <v>4288</v>
      </c>
      <c r="J366" t="str">
        <f t="shared" si="46"/>
        <v/>
      </c>
      <c r="K366" t="str">
        <f t="shared" si="48"/>
        <v/>
      </c>
      <c r="L366" s="69"/>
      <c r="M366">
        <f>'TMIS US'!A357</f>
        <v>9126</v>
      </c>
      <c r="N366" t="str">
        <f>T('TMIS US'!B357)</f>
        <v>Homeful</v>
      </c>
      <c r="O366" t="s">
        <v>4288</v>
      </c>
      <c r="P366" t="str">
        <f t="shared" si="47"/>
        <v/>
      </c>
      <c r="Q366" t="str">
        <f t="shared" si="49"/>
        <v/>
      </c>
      <c r="R366" s="69"/>
      <c r="S366">
        <f>'TMIS CA'!A357</f>
        <v>9556</v>
      </c>
      <c r="T366" t="str">
        <f>T('TMIS CA'!B357)</f>
        <v>Love Quest</v>
      </c>
      <c r="U366" t="s">
        <v>4288</v>
      </c>
      <c r="V366" t="str">
        <f t="shared" si="51"/>
        <v/>
      </c>
      <c r="W366" t="str">
        <f t="shared" si="50"/>
        <v/>
      </c>
    </row>
    <row r="367" spans="1:23">
      <c r="A367">
        <f>'IPTV US'!A358</f>
        <v>10527</v>
      </c>
      <c r="B367" t="str">
        <f>T('IPTV US'!B358)</f>
        <v/>
      </c>
      <c r="C367" t="s">
        <v>4290</v>
      </c>
      <c r="D367" t="str">
        <f t="shared" si="44"/>
        <v/>
      </c>
      <c r="E367" t="str">
        <f t="shared" si="45"/>
        <v/>
      </c>
      <c r="F367" s="68" t="s">
        <v>4289</v>
      </c>
      <c r="G367">
        <f>'IPTV CA'!A358</f>
        <v>10957</v>
      </c>
      <c r="H367" t="str">
        <f>T('IPTV CA'!B358)</f>
        <v>Made In Hollywood</v>
      </c>
      <c r="I367" t="s">
        <v>4288</v>
      </c>
      <c r="J367" t="str">
        <f t="shared" si="46"/>
        <v/>
      </c>
      <c r="K367" t="str">
        <f t="shared" si="48"/>
        <v/>
      </c>
      <c r="L367" s="69"/>
      <c r="M367">
        <f>'TMIS US'!A358</f>
        <v>9127</v>
      </c>
      <c r="N367" t="str">
        <f>T('TMIS US'!B358)</f>
        <v/>
      </c>
      <c r="O367" t="s">
        <v>4290</v>
      </c>
      <c r="P367" t="str">
        <f t="shared" si="47"/>
        <v/>
      </c>
      <c r="Q367" t="str">
        <f t="shared" si="49"/>
        <v/>
      </c>
      <c r="R367" s="69"/>
      <c r="S367">
        <f>'TMIS CA'!A358</f>
        <v>9557</v>
      </c>
      <c r="T367" t="str">
        <f>T('TMIS CA'!B358)</f>
        <v>Made In Hollywood</v>
      </c>
      <c r="U367" t="s">
        <v>4288</v>
      </c>
      <c r="V367" t="str">
        <f t="shared" si="51"/>
        <v/>
      </c>
      <c r="W367" t="str">
        <f t="shared" si="50"/>
        <v/>
      </c>
    </row>
    <row r="368" spans="1:23">
      <c r="A368">
        <f>'IPTV US'!A359</f>
        <v>10528</v>
      </c>
      <c r="B368" t="str">
        <f>T('IPTV US'!B359)</f>
        <v/>
      </c>
      <c r="C368" t="s">
        <v>4290</v>
      </c>
      <c r="D368" t="str">
        <f t="shared" si="44"/>
        <v/>
      </c>
      <c r="E368" t="str">
        <f t="shared" si="45"/>
        <v/>
      </c>
      <c r="F368" s="68" t="s">
        <v>4289</v>
      </c>
      <c r="G368">
        <f>'IPTV CA'!A359</f>
        <v>10958</v>
      </c>
      <c r="H368" t="str">
        <f>T('IPTV CA'!B359)</f>
        <v>Popstar! TV</v>
      </c>
      <c r="I368" t="s">
        <v>4288</v>
      </c>
      <c r="J368" t="str">
        <f t="shared" si="46"/>
        <v/>
      </c>
      <c r="K368" t="str">
        <f t="shared" si="48"/>
        <v/>
      </c>
      <c r="L368" s="69"/>
      <c r="M368">
        <f>'TMIS US'!A359</f>
        <v>9128</v>
      </c>
      <c r="N368" t="str">
        <f>T('TMIS US'!B359)</f>
        <v/>
      </c>
      <c r="O368" t="s">
        <v>4290</v>
      </c>
      <c r="P368" t="str">
        <f t="shared" si="47"/>
        <v/>
      </c>
      <c r="Q368" t="str">
        <f t="shared" si="49"/>
        <v/>
      </c>
      <c r="R368" s="69"/>
      <c r="S368">
        <f>'TMIS CA'!A359</f>
        <v>9558</v>
      </c>
      <c r="T368" t="str">
        <f>T('TMIS CA'!B359)</f>
        <v>Popstar! TV</v>
      </c>
      <c r="U368" t="s">
        <v>4288</v>
      </c>
      <c r="V368" t="str">
        <f t="shared" si="51"/>
        <v/>
      </c>
      <c r="W368" t="str">
        <f t="shared" si="50"/>
        <v/>
      </c>
    </row>
    <row r="369" spans="1:23">
      <c r="A369">
        <f>'IPTV US'!A360</f>
        <v>10529</v>
      </c>
      <c r="B369" t="str">
        <f>T('IPTV US'!B360)</f>
        <v>ShopLC</v>
      </c>
      <c r="C369" t="s">
        <v>4288</v>
      </c>
      <c r="D369" t="str">
        <f t="shared" si="44"/>
        <v/>
      </c>
      <c r="E369" t="str">
        <f t="shared" si="45"/>
        <v/>
      </c>
      <c r="F369" s="68" t="s">
        <v>4289</v>
      </c>
      <c r="G369">
        <f>'IPTV CA'!A360</f>
        <v>10959</v>
      </c>
      <c r="H369" t="str">
        <f>T('IPTV CA'!B360)</f>
        <v/>
      </c>
      <c r="I369" t="s">
        <v>4290</v>
      </c>
      <c r="J369" t="str">
        <f t="shared" si="46"/>
        <v/>
      </c>
      <c r="K369" t="str">
        <f t="shared" si="48"/>
        <v/>
      </c>
      <c r="L369" s="69"/>
      <c r="M369">
        <f>'TMIS US'!A360</f>
        <v>9129</v>
      </c>
      <c r="N369" t="str">
        <f>T('TMIS US'!B360)</f>
        <v>ShopLC</v>
      </c>
      <c r="O369" t="s">
        <v>4288</v>
      </c>
      <c r="P369" t="str">
        <f t="shared" si="47"/>
        <v/>
      </c>
      <c r="Q369" t="str">
        <f t="shared" si="49"/>
        <v/>
      </c>
      <c r="R369" s="69"/>
      <c r="S369">
        <f>'TMIS CA'!A360</f>
        <v>9559</v>
      </c>
      <c r="T369" t="str">
        <f>T('TMIS CA'!B360)</f>
        <v/>
      </c>
      <c r="U369" t="s">
        <v>4290</v>
      </c>
      <c r="V369" t="str">
        <f t="shared" si="51"/>
        <v/>
      </c>
      <c r="W369" t="str">
        <f t="shared" si="50"/>
        <v/>
      </c>
    </row>
    <row r="370" spans="1:23">
      <c r="A370">
        <f>'IPTV US'!A361</f>
        <v>10530</v>
      </c>
      <c r="B370" t="str">
        <f>T('IPTV US'!B361)</f>
        <v/>
      </c>
      <c r="C370" t="s">
        <v>4290</v>
      </c>
      <c r="D370" t="str">
        <f t="shared" si="44"/>
        <v/>
      </c>
      <c r="E370" t="str">
        <f t="shared" si="45"/>
        <v/>
      </c>
      <c r="F370" s="68" t="s">
        <v>4289</v>
      </c>
      <c r="G370">
        <f>'IPTV CA'!A361</f>
        <v>10960</v>
      </c>
      <c r="H370" t="str">
        <f>T('IPTV CA'!B361)</f>
        <v/>
      </c>
      <c r="I370" t="s">
        <v>4290</v>
      </c>
      <c r="J370" t="str">
        <f t="shared" si="46"/>
        <v/>
      </c>
      <c r="K370" t="str">
        <f t="shared" si="48"/>
        <v/>
      </c>
      <c r="L370" s="69"/>
      <c r="M370">
        <f>'TMIS US'!A361</f>
        <v>9130</v>
      </c>
      <c r="N370" t="str">
        <f>T('TMIS US'!B361)</f>
        <v/>
      </c>
      <c r="O370" t="s">
        <v>4290</v>
      </c>
      <c r="P370" t="str">
        <f t="shared" si="47"/>
        <v/>
      </c>
      <c r="Q370" t="str">
        <f t="shared" si="49"/>
        <v/>
      </c>
      <c r="R370" s="69"/>
      <c r="S370">
        <f>'TMIS CA'!A361</f>
        <v>9560</v>
      </c>
      <c r="T370" t="str">
        <f>T('TMIS CA'!B361)</f>
        <v/>
      </c>
      <c r="U370" t="s">
        <v>4290</v>
      </c>
      <c r="V370" t="str">
        <f t="shared" si="51"/>
        <v/>
      </c>
      <c r="W370" t="str">
        <f t="shared" si="50"/>
        <v/>
      </c>
    </row>
    <row r="371" spans="1:23">
      <c r="A371">
        <f>'IPTV US'!A362</f>
        <v>10531</v>
      </c>
      <c r="B371" t="str">
        <f>T('IPTV US'!B362)</f>
        <v/>
      </c>
      <c r="C371" t="s">
        <v>4290</v>
      </c>
      <c r="D371" t="str">
        <f t="shared" si="44"/>
        <v/>
      </c>
      <c r="E371" t="str">
        <f t="shared" si="45"/>
        <v/>
      </c>
      <c r="F371" s="68" t="s">
        <v>4289</v>
      </c>
      <c r="G371">
        <f>'IPTV CA'!A362</f>
        <v>10961</v>
      </c>
      <c r="H371" t="str">
        <f>T('IPTV CA'!B362)</f>
        <v>CTV Gridlock</v>
      </c>
      <c r="I371" t="s">
        <v>4288</v>
      </c>
      <c r="J371" t="str">
        <f t="shared" si="46"/>
        <v/>
      </c>
      <c r="K371" t="str">
        <f t="shared" si="48"/>
        <v/>
      </c>
      <c r="L371" s="69"/>
      <c r="M371">
        <f>'TMIS US'!A362</f>
        <v>9131</v>
      </c>
      <c r="N371" t="str">
        <f>T('TMIS US'!B362)</f>
        <v/>
      </c>
      <c r="O371" t="s">
        <v>4290</v>
      </c>
      <c r="P371" t="str">
        <f t="shared" si="47"/>
        <v/>
      </c>
      <c r="Q371" t="str">
        <f t="shared" si="49"/>
        <v/>
      </c>
      <c r="R371" s="69"/>
      <c r="S371">
        <f>'TMIS CA'!A362</f>
        <v>9561</v>
      </c>
      <c r="T371" t="str">
        <f>T('TMIS CA'!B362)</f>
        <v>CTV Gridlock</v>
      </c>
      <c r="U371" t="s">
        <v>4288</v>
      </c>
      <c r="V371" t="str">
        <f t="shared" si="51"/>
        <v/>
      </c>
      <c r="W371" t="str">
        <f t="shared" si="50"/>
        <v/>
      </c>
    </row>
    <row r="372" spans="1:23">
      <c r="A372">
        <f>'IPTV US'!A363</f>
        <v>10532</v>
      </c>
      <c r="B372" t="str">
        <f>T('IPTV US'!B363)</f>
        <v/>
      </c>
      <c r="C372" t="s">
        <v>4290</v>
      </c>
      <c r="D372" t="str">
        <f t="shared" si="44"/>
        <v/>
      </c>
      <c r="E372" t="str">
        <f t="shared" si="45"/>
        <v/>
      </c>
      <c r="F372" s="68" t="s">
        <v>4289</v>
      </c>
      <c r="G372">
        <f>'IPTV CA'!A363</f>
        <v>10962</v>
      </c>
      <c r="H372" t="str">
        <f>T('IPTV CA'!B363)</f>
        <v/>
      </c>
      <c r="I372" t="s">
        <v>4290</v>
      </c>
      <c r="J372" t="str">
        <f t="shared" si="46"/>
        <v/>
      </c>
      <c r="K372" t="str">
        <f t="shared" si="48"/>
        <v/>
      </c>
      <c r="L372" s="69"/>
      <c r="M372">
        <f>'TMIS US'!A363</f>
        <v>9132</v>
      </c>
      <c r="N372" t="str">
        <f>T('TMIS US'!B363)</f>
        <v/>
      </c>
      <c r="O372" t="s">
        <v>4290</v>
      </c>
      <c r="P372" t="str">
        <f t="shared" si="47"/>
        <v/>
      </c>
      <c r="Q372" t="str">
        <f t="shared" si="49"/>
        <v/>
      </c>
      <c r="R372" s="69"/>
      <c r="S372">
        <f>'TMIS CA'!A363</f>
        <v>9562</v>
      </c>
      <c r="T372" t="str">
        <f>T('TMIS CA'!B363)</f>
        <v/>
      </c>
      <c r="U372" t="s">
        <v>4290</v>
      </c>
      <c r="V372" t="str">
        <f t="shared" si="51"/>
        <v/>
      </c>
      <c r="W372" t="str">
        <f t="shared" si="50"/>
        <v/>
      </c>
    </row>
    <row r="373" spans="1:23">
      <c r="A373">
        <f>'IPTV US'!A364</f>
        <v>10533</v>
      </c>
      <c r="B373" t="str">
        <f>T('IPTV US'!B364)</f>
        <v/>
      </c>
      <c r="C373" t="s">
        <v>4290</v>
      </c>
      <c r="D373" t="str">
        <f t="shared" si="44"/>
        <v/>
      </c>
      <c r="E373" t="str">
        <f t="shared" si="45"/>
        <v/>
      </c>
      <c r="F373" s="68" t="s">
        <v>4289</v>
      </c>
      <c r="G373">
        <f>'IPTV CA'!A364</f>
        <v>10963</v>
      </c>
      <c r="H373" t="str">
        <f>T('IPTV CA'!B364)</f>
        <v/>
      </c>
      <c r="I373" t="s">
        <v>4290</v>
      </c>
      <c r="J373" t="str">
        <f t="shared" si="46"/>
        <v/>
      </c>
      <c r="K373" t="str">
        <f t="shared" si="48"/>
        <v/>
      </c>
      <c r="L373" s="69"/>
      <c r="M373">
        <f>'TMIS US'!A364</f>
        <v>9133</v>
      </c>
      <c r="N373" t="str">
        <f>T('TMIS US'!B364)</f>
        <v/>
      </c>
      <c r="O373" t="s">
        <v>4290</v>
      </c>
      <c r="P373" t="str">
        <f t="shared" si="47"/>
        <v/>
      </c>
      <c r="Q373" t="str">
        <f t="shared" si="49"/>
        <v/>
      </c>
      <c r="R373" s="69"/>
      <c r="S373">
        <f>'TMIS CA'!A364</f>
        <v>9563</v>
      </c>
      <c r="T373" t="str">
        <f>T('TMIS CA'!B364)</f>
        <v/>
      </c>
      <c r="U373" t="s">
        <v>4290</v>
      </c>
      <c r="V373" t="str">
        <f t="shared" si="51"/>
        <v/>
      </c>
      <c r="W373" t="str">
        <f t="shared" si="50"/>
        <v/>
      </c>
    </row>
    <row r="374" spans="1:23">
      <c r="A374">
        <f>'IPTV US'!A365</f>
        <v>10534</v>
      </c>
      <c r="B374" t="str">
        <f>T('IPTV US'!B365)</f>
        <v/>
      </c>
      <c r="C374" t="s">
        <v>4290</v>
      </c>
      <c r="D374" t="str">
        <f t="shared" si="44"/>
        <v/>
      </c>
      <c r="E374" t="str">
        <f t="shared" si="45"/>
        <v/>
      </c>
      <c r="F374" s="68" t="s">
        <v>4289</v>
      </c>
      <c r="G374">
        <f>'IPTV CA'!A365</f>
        <v>10964</v>
      </c>
      <c r="H374" t="str">
        <f>T('IPTV CA'!B365)</f>
        <v>Ax Men</v>
      </c>
      <c r="I374" t="s">
        <v>4288</v>
      </c>
      <c r="J374" t="str">
        <f t="shared" si="46"/>
        <v/>
      </c>
      <c r="K374" t="str">
        <f t="shared" si="48"/>
        <v/>
      </c>
      <c r="L374" s="69"/>
      <c r="M374">
        <f>'TMIS US'!A365</f>
        <v>9134</v>
      </c>
      <c r="N374" t="str">
        <f>T('TMIS US'!B365)</f>
        <v/>
      </c>
      <c r="O374" t="s">
        <v>4290</v>
      </c>
      <c r="P374" t="str">
        <f t="shared" si="47"/>
        <v/>
      </c>
      <c r="Q374" t="str">
        <f t="shared" si="49"/>
        <v/>
      </c>
      <c r="R374" s="69"/>
      <c r="S374">
        <f>'TMIS CA'!A365</f>
        <v>9564</v>
      </c>
      <c r="T374" t="str">
        <f>T('TMIS CA'!B365)</f>
        <v>Ax Men</v>
      </c>
      <c r="U374" t="s">
        <v>4288</v>
      </c>
      <c r="V374" t="str">
        <f t="shared" si="51"/>
        <v/>
      </c>
      <c r="W374" t="str">
        <f t="shared" si="50"/>
        <v/>
      </c>
    </row>
    <row r="375" spans="1:23">
      <c r="A375">
        <f>'IPTV US'!A366</f>
        <v>10535</v>
      </c>
      <c r="B375" t="str">
        <f>T('IPTV US'!B366)</f>
        <v/>
      </c>
      <c r="C375" t="s">
        <v>4290</v>
      </c>
      <c r="D375" t="str">
        <f t="shared" si="44"/>
        <v/>
      </c>
      <c r="E375" t="str">
        <f t="shared" si="45"/>
        <v/>
      </c>
      <c r="F375" s="68" t="s">
        <v>4289</v>
      </c>
      <c r="G375">
        <f>'IPTV CA'!A366</f>
        <v>10965</v>
      </c>
      <c r="H375" t="str">
        <f>T('IPTV CA'!B366)</f>
        <v/>
      </c>
      <c r="I375" t="s">
        <v>4290</v>
      </c>
      <c r="J375" t="str">
        <f t="shared" si="46"/>
        <v/>
      </c>
      <c r="K375" t="str">
        <f t="shared" si="48"/>
        <v/>
      </c>
      <c r="L375" s="69"/>
      <c r="M375">
        <f>'TMIS US'!A366</f>
        <v>9135</v>
      </c>
      <c r="N375" t="str">
        <f>T('TMIS US'!B366)</f>
        <v/>
      </c>
      <c r="O375" t="s">
        <v>4290</v>
      </c>
      <c r="P375" t="str">
        <f t="shared" si="47"/>
        <v/>
      </c>
      <c r="Q375" t="str">
        <f t="shared" si="49"/>
        <v/>
      </c>
      <c r="R375" s="69"/>
      <c r="S375">
        <f>'TMIS CA'!A366</f>
        <v>9565</v>
      </c>
      <c r="T375" t="str">
        <f>T('TMIS CA'!B366)</f>
        <v/>
      </c>
      <c r="U375" t="s">
        <v>4290</v>
      </c>
      <c r="V375" t="str">
        <f t="shared" si="51"/>
        <v/>
      </c>
      <c r="W375" t="str">
        <f t="shared" si="50"/>
        <v/>
      </c>
    </row>
    <row r="376" spans="1:23">
      <c r="A376">
        <f>'IPTV US'!A367</f>
        <v>10536</v>
      </c>
      <c r="B376" t="str">
        <f>T('IPTV US'!B367)</f>
        <v>PBS Nature</v>
      </c>
      <c r="C376" t="s">
        <v>4288</v>
      </c>
      <c r="D376" t="str">
        <f t="shared" si="44"/>
        <v/>
      </c>
      <c r="E376" t="str">
        <f t="shared" si="45"/>
        <v/>
      </c>
      <c r="F376" s="68" t="s">
        <v>4289</v>
      </c>
      <c r="G376">
        <f>'IPTV CA'!A367</f>
        <v>10966</v>
      </c>
      <c r="H376" t="str">
        <f>T('IPTV CA'!B367)</f>
        <v/>
      </c>
      <c r="I376" t="s">
        <v>4290</v>
      </c>
      <c r="J376" t="str">
        <f t="shared" si="46"/>
        <v/>
      </c>
      <c r="K376" t="str">
        <f t="shared" si="48"/>
        <v/>
      </c>
      <c r="L376" s="69"/>
      <c r="M376">
        <f>'TMIS US'!A367</f>
        <v>9136</v>
      </c>
      <c r="N376" t="str">
        <f>T('TMIS US'!B367)</f>
        <v>PBS Nature</v>
      </c>
      <c r="O376" t="s">
        <v>4288</v>
      </c>
      <c r="P376" t="str">
        <f t="shared" si="47"/>
        <v/>
      </c>
      <c r="Q376" t="str">
        <f t="shared" si="49"/>
        <v/>
      </c>
      <c r="R376" s="69"/>
      <c r="S376">
        <f>'TMIS CA'!A367</f>
        <v>9566</v>
      </c>
      <c r="T376" t="str">
        <f>T('TMIS CA'!B367)</f>
        <v/>
      </c>
      <c r="U376" t="s">
        <v>4290</v>
      </c>
      <c r="V376" t="str">
        <f t="shared" si="51"/>
        <v/>
      </c>
      <c r="W376" t="str">
        <f t="shared" si="50"/>
        <v/>
      </c>
    </row>
    <row r="377" spans="1:23">
      <c r="A377">
        <f>'IPTV US'!A368</f>
        <v>10537</v>
      </c>
      <c r="B377" t="str">
        <f>T('IPTV US'!B368)</f>
        <v/>
      </c>
      <c r="C377" t="s">
        <v>4290</v>
      </c>
      <c r="D377" t="str">
        <f t="shared" si="44"/>
        <v/>
      </c>
      <c r="E377" t="str">
        <f t="shared" si="45"/>
        <v/>
      </c>
      <c r="F377" s="68" t="s">
        <v>4289</v>
      </c>
      <c r="G377">
        <f>'IPTV CA'!A368</f>
        <v>10967</v>
      </c>
      <c r="H377" t="str">
        <f>T('IPTV CA'!B368)</f>
        <v>The Wicked Tuna Channel</v>
      </c>
      <c r="I377" t="s">
        <v>4288</v>
      </c>
      <c r="J377" t="str">
        <f t="shared" si="46"/>
        <v/>
      </c>
      <c r="K377" t="str">
        <f t="shared" si="48"/>
        <v/>
      </c>
      <c r="L377" s="69"/>
      <c r="M377">
        <f>'TMIS US'!A368</f>
        <v>9137</v>
      </c>
      <c r="N377" t="str">
        <f>T('TMIS US'!B368)</f>
        <v/>
      </c>
      <c r="O377" t="s">
        <v>4290</v>
      </c>
      <c r="P377" t="str">
        <f t="shared" si="47"/>
        <v/>
      </c>
      <c r="Q377" t="str">
        <f t="shared" si="49"/>
        <v/>
      </c>
      <c r="R377" s="69"/>
      <c r="S377">
        <f>'TMIS CA'!A368</f>
        <v>9567</v>
      </c>
      <c r="T377" t="str">
        <f>T('TMIS CA'!B368)</f>
        <v>The Wicked Tuna Channel</v>
      </c>
      <c r="U377" t="s">
        <v>4288</v>
      </c>
      <c r="V377" t="str">
        <f t="shared" si="51"/>
        <v/>
      </c>
      <c r="W377" t="str">
        <f t="shared" si="50"/>
        <v/>
      </c>
    </row>
    <row r="378" spans="1:23">
      <c r="A378">
        <f>'IPTV US'!A369</f>
        <v>10538</v>
      </c>
      <c r="B378" t="str">
        <f>T('IPTV US'!B369)</f>
        <v>Love Nature</v>
      </c>
      <c r="C378" t="s">
        <v>4288</v>
      </c>
      <c r="D378" t="str">
        <f t="shared" si="44"/>
        <v/>
      </c>
      <c r="E378" t="str">
        <f t="shared" si="45"/>
        <v/>
      </c>
      <c r="F378" s="68" t="s">
        <v>4289</v>
      </c>
      <c r="G378">
        <f>'IPTV CA'!A369</f>
        <v>10968</v>
      </c>
      <c r="H378" t="str">
        <f>T('IPTV CA'!B369)</f>
        <v>Ice Pilots NWT</v>
      </c>
      <c r="I378" t="s">
        <v>4288</v>
      </c>
      <c r="J378" t="str">
        <f t="shared" si="46"/>
        <v/>
      </c>
      <c r="K378" t="str">
        <f t="shared" si="48"/>
        <v/>
      </c>
      <c r="L378" s="69"/>
      <c r="M378">
        <f>'TMIS US'!A369</f>
        <v>9138</v>
      </c>
      <c r="N378" t="str">
        <f>T('TMIS US'!B369)</f>
        <v>Love Nature</v>
      </c>
      <c r="O378" t="s">
        <v>4288</v>
      </c>
      <c r="P378" t="str">
        <f t="shared" si="47"/>
        <v/>
      </c>
      <c r="Q378" t="str">
        <f t="shared" si="49"/>
        <v/>
      </c>
      <c r="R378" s="69"/>
      <c r="S378">
        <f>'TMIS CA'!A369</f>
        <v>9568</v>
      </c>
      <c r="T378" t="str">
        <f>T('TMIS CA'!B369)</f>
        <v>Ice Pilots NWT</v>
      </c>
      <c r="U378" t="s">
        <v>4288</v>
      </c>
      <c r="V378" t="str">
        <f t="shared" si="51"/>
        <v/>
      </c>
      <c r="W378" t="str">
        <f t="shared" si="50"/>
        <v/>
      </c>
    </row>
    <row r="379" spans="1:23">
      <c r="A379">
        <f>'IPTV US'!A370</f>
        <v>10539</v>
      </c>
      <c r="B379" t="str">
        <f>T('IPTV US'!B370)</f>
        <v/>
      </c>
      <c r="C379" t="s">
        <v>4290</v>
      </c>
      <c r="D379" t="str">
        <f t="shared" si="44"/>
        <v/>
      </c>
      <c r="E379" t="str">
        <f t="shared" si="45"/>
        <v/>
      </c>
      <c r="F379" s="68" t="s">
        <v>4289</v>
      </c>
      <c r="G379">
        <f>'IPTV CA'!A370</f>
        <v>10969</v>
      </c>
      <c r="H379" t="str">
        <f>T('IPTV CA'!B370)</f>
        <v/>
      </c>
      <c r="I379" t="s">
        <v>4290</v>
      </c>
      <c r="J379" t="str">
        <f t="shared" si="46"/>
        <v/>
      </c>
      <c r="K379" t="str">
        <f t="shared" si="48"/>
        <v/>
      </c>
      <c r="L379" s="69"/>
      <c r="M379">
        <f>'TMIS US'!A370</f>
        <v>9139</v>
      </c>
      <c r="N379" t="str">
        <f>T('TMIS US'!B370)</f>
        <v/>
      </c>
      <c r="O379" t="s">
        <v>4290</v>
      </c>
      <c r="P379" t="str">
        <f t="shared" si="47"/>
        <v/>
      </c>
      <c r="Q379" t="str">
        <f t="shared" si="49"/>
        <v/>
      </c>
      <c r="R379" s="69"/>
      <c r="S379">
        <f>'TMIS CA'!A370</f>
        <v>9569</v>
      </c>
      <c r="T379" t="str">
        <f>T('TMIS CA'!B370)</f>
        <v/>
      </c>
      <c r="U379" t="s">
        <v>4290</v>
      </c>
      <c r="V379" t="str">
        <f t="shared" si="51"/>
        <v/>
      </c>
      <c r="W379" t="str">
        <f t="shared" si="50"/>
        <v/>
      </c>
    </row>
    <row r="380" spans="1:23">
      <c r="A380">
        <f>'IPTV US'!A371</f>
        <v>10540</v>
      </c>
      <c r="B380" t="str">
        <f>T('IPTV US'!B371)</f>
        <v>Xumo Free Nature and Wildlife</v>
      </c>
      <c r="C380" t="s">
        <v>4288</v>
      </c>
      <c r="D380" t="str">
        <f t="shared" si="44"/>
        <v/>
      </c>
      <c r="E380" t="str">
        <f t="shared" si="45"/>
        <v/>
      </c>
      <c r="F380" s="68" t="s">
        <v>4289</v>
      </c>
      <c r="G380">
        <f>'IPTV CA'!A371</f>
        <v>10970</v>
      </c>
      <c r="H380" t="str">
        <f>T('IPTV CA'!B371)</f>
        <v/>
      </c>
      <c r="I380" t="s">
        <v>4290</v>
      </c>
      <c r="J380" t="str">
        <f t="shared" si="46"/>
        <v/>
      </c>
      <c r="K380" t="str">
        <f t="shared" si="48"/>
        <v/>
      </c>
      <c r="L380" s="69"/>
      <c r="M380">
        <f>'TMIS US'!A371</f>
        <v>9140</v>
      </c>
      <c r="N380" t="str">
        <f>T('TMIS US'!B371)</f>
        <v>Xumo Free Nature and Wildlife</v>
      </c>
      <c r="O380" t="s">
        <v>4288</v>
      </c>
      <c r="P380" t="str">
        <f t="shared" si="47"/>
        <v/>
      </c>
      <c r="Q380" t="str">
        <f t="shared" si="49"/>
        <v/>
      </c>
      <c r="R380" s="69"/>
      <c r="S380">
        <f>'TMIS CA'!A371</f>
        <v>9570</v>
      </c>
      <c r="T380" t="str">
        <f>T('TMIS CA'!B371)</f>
        <v/>
      </c>
      <c r="U380" t="s">
        <v>4290</v>
      </c>
      <c r="V380" t="str">
        <f t="shared" si="51"/>
        <v/>
      </c>
      <c r="W380" t="str">
        <f t="shared" si="50"/>
        <v/>
      </c>
    </row>
    <row r="381" spans="1:23">
      <c r="A381">
        <f>'IPTV US'!A372</f>
        <v>10541</v>
      </c>
      <c r="B381" t="str">
        <f>T('IPTV US'!B372)</f>
        <v>NatureVision</v>
      </c>
      <c r="C381" t="s">
        <v>4288</v>
      </c>
      <c r="D381" t="str">
        <f t="shared" si="44"/>
        <v/>
      </c>
      <c r="E381" t="str">
        <f t="shared" si="45"/>
        <v/>
      </c>
      <c r="F381" s="68" t="s">
        <v>4289</v>
      </c>
      <c r="G381">
        <f>'IPTV CA'!A372</f>
        <v>10971</v>
      </c>
      <c r="H381" t="str">
        <f>T('IPTV CA'!B372)</f>
        <v>Rig TV</v>
      </c>
      <c r="I381" t="s">
        <v>4288</v>
      </c>
      <c r="J381" t="str">
        <f t="shared" si="46"/>
        <v/>
      </c>
      <c r="K381" t="str">
        <f t="shared" si="48"/>
        <v/>
      </c>
      <c r="L381" s="69"/>
      <c r="M381">
        <f>'TMIS US'!A372</f>
        <v>9141</v>
      </c>
      <c r="N381" t="str">
        <f>T('TMIS US'!B372)</f>
        <v>NatureVision</v>
      </c>
      <c r="O381" t="s">
        <v>4288</v>
      </c>
      <c r="P381" t="str">
        <f t="shared" si="47"/>
        <v/>
      </c>
      <c r="Q381" t="str">
        <f t="shared" si="49"/>
        <v/>
      </c>
      <c r="R381" s="69"/>
      <c r="S381">
        <f>'TMIS CA'!A372</f>
        <v>9571</v>
      </c>
      <c r="T381" t="str">
        <f>T('TMIS CA'!B372)</f>
        <v>Rig TV</v>
      </c>
      <c r="U381" t="s">
        <v>4288</v>
      </c>
      <c r="V381" t="str">
        <f t="shared" si="51"/>
        <v/>
      </c>
      <c r="W381" t="str">
        <f t="shared" si="50"/>
        <v/>
      </c>
    </row>
    <row r="382" spans="1:23">
      <c r="A382">
        <f>'IPTV US'!A373</f>
        <v>10542</v>
      </c>
      <c r="B382" t="str">
        <f>T('IPTV US'!B373)</f>
        <v/>
      </c>
      <c r="C382" t="s">
        <v>4290</v>
      </c>
      <c r="D382" t="str">
        <f t="shared" si="44"/>
        <v/>
      </c>
      <c r="E382" t="str">
        <f t="shared" si="45"/>
        <v/>
      </c>
      <c r="F382" s="68" t="s">
        <v>4289</v>
      </c>
      <c r="G382">
        <f>'IPTV CA'!A373</f>
        <v>10972</v>
      </c>
      <c r="H382" t="str">
        <f>T('IPTV CA'!B373)</f>
        <v>Survivorman on Plex</v>
      </c>
      <c r="I382" t="s">
        <v>4288</v>
      </c>
      <c r="J382" t="str">
        <f t="shared" si="46"/>
        <v/>
      </c>
      <c r="K382" t="str">
        <f t="shared" si="48"/>
        <v/>
      </c>
      <c r="L382" s="69"/>
      <c r="M382">
        <f>'TMIS US'!A373</f>
        <v>9142</v>
      </c>
      <c r="N382" t="str">
        <f>T('TMIS US'!B373)</f>
        <v/>
      </c>
      <c r="O382" t="s">
        <v>4290</v>
      </c>
      <c r="P382" t="str">
        <f t="shared" si="47"/>
        <v/>
      </c>
      <c r="Q382" t="str">
        <f t="shared" si="49"/>
        <v/>
      </c>
      <c r="R382" s="69"/>
      <c r="S382">
        <f>'TMIS CA'!A373</f>
        <v>9572</v>
      </c>
      <c r="T382" t="str">
        <f>T('TMIS CA'!B373)</f>
        <v>Survivorman on Plex</v>
      </c>
      <c r="U382" t="s">
        <v>4288</v>
      </c>
      <c r="V382" t="str">
        <f t="shared" si="51"/>
        <v/>
      </c>
      <c r="W382" t="str">
        <f t="shared" si="50"/>
        <v/>
      </c>
    </row>
    <row r="383" spans="1:23">
      <c r="A383">
        <f>'IPTV US'!A374</f>
        <v>10543</v>
      </c>
      <c r="B383" t="str">
        <f>T('IPTV US'!B374)</f>
        <v/>
      </c>
      <c r="C383" t="s">
        <v>4290</v>
      </c>
      <c r="D383" t="str">
        <f t="shared" si="44"/>
        <v/>
      </c>
      <c r="E383" t="str">
        <f t="shared" si="45"/>
        <v/>
      </c>
      <c r="F383" s="68" t="s">
        <v>4289</v>
      </c>
      <c r="G383">
        <f>'IPTV CA'!A374</f>
        <v>10973</v>
      </c>
      <c r="H383" t="str">
        <f>T('IPTV CA'!B374)</f>
        <v/>
      </c>
      <c r="I383" t="s">
        <v>4290</v>
      </c>
      <c r="J383" t="str">
        <f t="shared" si="46"/>
        <v/>
      </c>
      <c r="K383" t="str">
        <f t="shared" si="48"/>
        <v/>
      </c>
      <c r="L383" s="69"/>
      <c r="M383">
        <f>'TMIS US'!A374</f>
        <v>9143</v>
      </c>
      <c r="N383" t="str">
        <f>T('TMIS US'!B374)</f>
        <v/>
      </c>
      <c r="O383" t="s">
        <v>4290</v>
      </c>
      <c r="P383" t="str">
        <f t="shared" si="47"/>
        <v/>
      </c>
      <c r="Q383" t="str">
        <f t="shared" si="49"/>
        <v/>
      </c>
      <c r="R383" s="69"/>
      <c r="S383">
        <f>'TMIS CA'!A374</f>
        <v>9573</v>
      </c>
      <c r="T383" t="str">
        <f>T('TMIS CA'!B374)</f>
        <v/>
      </c>
      <c r="U383" t="s">
        <v>4290</v>
      </c>
      <c r="V383" t="str">
        <f t="shared" si="51"/>
        <v/>
      </c>
      <c r="W383" t="str">
        <f t="shared" si="50"/>
        <v/>
      </c>
    </row>
    <row r="384" spans="1:23">
      <c r="A384">
        <f>'IPTV US'!A375</f>
        <v>10544</v>
      </c>
      <c r="B384" t="str">
        <f>T('IPTV US'!B375)</f>
        <v/>
      </c>
      <c r="C384" t="s">
        <v>4290</v>
      </c>
      <c r="D384" t="str">
        <f t="shared" si="44"/>
        <v/>
      </c>
      <c r="E384" t="str">
        <f t="shared" si="45"/>
        <v/>
      </c>
      <c r="F384" s="68" t="s">
        <v>4289</v>
      </c>
      <c r="G384">
        <f>'IPTV CA'!A375</f>
        <v>10974</v>
      </c>
      <c r="H384" t="str">
        <f>T('IPTV CA'!B375)</f>
        <v/>
      </c>
      <c r="I384" t="s">
        <v>4290</v>
      </c>
      <c r="J384" t="str">
        <f t="shared" si="46"/>
        <v/>
      </c>
      <c r="K384" t="str">
        <f t="shared" si="48"/>
        <v/>
      </c>
      <c r="L384" s="69"/>
      <c r="M384">
        <f>'TMIS US'!A375</f>
        <v>9144</v>
      </c>
      <c r="N384" t="str">
        <f>T('TMIS US'!B375)</f>
        <v/>
      </c>
      <c r="O384" t="s">
        <v>4290</v>
      </c>
      <c r="P384" t="str">
        <f t="shared" si="47"/>
        <v/>
      </c>
      <c r="Q384" t="str">
        <f t="shared" si="49"/>
        <v/>
      </c>
      <c r="R384" s="69"/>
      <c r="S384">
        <f>'TMIS CA'!A375</f>
        <v>9574</v>
      </c>
      <c r="T384" t="str">
        <f>T('TMIS CA'!B375)</f>
        <v/>
      </c>
      <c r="U384" t="s">
        <v>4290</v>
      </c>
      <c r="V384" t="str">
        <f t="shared" si="51"/>
        <v/>
      </c>
      <c r="W384" t="str">
        <f t="shared" si="50"/>
        <v/>
      </c>
    </row>
    <row r="385" spans="1:23">
      <c r="A385">
        <f>'IPTV US'!A376</f>
        <v>10545</v>
      </c>
      <c r="B385" t="str">
        <f>T('IPTV US'!B376)</f>
        <v/>
      </c>
      <c r="C385" t="s">
        <v>4290</v>
      </c>
      <c r="D385" t="str">
        <f t="shared" si="44"/>
        <v/>
      </c>
      <c r="E385" t="str">
        <f t="shared" si="45"/>
        <v/>
      </c>
      <c r="F385" s="68" t="s">
        <v>4289</v>
      </c>
      <c r="G385">
        <f>'IPTV CA'!A376</f>
        <v>10975</v>
      </c>
      <c r="H385" t="str">
        <f>T('IPTV CA'!B376)</f>
        <v/>
      </c>
      <c r="I385" t="s">
        <v>4290</v>
      </c>
      <c r="J385" t="str">
        <f t="shared" si="46"/>
        <v/>
      </c>
      <c r="K385" t="str">
        <f t="shared" si="48"/>
        <v/>
      </c>
      <c r="L385" s="69"/>
      <c r="M385">
        <f>'TMIS US'!A376</f>
        <v>9145</v>
      </c>
      <c r="N385" t="str">
        <f>T('TMIS US'!B376)</f>
        <v/>
      </c>
      <c r="O385" t="s">
        <v>4290</v>
      </c>
      <c r="P385" t="str">
        <f t="shared" si="47"/>
        <v/>
      </c>
      <c r="Q385" t="str">
        <f t="shared" si="49"/>
        <v/>
      </c>
      <c r="R385" s="69"/>
      <c r="S385">
        <f>'TMIS CA'!A376</f>
        <v>9575</v>
      </c>
      <c r="T385" t="str">
        <f>T('TMIS CA'!B376)</f>
        <v/>
      </c>
      <c r="U385" t="s">
        <v>4290</v>
      </c>
      <c r="V385" t="str">
        <f t="shared" si="51"/>
        <v/>
      </c>
      <c r="W385" t="str">
        <f t="shared" si="50"/>
        <v/>
      </c>
    </row>
    <row r="386" spans="1:23">
      <c r="A386">
        <f>'IPTV US'!A377</f>
        <v>10546</v>
      </c>
      <c r="B386" t="str">
        <f>T('IPTV US'!B377)</f>
        <v/>
      </c>
      <c r="C386" t="s">
        <v>4290</v>
      </c>
      <c r="D386" t="str">
        <f t="shared" si="44"/>
        <v/>
      </c>
      <c r="E386" t="str">
        <f t="shared" si="45"/>
        <v/>
      </c>
      <c r="F386" s="68" t="s">
        <v>4289</v>
      </c>
      <c r="G386">
        <f>'IPTV CA'!A377</f>
        <v>10976</v>
      </c>
      <c r="H386" t="str">
        <f>T('IPTV CA'!B377)</f>
        <v/>
      </c>
      <c r="I386" t="s">
        <v>4290</v>
      </c>
      <c r="J386" t="str">
        <f t="shared" si="46"/>
        <v/>
      </c>
      <c r="K386" t="str">
        <f t="shared" si="48"/>
        <v/>
      </c>
      <c r="L386" s="69"/>
      <c r="M386">
        <f>'TMIS US'!A377</f>
        <v>9146</v>
      </c>
      <c r="N386" t="str">
        <f>T('TMIS US'!B377)</f>
        <v/>
      </c>
      <c r="O386" t="s">
        <v>4290</v>
      </c>
      <c r="P386" t="str">
        <f t="shared" si="47"/>
        <v/>
      </c>
      <c r="Q386" t="str">
        <f t="shared" si="49"/>
        <v/>
      </c>
      <c r="R386" s="69"/>
      <c r="S386">
        <f>'TMIS CA'!A377</f>
        <v>9576</v>
      </c>
      <c r="T386" t="str">
        <f>T('TMIS CA'!B377)</f>
        <v/>
      </c>
      <c r="U386" t="s">
        <v>4290</v>
      </c>
      <c r="V386" t="str">
        <f t="shared" si="51"/>
        <v/>
      </c>
      <c r="W386" t="str">
        <f t="shared" si="50"/>
        <v/>
      </c>
    </row>
    <row r="387" spans="1:23">
      <c r="A387">
        <f>'IPTV US'!A378</f>
        <v>10547</v>
      </c>
      <c r="B387" t="str">
        <f>T('IPTV US'!B378)</f>
        <v/>
      </c>
      <c r="C387" t="s">
        <v>4290</v>
      </c>
      <c r="D387" t="str">
        <f t="shared" si="44"/>
        <v/>
      </c>
      <c r="E387" t="str">
        <f t="shared" si="45"/>
        <v/>
      </c>
      <c r="F387" s="68" t="s">
        <v>4289</v>
      </c>
      <c r="G387">
        <f>'IPTV CA'!A378</f>
        <v>10977</v>
      </c>
      <c r="H387" t="str">
        <f>T('IPTV CA'!B378)</f>
        <v/>
      </c>
      <c r="I387" t="s">
        <v>4290</v>
      </c>
      <c r="J387" t="str">
        <f t="shared" si="46"/>
        <v/>
      </c>
      <c r="K387" t="str">
        <f t="shared" si="48"/>
        <v/>
      </c>
      <c r="L387" s="69"/>
      <c r="M387">
        <f>'TMIS US'!A378</f>
        <v>9147</v>
      </c>
      <c r="N387" t="str">
        <f>T('TMIS US'!B378)</f>
        <v/>
      </c>
      <c r="O387" t="s">
        <v>4290</v>
      </c>
      <c r="P387" t="str">
        <f t="shared" si="47"/>
        <v/>
      </c>
      <c r="Q387" t="str">
        <f t="shared" si="49"/>
        <v/>
      </c>
      <c r="R387" s="69"/>
      <c r="S387">
        <f>'TMIS CA'!A378</f>
        <v>9577</v>
      </c>
      <c r="T387" t="str">
        <f>T('TMIS CA'!B378)</f>
        <v/>
      </c>
      <c r="U387" t="s">
        <v>4290</v>
      </c>
      <c r="V387" t="str">
        <f t="shared" si="51"/>
        <v/>
      </c>
      <c r="W387" t="str">
        <f t="shared" si="50"/>
        <v/>
      </c>
    </row>
    <row r="388" spans="1:23">
      <c r="A388">
        <f>'IPTV US'!A379</f>
        <v>10548</v>
      </c>
      <c r="B388" t="str">
        <f>T('IPTV US'!B379)</f>
        <v>Speedvision</v>
      </c>
      <c r="C388" t="s">
        <v>4288</v>
      </c>
      <c r="D388" t="str">
        <f t="shared" si="44"/>
        <v/>
      </c>
      <c r="E388" t="str">
        <f t="shared" si="45"/>
        <v/>
      </c>
      <c r="F388" s="68" t="s">
        <v>4289</v>
      </c>
      <c r="G388">
        <f>'IPTV CA'!A379</f>
        <v>10978</v>
      </c>
      <c r="H388" t="str">
        <f>T('IPTV CA'!B379)</f>
        <v>American Pickers Channel</v>
      </c>
      <c r="I388" t="s">
        <v>4288</v>
      </c>
      <c r="J388" t="str">
        <f t="shared" si="46"/>
        <v/>
      </c>
      <c r="K388" t="str">
        <f t="shared" si="48"/>
        <v/>
      </c>
      <c r="L388" s="69"/>
      <c r="M388">
        <f>'TMIS US'!A379</f>
        <v>9148</v>
      </c>
      <c r="N388" t="str">
        <f>T('TMIS US'!B379)</f>
        <v>Speedvision</v>
      </c>
      <c r="O388" t="s">
        <v>4288</v>
      </c>
      <c r="P388" t="str">
        <f t="shared" si="47"/>
        <v/>
      </c>
      <c r="Q388" t="str">
        <f t="shared" si="49"/>
        <v/>
      </c>
      <c r="R388" s="69"/>
      <c r="S388">
        <f>'TMIS CA'!A379</f>
        <v>9578</v>
      </c>
      <c r="T388" t="str">
        <f>T('TMIS CA'!B379)</f>
        <v>American Pickers Channel</v>
      </c>
      <c r="U388" t="s">
        <v>4288</v>
      </c>
      <c r="V388" t="str">
        <f t="shared" si="51"/>
        <v/>
      </c>
      <c r="W388" t="str">
        <f t="shared" si="50"/>
        <v/>
      </c>
    </row>
    <row r="389" spans="1:23">
      <c r="A389">
        <f>'IPTV US'!A380</f>
        <v>10549</v>
      </c>
      <c r="B389" t="str">
        <f>T('IPTV US'!B380)</f>
        <v>PowerNation</v>
      </c>
      <c r="C389" t="s">
        <v>4288</v>
      </c>
      <c r="D389" t="str">
        <f t="shared" si="44"/>
        <v/>
      </c>
      <c r="E389" t="str">
        <f t="shared" si="45"/>
        <v/>
      </c>
      <c r="F389" s="68" t="s">
        <v>4289</v>
      </c>
      <c r="G389">
        <f>'IPTV CA'!A380</f>
        <v>10979</v>
      </c>
      <c r="H389" t="str">
        <f>T('IPTV CA'!B380)</f>
        <v>Hardcore Pawn</v>
      </c>
      <c r="I389" t="s">
        <v>4288</v>
      </c>
      <c r="J389" t="str">
        <f t="shared" si="46"/>
        <v/>
      </c>
      <c r="K389" t="str">
        <f t="shared" si="48"/>
        <v/>
      </c>
      <c r="L389" s="69"/>
      <c r="M389">
        <f>'TMIS US'!A380</f>
        <v>9149</v>
      </c>
      <c r="N389" t="str">
        <f>T('TMIS US'!B380)</f>
        <v>PowerNation</v>
      </c>
      <c r="O389" t="s">
        <v>4288</v>
      </c>
      <c r="P389" t="str">
        <f t="shared" si="47"/>
        <v/>
      </c>
      <c r="Q389" t="str">
        <f t="shared" si="49"/>
        <v/>
      </c>
      <c r="R389" s="69"/>
      <c r="S389">
        <f>'TMIS CA'!A380</f>
        <v>9579</v>
      </c>
      <c r="T389" t="str">
        <f>T('TMIS CA'!B380)</f>
        <v>Hardcore Pawn</v>
      </c>
      <c r="U389" t="s">
        <v>4288</v>
      </c>
      <c r="V389" t="str">
        <f t="shared" si="51"/>
        <v/>
      </c>
      <c r="W389" t="str">
        <f t="shared" si="50"/>
        <v/>
      </c>
    </row>
    <row r="390" spans="1:23">
      <c r="A390">
        <f>'IPTV US'!A381</f>
        <v>10550</v>
      </c>
      <c r="B390" t="str">
        <f>T('IPTV US'!B381)</f>
        <v>MOTORVISION.TV</v>
      </c>
      <c r="C390" t="s">
        <v>4288</v>
      </c>
      <c r="D390" t="str">
        <f t="shared" si="44"/>
        <v/>
      </c>
      <c r="E390" t="str">
        <f t="shared" si="45"/>
        <v/>
      </c>
      <c r="F390" s="68" t="s">
        <v>4289</v>
      </c>
      <c r="G390">
        <f>'IPTV CA'!A381</f>
        <v>10980</v>
      </c>
      <c r="H390" t="str">
        <f>T('IPTV CA'!B381)</f>
        <v>Operation Repo</v>
      </c>
      <c r="I390" t="s">
        <v>4288</v>
      </c>
      <c r="J390" t="str">
        <f t="shared" si="46"/>
        <v/>
      </c>
      <c r="K390" t="str">
        <f t="shared" si="48"/>
        <v/>
      </c>
      <c r="L390" s="69"/>
      <c r="M390">
        <f>'TMIS US'!A381</f>
        <v>9150</v>
      </c>
      <c r="N390" t="str">
        <f>T('TMIS US'!B381)</f>
        <v>MOTORVISION.TV</v>
      </c>
      <c r="O390" t="s">
        <v>4288</v>
      </c>
      <c r="P390" t="str">
        <f t="shared" si="47"/>
        <v/>
      </c>
      <c r="Q390" t="str">
        <f t="shared" si="49"/>
        <v/>
      </c>
      <c r="R390" s="69"/>
      <c r="S390">
        <f>'TMIS CA'!A381</f>
        <v>9580</v>
      </c>
      <c r="T390" t="str">
        <f>T('TMIS CA'!B381)</f>
        <v>Operation Repo</v>
      </c>
      <c r="U390" t="s">
        <v>4288</v>
      </c>
      <c r="V390" t="str">
        <f t="shared" si="51"/>
        <v/>
      </c>
      <c r="W390" t="str">
        <f t="shared" si="50"/>
        <v/>
      </c>
    </row>
    <row r="391" spans="1:23">
      <c r="A391">
        <f>'IPTV US'!A382</f>
        <v>10551</v>
      </c>
      <c r="B391" t="str">
        <f>T('IPTV US'!B382)</f>
        <v/>
      </c>
      <c r="C391" t="s">
        <v>4290</v>
      </c>
      <c r="D391" t="str">
        <f t="shared" si="44"/>
        <v/>
      </c>
      <c r="E391" t="str">
        <f t="shared" si="45"/>
        <v/>
      </c>
      <c r="F391" s="68" t="s">
        <v>4289</v>
      </c>
      <c r="G391">
        <f>'IPTV CA'!A382</f>
        <v>10981</v>
      </c>
      <c r="H391" t="str">
        <f>T('IPTV CA'!B382)</f>
        <v/>
      </c>
      <c r="I391" t="s">
        <v>4290</v>
      </c>
      <c r="J391" t="str">
        <f t="shared" si="46"/>
        <v/>
      </c>
      <c r="K391" t="str">
        <f t="shared" si="48"/>
        <v/>
      </c>
      <c r="L391" s="69"/>
      <c r="M391">
        <f>'TMIS US'!A382</f>
        <v>9151</v>
      </c>
      <c r="N391" t="str">
        <f>T('TMIS US'!B382)</f>
        <v/>
      </c>
      <c r="O391" t="s">
        <v>4290</v>
      </c>
      <c r="P391" t="str">
        <f t="shared" si="47"/>
        <v/>
      </c>
      <c r="Q391" t="str">
        <f t="shared" si="49"/>
        <v/>
      </c>
      <c r="R391" s="69"/>
      <c r="S391">
        <f>'TMIS CA'!A382</f>
        <v>9581</v>
      </c>
      <c r="T391" t="str">
        <f>T('TMIS CA'!B382)</f>
        <v/>
      </c>
      <c r="U391" t="s">
        <v>4290</v>
      </c>
      <c r="V391" t="str">
        <f t="shared" si="51"/>
        <v/>
      </c>
      <c r="W391" t="str">
        <f t="shared" si="50"/>
        <v/>
      </c>
    </row>
    <row r="392" spans="1:23">
      <c r="A392">
        <f>'IPTV US'!A383</f>
        <v>10552</v>
      </c>
      <c r="B392" t="str">
        <f>T('IPTV US'!B383)</f>
        <v/>
      </c>
      <c r="C392" t="s">
        <v>4290</v>
      </c>
      <c r="D392" t="str">
        <f t="shared" si="44"/>
        <v/>
      </c>
      <c r="E392" t="str">
        <f t="shared" si="45"/>
        <v/>
      </c>
      <c r="F392" s="68" t="s">
        <v>4289</v>
      </c>
      <c r="G392">
        <f>'IPTV CA'!A383</f>
        <v>10982</v>
      </c>
      <c r="H392" t="str">
        <f>T('IPTV CA'!B383)</f>
        <v/>
      </c>
      <c r="I392" t="s">
        <v>4290</v>
      </c>
      <c r="J392" t="str">
        <f t="shared" si="46"/>
        <v/>
      </c>
      <c r="K392" t="str">
        <f t="shared" si="48"/>
        <v/>
      </c>
      <c r="L392" s="69"/>
      <c r="M392">
        <f>'TMIS US'!A383</f>
        <v>9152</v>
      </c>
      <c r="N392" t="str">
        <f>T('TMIS US'!B383)</f>
        <v/>
      </c>
      <c r="O392" t="s">
        <v>4290</v>
      </c>
      <c r="P392" t="str">
        <f t="shared" si="47"/>
        <v/>
      </c>
      <c r="Q392" t="str">
        <f t="shared" si="49"/>
        <v/>
      </c>
      <c r="R392" s="69"/>
      <c r="S392">
        <f>'TMIS CA'!A383</f>
        <v>9582</v>
      </c>
      <c r="T392" t="str">
        <f>T('TMIS CA'!B383)</f>
        <v/>
      </c>
      <c r="U392" t="s">
        <v>4290</v>
      </c>
      <c r="V392" t="str">
        <f t="shared" si="51"/>
        <v/>
      </c>
      <c r="W392" t="str">
        <f t="shared" si="50"/>
        <v/>
      </c>
    </row>
    <row r="393" spans="1:23">
      <c r="A393">
        <f>'IPTV US'!A384</f>
        <v>10553</v>
      </c>
      <c r="B393" t="str">
        <f>T('IPTV US'!B384)</f>
        <v/>
      </c>
      <c r="C393" t="s">
        <v>4290</v>
      </c>
      <c r="D393" t="str">
        <f t="shared" si="44"/>
        <v/>
      </c>
      <c r="E393" t="str">
        <f t="shared" si="45"/>
        <v/>
      </c>
      <c r="F393" s="68" t="s">
        <v>4289</v>
      </c>
      <c r="G393">
        <f>'IPTV CA'!A384</f>
        <v>10983</v>
      </c>
      <c r="H393" t="str">
        <f>T('IPTV CA'!B384)</f>
        <v/>
      </c>
      <c r="I393" t="s">
        <v>4290</v>
      </c>
      <c r="J393" t="str">
        <f t="shared" si="46"/>
        <v/>
      </c>
      <c r="K393" t="str">
        <f t="shared" si="48"/>
        <v/>
      </c>
      <c r="L393" s="69"/>
      <c r="M393">
        <f>'TMIS US'!A384</f>
        <v>9153</v>
      </c>
      <c r="N393" t="str">
        <f>T('TMIS US'!B384)</f>
        <v/>
      </c>
      <c r="O393" t="s">
        <v>4290</v>
      </c>
      <c r="P393" t="str">
        <f t="shared" si="47"/>
        <v/>
      </c>
      <c r="Q393" t="str">
        <f t="shared" si="49"/>
        <v/>
      </c>
      <c r="R393" s="69"/>
      <c r="S393">
        <f>'TMIS CA'!A384</f>
        <v>9583</v>
      </c>
      <c r="T393" t="str">
        <f>T('TMIS CA'!B384)</f>
        <v/>
      </c>
      <c r="U393" t="s">
        <v>4290</v>
      </c>
      <c r="V393" t="str">
        <f t="shared" si="51"/>
        <v/>
      </c>
      <c r="W393" t="str">
        <f t="shared" si="50"/>
        <v/>
      </c>
    </row>
    <row r="394" spans="1:23">
      <c r="A394">
        <f>'IPTV US'!A385</f>
        <v>10554</v>
      </c>
      <c r="B394" t="str">
        <f>T('IPTV US'!B385)</f>
        <v/>
      </c>
      <c r="C394" t="s">
        <v>4290</v>
      </c>
      <c r="D394" t="str">
        <f t="shared" si="44"/>
        <v/>
      </c>
      <c r="E394" t="str">
        <f t="shared" si="45"/>
        <v/>
      </c>
      <c r="F394" s="68" t="s">
        <v>4289</v>
      </c>
      <c r="G394">
        <f>'IPTV CA'!A385</f>
        <v>10984</v>
      </c>
      <c r="H394" t="str">
        <f>T('IPTV CA'!B385)</f>
        <v/>
      </c>
      <c r="I394" t="s">
        <v>4290</v>
      </c>
      <c r="J394" t="str">
        <f t="shared" si="46"/>
        <v/>
      </c>
      <c r="K394" t="str">
        <f t="shared" si="48"/>
        <v/>
      </c>
      <c r="L394" s="69"/>
      <c r="M394">
        <f>'TMIS US'!A385</f>
        <v>9154</v>
      </c>
      <c r="N394" t="str">
        <f>T('TMIS US'!B385)</f>
        <v/>
      </c>
      <c r="O394" t="s">
        <v>4290</v>
      </c>
      <c r="P394" t="str">
        <f t="shared" si="47"/>
        <v/>
      </c>
      <c r="Q394" t="str">
        <f t="shared" si="49"/>
        <v/>
      </c>
      <c r="R394" s="69"/>
      <c r="S394">
        <f>'TMIS CA'!A385</f>
        <v>9584</v>
      </c>
      <c r="T394" t="str">
        <f>T('TMIS CA'!B385)</f>
        <v/>
      </c>
      <c r="U394" t="s">
        <v>4290</v>
      </c>
      <c r="V394" t="str">
        <f t="shared" si="51"/>
        <v/>
      </c>
      <c r="W394" t="str">
        <f t="shared" si="50"/>
        <v/>
      </c>
    </row>
    <row r="395" spans="1:23">
      <c r="A395">
        <f>'IPTV US'!A386</f>
        <v>10555</v>
      </c>
      <c r="B395" t="str">
        <f>T('IPTV US'!B386)</f>
        <v>Swerve Combat</v>
      </c>
      <c r="C395" t="s">
        <v>4288</v>
      </c>
      <c r="D395" t="str">
        <f t="shared" ref="D395:D458" si="52">IF(C395="Active",IF(B395="","Please Notify - Channel Removed",""),"")</f>
        <v/>
      </c>
      <c r="E395" t="str">
        <f t="shared" ref="E395:E458" si="53">IF(C395="Vacant",IF(B395="","","Please Notify - Channel Added"),"")</f>
        <v/>
      </c>
      <c r="F395" s="68" t="s">
        <v>4289</v>
      </c>
      <c r="G395">
        <f>'IPTV CA'!A386</f>
        <v>10985</v>
      </c>
      <c r="H395" t="str">
        <f>T('IPTV CA'!B386)</f>
        <v>The Price is Right</v>
      </c>
      <c r="I395" t="s">
        <v>4288</v>
      </c>
      <c r="J395" t="str">
        <f t="shared" ref="J395:J458" si="54">IF(I395="Active",IF(H395="","Please Notify - Channel Removed",""),"")</f>
        <v/>
      </c>
      <c r="K395" t="str">
        <f t="shared" si="48"/>
        <v/>
      </c>
      <c r="L395" s="69"/>
      <c r="M395">
        <f>'TMIS US'!A386</f>
        <v>9155</v>
      </c>
      <c r="N395" t="str">
        <f>T('TMIS US'!B386)</f>
        <v>Swerve Combat</v>
      </c>
      <c r="O395" t="s">
        <v>4288</v>
      </c>
      <c r="P395" t="str">
        <f t="shared" ref="P395:P458" si="55">IF(O395="Active",IF(N395="","Please Notify - Channel Removed",""),"")</f>
        <v/>
      </c>
      <c r="Q395" t="str">
        <f t="shared" si="49"/>
        <v/>
      </c>
      <c r="R395" s="69"/>
      <c r="S395">
        <f>'TMIS CA'!A386</f>
        <v>9585</v>
      </c>
      <c r="T395" t="str">
        <f>T('TMIS CA'!B386)</f>
        <v>The Price is Right</v>
      </c>
      <c r="U395" t="s">
        <v>4288</v>
      </c>
      <c r="V395" t="str">
        <f t="shared" si="51"/>
        <v/>
      </c>
      <c r="W395" t="str">
        <f t="shared" si="50"/>
        <v/>
      </c>
    </row>
    <row r="396" spans="1:23">
      <c r="A396">
        <f>'IPTV US'!A387</f>
        <v>10556</v>
      </c>
      <c r="B396" t="str">
        <f>T('IPTV US'!B387)</f>
        <v/>
      </c>
      <c r="C396" t="s">
        <v>4290</v>
      </c>
      <c r="D396" t="str">
        <f t="shared" si="52"/>
        <v/>
      </c>
      <c r="E396" t="str">
        <f t="shared" si="53"/>
        <v/>
      </c>
      <c r="F396" s="68" t="s">
        <v>4289</v>
      </c>
      <c r="G396">
        <f>'IPTV CA'!A387</f>
        <v>10986</v>
      </c>
      <c r="H396" t="str">
        <f>T('IPTV CA'!B387)</f>
        <v>The Price is Right Drew Carey</v>
      </c>
      <c r="I396" t="s">
        <v>4288</v>
      </c>
      <c r="J396" t="str">
        <f t="shared" si="54"/>
        <v/>
      </c>
      <c r="K396" t="str">
        <f t="shared" ref="K396:K459" si="56">IF(I396="Vacant",IF(H396="","","Please Notify - Channel Added"),"")</f>
        <v/>
      </c>
      <c r="L396" s="69"/>
      <c r="M396">
        <f>'TMIS US'!A387</f>
        <v>9156</v>
      </c>
      <c r="N396" t="str">
        <f>T('TMIS US'!B387)</f>
        <v/>
      </c>
      <c r="O396" t="s">
        <v>4290</v>
      </c>
      <c r="P396" t="str">
        <f t="shared" si="55"/>
        <v/>
      </c>
      <c r="Q396" t="str">
        <f t="shared" ref="Q396:Q459" si="57">IF(O396="Vacant",IF(N396="","","Please Notify - Channel Added"),"")</f>
        <v/>
      </c>
      <c r="R396" s="69"/>
      <c r="S396">
        <f>'TMIS CA'!A387</f>
        <v>9586</v>
      </c>
      <c r="T396" t="str">
        <f>T('TMIS CA'!B387)</f>
        <v>The Price is Right Drew Carey</v>
      </c>
      <c r="U396" t="s">
        <v>4288</v>
      </c>
      <c r="V396" t="str">
        <f t="shared" si="51"/>
        <v/>
      </c>
      <c r="W396" t="str">
        <f t="shared" ref="W396:W459" si="58">IF(U396="Vacant",IF(T396="","","Please Notify - Channel Added"),"")</f>
        <v/>
      </c>
    </row>
    <row r="397" spans="1:23">
      <c r="A397">
        <f>'IPTV US'!A388</f>
        <v>10557</v>
      </c>
      <c r="B397" t="str">
        <f>T('IPTV US'!B388)</f>
        <v>ACL Cornhole</v>
      </c>
      <c r="C397" t="s">
        <v>4288</v>
      </c>
      <c r="D397" t="str">
        <f t="shared" si="52"/>
        <v/>
      </c>
      <c r="E397" t="str">
        <f t="shared" si="53"/>
        <v/>
      </c>
      <c r="F397" s="68" t="s">
        <v>4289</v>
      </c>
      <c r="G397">
        <f>'IPTV CA'!A388</f>
        <v>10987</v>
      </c>
      <c r="H397" t="str">
        <f>T('IPTV CA'!B388)</f>
        <v/>
      </c>
      <c r="I397" t="s">
        <v>4290</v>
      </c>
      <c r="J397" t="str">
        <f t="shared" si="54"/>
        <v/>
      </c>
      <c r="K397" t="str">
        <f t="shared" si="56"/>
        <v/>
      </c>
      <c r="L397" s="69"/>
      <c r="M397">
        <f>'TMIS US'!A388</f>
        <v>9157</v>
      </c>
      <c r="N397" t="str">
        <f>T('TMIS US'!B388)</f>
        <v>ACL Cornhole</v>
      </c>
      <c r="O397" t="s">
        <v>4288</v>
      </c>
      <c r="P397" t="str">
        <f t="shared" si="55"/>
        <v/>
      </c>
      <c r="Q397" t="str">
        <f t="shared" si="57"/>
        <v/>
      </c>
      <c r="R397" s="69"/>
      <c r="S397">
        <f>'TMIS CA'!A388</f>
        <v>9587</v>
      </c>
      <c r="T397" t="str">
        <f>T('TMIS CA'!B388)</f>
        <v/>
      </c>
      <c r="U397" t="s">
        <v>4290</v>
      </c>
      <c r="V397" t="str">
        <f t="shared" si="51"/>
        <v/>
      </c>
      <c r="W397" t="str">
        <f t="shared" si="58"/>
        <v/>
      </c>
    </row>
    <row r="398" spans="1:23">
      <c r="A398">
        <f>'IPTV US'!A389</f>
        <v>10558</v>
      </c>
      <c r="B398" t="str">
        <f>T('IPTV US'!B389)</f>
        <v>Billiard TV</v>
      </c>
      <c r="C398" t="s">
        <v>4288</v>
      </c>
      <c r="D398" t="str">
        <f t="shared" si="52"/>
        <v/>
      </c>
      <c r="E398" t="str">
        <f t="shared" si="53"/>
        <v/>
      </c>
      <c r="F398" s="68" t="s">
        <v>4289</v>
      </c>
      <c r="G398">
        <f>'IPTV CA'!A389</f>
        <v>10988</v>
      </c>
      <c r="H398" t="str">
        <f>T('IPTV CA'!B389)</f>
        <v/>
      </c>
      <c r="I398" t="s">
        <v>4290</v>
      </c>
      <c r="J398" t="str">
        <f t="shared" si="54"/>
        <v/>
      </c>
      <c r="K398" t="str">
        <f t="shared" si="56"/>
        <v/>
      </c>
      <c r="L398" s="69"/>
      <c r="M398">
        <f>'TMIS US'!A389</f>
        <v>9158</v>
      </c>
      <c r="N398" t="str">
        <f>T('TMIS US'!B389)</f>
        <v>Billiard TV</v>
      </c>
      <c r="O398" t="s">
        <v>4288</v>
      </c>
      <c r="P398" t="str">
        <f t="shared" si="55"/>
        <v/>
      </c>
      <c r="Q398" t="str">
        <f t="shared" si="57"/>
        <v/>
      </c>
      <c r="R398" s="69"/>
      <c r="S398">
        <f>'TMIS CA'!A389</f>
        <v>9588</v>
      </c>
      <c r="T398" t="str">
        <f>T('TMIS CA'!B389)</f>
        <v/>
      </c>
      <c r="U398" t="s">
        <v>4290</v>
      </c>
      <c r="V398" t="str">
        <f t="shared" ref="V398:V461" si="59">IF(U398="Active",IF(T398="","Please Notify - Channel Removed",""),"")</f>
        <v/>
      </c>
      <c r="W398" t="str">
        <f t="shared" si="58"/>
        <v/>
      </c>
    </row>
    <row r="399" spans="1:23">
      <c r="A399">
        <f>'IPTV US'!A390</f>
        <v>10559</v>
      </c>
      <c r="B399" t="str">
        <f>T('IPTV US'!B390)</f>
        <v/>
      </c>
      <c r="C399" t="s">
        <v>4290</v>
      </c>
      <c r="D399" t="str">
        <f t="shared" si="52"/>
        <v/>
      </c>
      <c r="E399" t="str">
        <f t="shared" si="53"/>
        <v/>
      </c>
      <c r="F399" s="68" t="s">
        <v>4289</v>
      </c>
      <c r="G399">
        <f>'IPTV CA'!A390</f>
        <v>10989</v>
      </c>
      <c r="H399" t="str">
        <f>T('IPTV CA'!B390)</f>
        <v>Impossible - Quiz Show</v>
      </c>
      <c r="I399" t="s">
        <v>4288</v>
      </c>
      <c r="J399" t="str">
        <f t="shared" si="54"/>
        <v/>
      </c>
      <c r="K399" t="str">
        <f t="shared" si="56"/>
        <v/>
      </c>
      <c r="L399" s="69"/>
      <c r="M399">
        <f>'TMIS US'!A390</f>
        <v>9159</v>
      </c>
      <c r="N399" t="str">
        <f>T('TMIS US'!B390)</f>
        <v/>
      </c>
      <c r="O399" t="s">
        <v>4290</v>
      </c>
      <c r="P399" t="str">
        <f t="shared" si="55"/>
        <v/>
      </c>
      <c r="Q399" t="str">
        <f t="shared" si="57"/>
        <v/>
      </c>
      <c r="R399" s="69"/>
      <c r="S399">
        <f>'TMIS CA'!A390</f>
        <v>9589</v>
      </c>
      <c r="T399" t="str">
        <f>T('TMIS CA'!B390)</f>
        <v>Impossible - Quiz Show</v>
      </c>
      <c r="U399" t="s">
        <v>4288</v>
      </c>
      <c r="V399" t="str">
        <f t="shared" si="59"/>
        <v/>
      </c>
      <c r="W399" t="str">
        <f t="shared" si="58"/>
        <v/>
      </c>
    </row>
    <row r="400" spans="1:23">
      <c r="A400">
        <f>'IPTV US'!A391</f>
        <v>10560</v>
      </c>
      <c r="B400" t="str">
        <f>T('IPTV US'!B391)</f>
        <v/>
      </c>
      <c r="C400" t="s">
        <v>4290</v>
      </c>
      <c r="D400" t="str">
        <f t="shared" si="52"/>
        <v/>
      </c>
      <c r="E400" t="str">
        <f t="shared" si="53"/>
        <v/>
      </c>
      <c r="F400" s="68" t="s">
        <v>4289</v>
      </c>
      <c r="G400">
        <f>'IPTV CA'!A391</f>
        <v>10990</v>
      </c>
      <c r="H400" t="str">
        <f>T('IPTV CA'!B391)</f>
        <v>BBC Game Shows</v>
      </c>
      <c r="I400" t="s">
        <v>4288</v>
      </c>
      <c r="J400" t="str">
        <f t="shared" si="54"/>
        <v/>
      </c>
      <c r="K400" t="str">
        <f t="shared" si="56"/>
        <v/>
      </c>
      <c r="L400" s="69"/>
      <c r="M400">
        <f>'TMIS US'!A391</f>
        <v>9160</v>
      </c>
      <c r="N400" t="str">
        <f>T('TMIS US'!B391)</f>
        <v/>
      </c>
      <c r="O400" t="s">
        <v>4290</v>
      </c>
      <c r="P400" t="str">
        <f t="shared" si="55"/>
        <v/>
      </c>
      <c r="Q400" t="str">
        <f t="shared" si="57"/>
        <v/>
      </c>
      <c r="R400" s="69"/>
      <c r="S400">
        <f>'TMIS CA'!A391</f>
        <v>9590</v>
      </c>
      <c r="T400" t="str">
        <f>T('TMIS CA'!B391)</f>
        <v>BBC Game Shows</v>
      </c>
      <c r="U400" t="s">
        <v>4288</v>
      </c>
      <c r="V400" t="str">
        <f t="shared" si="59"/>
        <v/>
      </c>
      <c r="W400" t="str">
        <f t="shared" si="58"/>
        <v/>
      </c>
    </row>
    <row r="401" spans="1:23">
      <c r="A401">
        <f>'IPTV US'!A392</f>
        <v>10561</v>
      </c>
      <c r="B401" t="str">
        <f>T('IPTV US'!B392)</f>
        <v/>
      </c>
      <c r="C401" t="s">
        <v>4290</v>
      </c>
      <c r="D401" t="str">
        <f t="shared" si="52"/>
        <v/>
      </c>
      <c r="E401" t="str">
        <f t="shared" si="53"/>
        <v/>
      </c>
      <c r="F401" s="68" t="s">
        <v>4289</v>
      </c>
      <c r="G401">
        <f>'IPTV CA'!A392</f>
        <v>10991</v>
      </c>
      <c r="H401" t="str">
        <f>T('IPTV CA'!B392)</f>
        <v/>
      </c>
      <c r="I401" t="s">
        <v>4290</v>
      </c>
      <c r="J401" t="str">
        <f t="shared" si="54"/>
        <v/>
      </c>
      <c r="K401" t="str">
        <f t="shared" si="56"/>
        <v/>
      </c>
      <c r="L401" s="69"/>
      <c r="M401">
        <f>'TMIS US'!A392</f>
        <v>9161</v>
      </c>
      <c r="N401" t="str">
        <f>T('TMIS US'!B392)</f>
        <v/>
      </c>
      <c r="O401" t="s">
        <v>4290</v>
      </c>
      <c r="P401" t="str">
        <f t="shared" si="55"/>
        <v/>
      </c>
      <c r="Q401" t="str">
        <f t="shared" si="57"/>
        <v/>
      </c>
      <c r="R401" s="69"/>
      <c r="S401">
        <f>'TMIS CA'!A392</f>
        <v>9591</v>
      </c>
      <c r="T401" t="str">
        <f>T('TMIS CA'!B392)</f>
        <v/>
      </c>
      <c r="U401" t="s">
        <v>4290</v>
      </c>
      <c r="V401" t="str">
        <f t="shared" si="59"/>
        <v/>
      </c>
      <c r="W401" t="str">
        <f t="shared" si="58"/>
        <v/>
      </c>
    </row>
    <row r="402" spans="1:23">
      <c r="A402">
        <f>'IPTV US'!A393</f>
        <v>10562</v>
      </c>
      <c r="B402" t="str">
        <f>T('IPTV US'!B393)</f>
        <v/>
      </c>
      <c r="C402" t="s">
        <v>4290</v>
      </c>
      <c r="D402" t="str">
        <f t="shared" si="52"/>
        <v/>
      </c>
      <c r="E402" t="str">
        <f t="shared" si="53"/>
        <v/>
      </c>
      <c r="F402" s="68" t="s">
        <v>4289</v>
      </c>
      <c r="G402">
        <f>'IPTV CA'!A393</f>
        <v>10992</v>
      </c>
      <c r="H402" t="str">
        <f>T('IPTV CA'!B393)</f>
        <v/>
      </c>
      <c r="I402" t="s">
        <v>4290</v>
      </c>
      <c r="J402" t="str">
        <f t="shared" si="54"/>
        <v/>
      </c>
      <c r="K402" t="str">
        <f t="shared" si="56"/>
        <v/>
      </c>
      <c r="L402" s="69"/>
      <c r="M402">
        <f>'TMIS US'!A393</f>
        <v>9162</v>
      </c>
      <c r="N402" t="str">
        <f>T('TMIS US'!B393)</f>
        <v/>
      </c>
      <c r="O402" t="s">
        <v>4290</v>
      </c>
      <c r="P402" t="str">
        <f t="shared" si="55"/>
        <v/>
      </c>
      <c r="Q402" t="str">
        <f t="shared" si="57"/>
        <v/>
      </c>
      <c r="R402" s="69"/>
      <c r="S402">
        <f>'TMIS CA'!A393</f>
        <v>9592</v>
      </c>
      <c r="T402" t="str">
        <f>T('TMIS CA'!B393)</f>
        <v/>
      </c>
      <c r="U402" t="s">
        <v>4290</v>
      </c>
      <c r="V402" t="str">
        <f t="shared" si="59"/>
        <v/>
      </c>
      <c r="W402" t="str">
        <f t="shared" si="58"/>
        <v/>
      </c>
    </row>
    <row r="403" spans="1:23">
      <c r="A403">
        <f>'IPTV US'!A394</f>
        <v>10563</v>
      </c>
      <c r="B403" t="str">
        <f>T('IPTV US'!B394)</f>
        <v>PFL MMA</v>
      </c>
      <c r="C403" t="s">
        <v>4288</v>
      </c>
      <c r="D403" t="str">
        <f t="shared" si="52"/>
        <v/>
      </c>
      <c r="E403" t="str">
        <f t="shared" si="53"/>
        <v/>
      </c>
      <c r="F403" s="68" t="s">
        <v>4289</v>
      </c>
      <c r="G403">
        <f>'IPTV CA'!A394</f>
        <v>10993</v>
      </c>
      <c r="H403" t="str">
        <f>T('IPTV CA'!B394)</f>
        <v>Deal Or No Deal</v>
      </c>
      <c r="I403" t="s">
        <v>4288</v>
      </c>
      <c r="J403" t="str">
        <f t="shared" si="54"/>
        <v/>
      </c>
      <c r="K403" t="str">
        <f t="shared" si="56"/>
        <v/>
      </c>
      <c r="L403" s="69"/>
      <c r="M403">
        <f>'TMIS US'!A394</f>
        <v>9163</v>
      </c>
      <c r="N403" t="str">
        <f>T('TMIS US'!B394)</f>
        <v>PFL MMA</v>
      </c>
      <c r="O403" t="s">
        <v>4288</v>
      </c>
      <c r="P403" t="str">
        <f t="shared" si="55"/>
        <v/>
      </c>
      <c r="Q403" t="str">
        <f t="shared" si="57"/>
        <v/>
      </c>
      <c r="R403" s="69"/>
      <c r="S403">
        <f>'TMIS CA'!A394</f>
        <v>9593</v>
      </c>
      <c r="T403" t="str">
        <f>T('TMIS CA'!B394)</f>
        <v>Deal Or No Deal</v>
      </c>
      <c r="U403" t="s">
        <v>4288</v>
      </c>
      <c r="V403" t="str">
        <f t="shared" si="59"/>
        <v/>
      </c>
      <c r="W403" t="str">
        <f t="shared" si="58"/>
        <v/>
      </c>
    </row>
    <row r="404" spans="1:23">
      <c r="A404">
        <f>'IPTV US'!A395</f>
        <v>10564</v>
      </c>
      <c r="B404" t="str">
        <f>T('IPTV US'!B395)</f>
        <v>Boxing TV</v>
      </c>
      <c r="C404" t="s">
        <v>4288</v>
      </c>
      <c r="D404" t="str">
        <f t="shared" si="52"/>
        <v/>
      </c>
      <c r="E404" t="str">
        <f t="shared" si="53"/>
        <v/>
      </c>
      <c r="F404" s="68" t="s">
        <v>4289</v>
      </c>
      <c r="G404">
        <f>'IPTV CA'!A395</f>
        <v>10994</v>
      </c>
      <c r="H404" t="str">
        <f>T('IPTV CA'!B395)</f>
        <v>Let's Make a Deal</v>
      </c>
      <c r="I404" t="s">
        <v>4288</v>
      </c>
      <c r="J404" t="str">
        <f t="shared" si="54"/>
        <v/>
      </c>
      <c r="K404" t="str">
        <f t="shared" si="56"/>
        <v/>
      </c>
      <c r="L404" s="69"/>
      <c r="M404">
        <f>'TMIS US'!A395</f>
        <v>9164</v>
      </c>
      <c r="N404" t="str">
        <f>T('TMIS US'!B395)</f>
        <v>Boxing TV</v>
      </c>
      <c r="O404" t="s">
        <v>4288</v>
      </c>
      <c r="P404" t="str">
        <f t="shared" si="55"/>
        <v/>
      </c>
      <c r="Q404" t="str">
        <f t="shared" si="57"/>
        <v/>
      </c>
      <c r="R404" s="69"/>
      <c r="S404">
        <f>'TMIS CA'!A395</f>
        <v>9594</v>
      </c>
      <c r="T404" t="str">
        <f>T('TMIS CA'!B395)</f>
        <v>Let's Make a Deal</v>
      </c>
      <c r="U404" t="s">
        <v>4288</v>
      </c>
      <c r="V404" t="str">
        <f t="shared" si="59"/>
        <v/>
      </c>
      <c r="W404" t="str">
        <f t="shared" si="58"/>
        <v/>
      </c>
    </row>
    <row r="405" spans="1:23">
      <c r="A405">
        <f>'IPTV US'!A396</f>
        <v>10565</v>
      </c>
      <c r="B405" t="str">
        <f>T('IPTV US'!B396)</f>
        <v>beIN Sports XTRA</v>
      </c>
      <c r="C405" t="s">
        <v>4288</v>
      </c>
      <c r="D405" t="str">
        <f t="shared" si="52"/>
        <v/>
      </c>
      <c r="E405" t="str">
        <f t="shared" si="53"/>
        <v/>
      </c>
      <c r="F405" s="68" t="s">
        <v>4289</v>
      </c>
      <c r="G405">
        <f>'IPTV CA'!A396</f>
        <v>10995</v>
      </c>
      <c r="H405" t="str">
        <f>T('IPTV CA'!B396)</f>
        <v/>
      </c>
      <c r="I405" t="s">
        <v>4290</v>
      </c>
      <c r="J405" t="str">
        <f t="shared" si="54"/>
        <v/>
      </c>
      <c r="K405" t="str">
        <f t="shared" si="56"/>
        <v/>
      </c>
      <c r="L405" s="69"/>
      <c r="M405">
        <f>'TMIS US'!A396</f>
        <v>9165</v>
      </c>
      <c r="N405" t="str">
        <f>T('TMIS US'!B396)</f>
        <v>beIN Sports XTRA</v>
      </c>
      <c r="O405" t="s">
        <v>4288</v>
      </c>
      <c r="P405" t="str">
        <f t="shared" si="55"/>
        <v/>
      </c>
      <c r="Q405" t="str">
        <f t="shared" si="57"/>
        <v/>
      </c>
      <c r="R405" s="69"/>
      <c r="S405">
        <f>'TMIS CA'!A396</f>
        <v>9595</v>
      </c>
      <c r="T405" t="str">
        <f>T('TMIS CA'!B396)</f>
        <v/>
      </c>
      <c r="U405" t="s">
        <v>4290</v>
      </c>
      <c r="V405" t="str">
        <f t="shared" si="59"/>
        <v/>
      </c>
      <c r="W405" t="str">
        <f t="shared" si="58"/>
        <v/>
      </c>
    </row>
    <row r="406" spans="1:23">
      <c r="A406">
        <f>'IPTV US'!A397</f>
        <v>10566</v>
      </c>
      <c r="B406" t="str">
        <f>T('IPTV US'!B397)</f>
        <v/>
      </c>
      <c r="C406" t="s">
        <v>4290</v>
      </c>
      <c r="D406" t="str">
        <f t="shared" si="52"/>
        <v/>
      </c>
      <c r="E406" t="str">
        <f t="shared" si="53"/>
        <v/>
      </c>
      <c r="F406" s="68" t="s">
        <v>4289</v>
      </c>
      <c r="G406">
        <f>'IPTV CA'!A397</f>
        <v>10996</v>
      </c>
      <c r="H406" t="str">
        <f>T('IPTV CA'!B397)</f>
        <v/>
      </c>
      <c r="I406" t="s">
        <v>4290</v>
      </c>
      <c r="J406" t="str">
        <f t="shared" si="54"/>
        <v/>
      </c>
      <c r="K406" t="str">
        <f t="shared" si="56"/>
        <v/>
      </c>
      <c r="L406" s="69"/>
      <c r="M406">
        <f>'TMIS US'!A397</f>
        <v>9166</v>
      </c>
      <c r="N406" t="str">
        <f>T('TMIS US'!B397)</f>
        <v/>
      </c>
      <c r="O406" t="s">
        <v>4290</v>
      </c>
      <c r="P406" t="str">
        <f t="shared" si="55"/>
        <v/>
      </c>
      <c r="Q406" t="str">
        <f t="shared" si="57"/>
        <v/>
      </c>
      <c r="R406" s="69"/>
      <c r="S406">
        <f>'TMIS CA'!A397</f>
        <v>9596</v>
      </c>
      <c r="T406" t="str">
        <f>T('TMIS CA'!B397)</f>
        <v/>
      </c>
      <c r="U406" t="s">
        <v>4290</v>
      </c>
      <c r="V406" t="str">
        <f t="shared" si="59"/>
        <v/>
      </c>
      <c r="W406" t="str">
        <f t="shared" si="58"/>
        <v/>
      </c>
    </row>
    <row r="407" spans="1:23">
      <c r="A407">
        <f>'IPTV US'!A398</f>
        <v>10567</v>
      </c>
      <c r="B407" t="str">
        <f>T('IPTV US'!B398)</f>
        <v/>
      </c>
      <c r="C407" t="s">
        <v>4290</v>
      </c>
      <c r="D407" t="str">
        <f t="shared" si="52"/>
        <v/>
      </c>
      <c r="E407" t="str">
        <f t="shared" si="53"/>
        <v/>
      </c>
      <c r="F407" s="68" t="s">
        <v>4289</v>
      </c>
      <c r="G407">
        <f>'IPTV CA'!A398</f>
        <v>10997</v>
      </c>
      <c r="H407" t="str">
        <f>T('IPTV CA'!B398)</f>
        <v>WipeoutXtra</v>
      </c>
      <c r="I407" t="s">
        <v>4288</v>
      </c>
      <c r="J407" t="str">
        <f t="shared" si="54"/>
        <v/>
      </c>
      <c r="K407" t="str">
        <f t="shared" si="56"/>
        <v/>
      </c>
      <c r="L407" s="69"/>
      <c r="M407">
        <f>'TMIS US'!A398</f>
        <v>9167</v>
      </c>
      <c r="N407" t="str">
        <f>T('TMIS US'!B398)</f>
        <v/>
      </c>
      <c r="O407" t="s">
        <v>4290</v>
      </c>
      <c r="P407" t="str">
        <f t="shared" si="55"/>
        <v/>
      </c>
      <c r="Q407" t="str">
        <f t="shared" si="57"/>
        <v/>
      </c>
      <c r="R407" s="69"/>
      <c r="S407">
        <f>'TMIS CA'!A398</f>
        <v>9597</v>
      </c>
      <c r="T407" t="str">
        <f>T('TMIS CA'!B398)</f>
        <v>WipeoutXtra</v>
      </c>
      <c r="U407" t="s">
        <v>4288</v>
      </c>
      <c r="V407" t="str">
        <f t="shared" si="59"/>
        <v/>
      </c>
      <c r="W407" t="str">
        <f t="shared" si="58"/>
        <v/>
      </c>
    </row>
    <row r="408" spans="1:23">
      <c r="A408">
        <f>'IPTV US'!A399</f>
        <v>10568</v>
      </c>
      <c r="B408" t="str">
        <f>T('IPTV US'!B399)</f>
        <v/>
      </c>
      <c r="C408" t="s">
        <v>4290</v>
      </c>
      <c r="D408" t="str">
        <f t="shared" si="52"/>
        <v/>
      </c>
      <c r="E408" t="str">
        <f t="shared" si="53"/>
        <v/>
      </c>
      <c r="F408" s="68" t="s">
        <v>4289</v>
      </c>
      <c r="G408">
        <f>'IPTV CA'!A399</f>
        <v>10998</v>
      </c>
      <c r="H408" t="str">
        <f>T('IPTV CA'!B399)</f>
        <v/>
      </c>
      <c r="I408" t="s">
        <v>4290</v>
      </c>
      <c r="J408" t="str">
        <f t="shared" si="54"/>
        <v/>
      </c>
      <c r="K408" t="str">
        <f t="shared" si="56"/>
        <v/>
      </c>
      <c r="L408" s="69"/>
      <c r="M408">
        <f>'TMIS US'!A399</f>
        <v>9168</v>
      </c>
      <c r="N408" t="str">
        <f>T('TMIS US'!B399)</f>
        <v/>
      </c>
      <c r="O408" t="s">
        <v>4290</v>
      </c>
      <c r="P408" t="str">
        <f t="shared" si="55"/>
        <v/>
      </c>
      <c r="Q408" t="str">
        <f t="shared" si="57"/>
        <v/>
      </c>
      <c r="R408" s="69"/>
      <c r="S408">
        <f>'TMIS CA'!A399</f>
        <v>9598</v>
      </c>
      <c r="T408" t="str">
        <f>T('TMIS CA'!B399)</f>
        <v/>
      </c>
      <c r="U408" t="s">
        <v>4290</v>
      </c>
      <c r="V408" t="str">
        <f t="shared" si="59"/>
        <v/>
      </c>
      <c r="W408" t="str">
        <f t="shared" si="58"/>
        <v/>
      </c>
    </row>
    <row r="409" spans="1:23">
      <c r="A409">
        <f>'IPTV US'!A400</f>
        <v>10569</v>
      </c>
      <c r="B409" t="str">
        <f>T('IPTV US'!B400)</f>
        <v>Cine Romantico</v>
      </c>
      <c r="C409" t="s">
        <v>4288</v>
      </c>
      <c r="D409" t="str">
        <f t="shared" si="52"/>
        <v/>
      </c>
      <c r="E409" t="str">
        <f t="shared" si="53"/>
        <v/>
      </c>
      <c r="F409" s="68" t="s">
        <v>4289</v>
      </c>
      <c r="G409">
        <f>'IPTV CA'!A400</f>
        <v>10999</v>
      </c>
      <c r="H409" t="str">
        <f>T('IPTV CA'!B400)</f>
        <v/>
      </c>
      <c r="I409" t="s">
        <v>4290</v>
      </c>
      <c r="J409" t="str">
        <f t="shared" si="54"/>
        <v/>
      </c>
      <c r="K409" t="str">
        <f t="shared" si="56"/>
        <v/>
      </c>
      <c r="L409" s="69"/>
      <c r="M409">
        <f>'TMIS US'!A400</f>
        <v>9169</v>
      </c>
      <c r="N409" t="str">
        <f>T('TMIS US'!B400)</f>
        <v>Cine Romantico</v>
      </c>
      <c r="O409" t="s">
        <v>4288</v>
      </c>
      <c r="P409" t="str">
        <f t="shared" si="55"/>
        <v/>
      </c>
      <c r="Q409" t="str">
        <f t="shared" si="57"/>
        <v/>
      </c>
      <c r="R409" s="69"/>
      <c r="S409">
        <f>'TMIS CA'!A400</f>
        <v>9599</v>
      </c>
      <c r="T409" t="str">
        <f>T('TMIS CA'!B400)</f>
        <v/>
      </c>
      <c r="U409" t="s">
        <v>4290</v>
      </c>
      <c r="V409" t="str">
        <f t="shared" si="59"/>
        <v/>
      </c>
      <c r="W409" t="str">
        <f t="shared" si="58"/>
        <v/>
      </c>
    </row>
    <row r="410" spans="1:23">
      <c r="A410">
        <f>'IPTV US'!A401</f>
        <v>10570</v>
      </c>
      <c r="B410" t="str">
        <f>T('IPTV US'!B401)</f>
        <v/>
      </c>
      <c r="C410" t="s">
        <v>4290</v>
      </c>
      <c r="D410" t="str">
        <f t="shared" si="52"/>
        <v/>
      </c>
      <c r="E410" t="str">
        <f t="shared" si="53"/>
        <v/>
      </c>
      <c r="F410" s="68" t="s">
        <v>4289</v>
      </c>
      <c r="G410">
        <f>'IPTV CA'!A401</f>
        <v>11000</v>
      </c>
      <c r="H410" t="str">
        <f>T('IPTV CA'!B401)</f>
        <v>Fear Factor</v>
      </c>
      <c r="I410" t="s">
        <v>4288</v>
      </c>
      <c r="J410" t="str">
        <f t="shared" si="54"/>
        <v/>
      </c>
      <c r="K410" t="str">
        <f t="shared" si="56"/>
        <v/>
      </c>
      <c r="L410" s="69"/>
      <c r="M410">
        <f>'TMIS US'!A401</f>
        <v>9170</v>
      </c>
      <c r="N410" t="str">
        <f>T('TMIS US'!B401)</f>
        <v/>
      </c>
      <c r="O410" t="s">
        <v>4290</v>
      </c>
      <c r="P410" t="str">
        <f t="shared" si="55"/>
        <v/>
      </c>
      <c r="Q410" t="str">
        <f t="shared" si="57"/>
        <v/>
      </c>
      <c r="R410" s="69"/>
      <c r="S410">
        <f>'TMIS CA'!A401</f>
        <v>9600</v>
      </c>
      <c r="T410" t="str">
        <f>T('TMIS CA'!B401)</f>
        <v>Fear Factor</v>
      </c>
      <c r="U410" t="s">
        <v>4288</v>
      </c>
      <c r="V410" t="str">
        <f t="shared" si="59"/>
        <v/>
      </c>
      <c r="W410" t="str">
        <f t="shared" si="58"/>
        <v/>
      </c>
    </row>
    <row r="411" spans="1:23">
      <c r="A411">
        <f>'IPTV US'!A402</f>
        <v>10571</v>
      </c>
      <c r="B411" t="str">
        <f>T('IPTV US'!B402)</f>
        <v/>
      </c>
      <c r="C411" t="s">
        <v>4290</v>
      </c>
      <c r="D411" t="str">
        <f t="shared" si="52"/>
        <v/>
      </c>
      <c r="E411" t="str">
        <f t="shared" si="53"/>
        <v/>
      </c>
      <c r="F411" s="68" t="s">
        <v>4289</v>
      </c>
      <c r="G411">
        <f>'IPTV CA'!A402</f>
        <v>11001</v>
      </c>
      <c r="H411" t="str">
        <f>T('IPTV CA'!B402)</f>
        <v/>
      </c>
      <c r="I411" t="s">
        <v>4290</v>
      </c>
      <c r="J411" t="str">
        <f t="shared" si="54"/>
        <v/>
      </c>
      <c r="K411" t="str">
        <f t="shared" si="56"/>
        <v/>
      </c>
      <c r="L411" s="69"/>
      <c r="M411">
        <f>'TMIS US'!A402</f>
        <v>9171</v>
      </c>
      <c r="N411" t="str">
        <f>T('TMIS US'!B402)</f>
        <v/>
      </c>
      <c r="O411" t="s">
        <v>4290</v>
      </c>
      <c r="P411" t="str">
        <f t="shared" si="55"/>
        <v/>
      </c>
      <c r="Q411" t="str">
        <f t="shared" si="57"/>
        <v/>
      </c>
      <c r="R411" s="69"/>
      <c r="S411">
        <f>'TMIS CA'!A402</f>
        <v>9601</v>
      </c>
      <c r="T411" t="str">
        <f>T('TMIS CA'!B402)</f>
        <v/>
      </c>
      <c r="U411" t="s">
        <v>4290</v>
      </c>
      <c r="V411" t="str">
        <f t="shared" si="59"/>
        <v/>
      </c>
      <c r="W411" t="str">
        <f t="shared" si="58"/>
        <v/>
      </c>
    </row>
    <row r="412" spans="1:23">
      <c r="A412">
        <f>'IPTV US'!A403</f>
        <v>10572</v>
      </c>
      <c r="B412" t="str">
        <f>T('IPTV US'!B403)</f>
        <v/>
      </c>
      <c r="C412" t="s">
        <v>4290</v>
      </c>
      <c r="D412" t="str">
        <f t="shared" si="52"/>
        <v/>
      </c>
      <c r="E412" t="str">
        <f t="shared" si="53"/>
        <v/>
      </c>
      <c r="F412" s="68" t="s">
        <v>4289</v>
      </c>
      <c r="G412">
        <f>'IPTV CA'!A403</f>
        <v>11002</v>
      </c>
      <c r="H412" t="str">
        <f>T('IPTV CA'!B403)</f>
        <v/>
      </c>
      <c r="I412" t="s">
        <v>4290</v>
      </c>
      <c r="J412" t="str">
        <f t="shared" si="54"/>
        <v/>
      </c>
      <c r="K412" t="str">
        <f t="shared" si="56"/>
        <v/>
      </c>
      <c r="L412" s="69"/>
      <c r="M412">
        <f>'TMIS US'!A403</f>
        <v>9172</v>
      </c>
      <c r="N412" t="str">
        <f>T('TMIS US'!B403)</f>
        <v/>
      </c>
      <c r="O412" t="s">
        <v>4290</v>
      </c>
      <c r="P412" t="str">
        <f t="shared" si="55"/>
        <v/>
      </c>
      <c r="Q412" t="str">
        <f t="shared" si="57"/>
        <v/>
      </c>
      <c r="R412" s="69"/>
      <c r="S412">
        <f>'TMIS CA'!A403</f>
        <v>9602</v>
      </c>
      <c r="T412" t="str">
        <f>T('TMIS CA'!B403)</f>
        <v/>
      </c>
      <c r="U412" t="s">
        <v>4290</v>
      </c>
      <c r="V412" t="str">
        <f t="shared" si="59"/>
        <v/>
      </c>
      <c r="W412" t="str">
        <f t="shared" si="58"/>
        <v/>
      </c>
    </row>
    <row r="413" spans="1:23">
      <c r="A413">
        <f>'IPTV US'!A404</f>
        <v>10573</v>
      </c>
      <c r="B413" t="str">
        <f>T('IPTV US'!B404)</f>
        <v/>
      </c>
      <c r="C413" t="s">
        <v>4290</v>
      </c>
      <c r="D413" t="str">
        <f t="shared" si="52"/>
        <v/>
      </c>
      <c r="E413" t="str">
        <f t="shared" si="53"/>
        <v/>
      </c>
      <c r="F413" s="68" t="s">
        <v>4289</v>
      </c>
      <c r="G413">
        <f>'IPTV CA'!A404</f>
        <v>11003</v>
      </c>
      <c r="H413" t="str">
        <f>T('IPTV CA'!B404)</f>
        <v>The Biggest Loser</v>
      </c>
      <c r="I413" t="s">
        <v>4288</v>
      </c>
      <c r="J413" t="str">
        <f t="shared" si="54"/>
        <v/>
      </c>
      <c r="K413" t="str">
        <f t="shared" si="56"/>
        <v/>
      </c>
      <c r="L413" s="69"/>
      <c r="M413">
        <f>'TMIS US'!A404</f>
        <v>9173</v>
      </c>
      <c r="N413" t="str">
        <f>T('TMIS US'!B404)</f>
        <v/>
      </c>
      <c r="O413" t="s">
        <v>4290</v>
      </c>
      <c r="P413" t="str">
        <f t="shared" si="55"/>
        <v/>
      </c>
      <c r="Q413" t="str">
        <f t="shared" si="57"/>
        <v/>
      </c>
      <c r="R413" s="69"/>
      <c r="S413">
        <f>'TMIS CA'!A404</f>
        <v>9603</v>
      </c>
      <c r="T413" t="str">
        <f>T('TMIS CA'!B404)</f>
        <v>The Biggest Loser</v>
      </c>
      <c r="U413" t="s">
        <v>4288</v>
      </c>
      <c r="V413" t="str">
        <f t="shared" si="59"/>
        <v/>
      </c>
      <c r="W413" t="str">
        <f t="shared" si="58"/>
        <v/>
      </c>
    </row>
    <row r="414" spans="1:23">
      <c r="A414">
        <f>'IPTV US'!A405</f>
        <v>10574</v>
      </c>
      <c r="B414" t="str">
        <f>T('IPTV US'!B405)</f>
        <v>Backstage</v>
      </c>
      <c r="C414" t="s">
        <v>4288</v>
      </c>
      <c r="D414" t="str">
        <f t="shared" si="52"/>
        <v/>
      </c>
      <c r="E414" t="str">
        <f t="shared" si="53"/>
        <v/>
      </c>
      <c r="F414" s="68" t="s">
        <v>4289</v>
      </c>
      <c r="G414">
        <f>'IPTV CA'!A405</f>
        <v>11004</v>
      </c>
      <c r="H414" t="str">
        <f>T('IPTV CA'!B405)</f>
        <v>Game Show Central</v>
      </c>
      <c r="I414" t="s">
        <v>4288</v>
      </c>
      <c r="J414" t="str">
        <f t="shared" si="54"/>
        <v/>
      </c>
      <c r="K414" t="str">
        <f t="shared" si="56"/>
        <v/>
      </c>
      <c r="L414" s="69"/>
      <c r="M414">
        <f>'TMIS US'!A405</f>
        <v>9174</v>
      </c>
      <c r="N414" t="str">
        <f>T('TMIS US'!B405)</f>
        <v>Backstage</v>
      </c>
      <c r="O414" t="s">
        <v>4288</v>
      </c>
      <c r="P414" t="str">
        <f t="shared" si="55"/>
        <v/>
      </c>
      <c r="Q414" t="str">
        <f t="shared" si="57"/>
        <v/>
      </c>
      <c r="R414" s="69"/>
      <c r="S414">
        <f>'TMIS CA'!A405</f>
        <v>9604</v>
      </c>
      <c r="T414" t="str">
        <f>T('TMIS CA'!B405)</f>
        <v>Game Show Central</v>
      </c>
      <c r="U414" t="s">
        <v>4288</v>
      </c>
      <c r="V414" t="str">
        <f t="shared" si="59"/>
        <v/>
      </c>
      <c r="W414" t="str">
        <f t="shared" si="58"/>
        <v/>
      </c>
    </row>
    <row r="415" spans="1:23">
      <c r="A415">
        <f>'IPTV US'!A406</f>
        <v>10575</v>
      </c>
      <c r="B415" t="str">
        <f>T('IPTV US'!B406)</f>
        <v>Latino Vibes</v>
      </c>
      <c r="C415" t="s">
        <v>4288</v>
      </c>
      <c r="D415" t="str">
        <f t="shared" si="52"/>
        <v/>
      </c>
      <c r="E415" t="str">
        <f t="shared" si="53"/>
        <v/>
      </c>
      <c r="F415" s="68" t="s">
        <v>4289</v>
      </c>
      <c r="G415">
        <f>'IPTV CA'!A406</f>
        <v>11005</v>
      </c>
      <c r="H415" t="str">
        <f>T('IPTV CA'!B406)</f>
        <v/>
      </c>
      <c r="I415" t="s">
        <v>4290</v>
      </c>
      <c r="J415" t="str">
        <f t="shared" si="54"/>
        <v/>
      </c>
      <c r="K415" t="str">
        <f t="shared" si="56"/>
        <v/>
      </c>
      <c r="L415" s="69"/>
      <c r="M415">
        <f>'TMIS US'!A406</f>
        <v>9175</v>
      </c>
      <c r="N415" t="str">
        <f>T('TMIS US'!B406)</f>
        <v>Latino Vibes</v>
      </c>
      <c r="O415" t="s">
        <v>4288</v>
      </c>
      <c r="P415" t="str">
        <f t="shared" si="55"/>
        <v/>
      </c>
      <c r="Q415" t="str">
        <f t="shared" si="57"/>
        <v/>
      </c>
      <c r="R415" s="69"/>
      <c r="S415">
        <f>'TMIS CA'!A406</f>
        <v>9605</v>
      </c>
      <c r="T415" t="str">
        <f>T('TMIS CA'!B406)</f>
        <v/>
      </c>
      <c r="U415" t="s">
        <v>4290</v>
      </c>
      <c r="V415" t="str">
        <f t="shared" si="59"/>
        <v/>
      </c>
      <c r="W415" t="str">
        <f t="shared" si="58"/>
        <v/>
      </c>
    </row>
    <row r="416" spans="1:23">
      <c r="A416">
        <f>'IPTV US'!A407</f>
        <v>10576</v>
      </c>
      <c r="B416" t="str">
        <f>T('IPTV US'!B407)</f>
        <v/>
      </c>
      <c r="C416" t="s">
        <v>4290</v>
      </c>
      <c r="D416" t="str">
        <f t="shared" si="52"/>
        <v/>
      </c>
      <c r="E416" t="str">
        <f t="shared" si="53"/>
        <v/>
      </c>
      <c r="F416" s="68" t="s">
        <v>4289</v>
      </c>
      <c r="G416">
        <f>'IPTV CA'!A407</f>
        <v>11006</v>
      </c>
      <c r="H416" t="str">
        <f>T('IPTV CA'!B407)</f>
        <v/>
      </c>
      <c r="I416" t="s">
        <v>4290</v>
      </c>
      <c r="J416" t="str">
        <f t="shared" si="54"/>
        <v/>
      </c>
      <c r="K416" t="str">
        <f t="shared" si="56"/>
        <v/>
      </c>
      <c r="L416" s="69"/>
      <c r="M416">
        <f>'TMIS US'!A407</f>
        <v>9176</v>
      </c>
      <c r="N416" t="str">
        <f>T('TMIS US'!B407)</f>
        <v/>
      </c>
      <c r="O416" t="s">
        <v>4290</v>
      </c>
      <c r="P416" t="str">
        <f t="shared" si="55"/>
        <v/>
      </c>
      <c r="Q416" t="str">
        <f t="shared" si="57"/>
        <v/>
      </c>
      <c r="R416" s="69"/>
      <c r="S416">
        <f>'TMIS CA'!A407</f>
        <v>9606</v>
      </c>
      <c r="T416" t="str">
        <f>T('TMIS CA'!B407)</f>
        <v/>
      </c>
      <c r="U416" t="s">
        <v>4290</v>
      </c>
      <c r="V416" t="str">
        <f t="shared" si="59"/>
        <v/>
      </c>
      <c r="W416" t="str">
        <f t="shared" si="58"/>
        <v/>
      </c>
    </row>
    <row r="417" spans="1:23">
      <c r="A417">
        <f>'IPTV US'!A408</f>
        <v>10577</v>
      </c>
      <c r="B417" t="str">
        <f>T('IPTV US'!B408)</f>
        <v/>
      </c>
      <c r="C417" t="s">
        <v>4290</v>
      </c>
      <c r="D417" t="str">
        <f t="shared" si="52"/>
        <v/>
      </c>
      <c r="E417" t="str">
        <f t="shared" si="53"/>
        <v/>
      </c>
      <c r="F417" s="68" t="s">
        <v>4289</v>
      </c>
      <c r="G417">
        <f>'IPTV CA'!A408</f>
        <v>11007</v>
      </c>
      <c r="H417" t="str">
        <f>T('IPTV CA'!B408)</f>
        <v>Family Feud Classic</v>
      </c>
      <c r="I417" t="s">
        <v>4288</v>
      </c>
      <c r="J417" t="str">
        <f t="shared" si="54"/>
        <v/>
      </c>
      <c r="K417" t="str">
        <f t="shared" si="56"/>
        <v/>
      </c>
      <c r="L417" s="69"/>
      <c r="M417">
        <f>'TMIS US'!A408</f>
        <v>9177</v>
      </c>
      <c r="N417" t="str">
        <f>T('TMIS US'!B408)</f>
        <v/>
      </c>
      <c r="O417" t="s">
        <v>4290</v>
      </c>
      <c r="P417" t="str">
        <f t="shared" si="55"/>
        <v/>
      </c>
      <c r="Q417" t="str">
        <f t="shared" si="57"/>
        <v/>
      </c>
      <c r="R417" s="69"/>
      <c r="S417">
        <f>'TMIS CA'!A408</f>
        <v>9607</v>
      </c>
      <c r="T417" t="str">
        <f>T('TMIS CA'!B408)</f>
        <v>Family Feud Classic</v>
      </c>
      <c r="U417" t="s">
        <v>4288</v>
      </c>
      <c r="V417" t="str">
        <f t="shared" si="59"/>
        <v/>
      </c>
      <c r="W417" t="str">
        <f t="shared" si="58"/>
        <v/>
      </c>
    </row>
    <row r="418" spans="1:23">
      <c r="A418">
        <f>'IPTV US'!A409</f>
        <v>10578</v>
      </c>
      <c r="B418" t="str">
        <f>T('IPTV US'!B409)</f>
        <v/>
      </c>
      <c r="C418" t="s">
        <v>4290</v>
      </c>
      <c r="D418" t="str">
        <f t="shared" si="52"/>
        <v/>
      </c>
      <c r="E418" t="str">
        <f t="shared" si="53"/>
        <v/>
      </c>
      <c r="F418" s="68" t="s">
        <v>4289</v>
      </c>
      <c r="G418">
        <f>'IPTV CA'!A409</f>
        <v>11008</v>
      </c>
      <c r="H418" t="str">
        <f>T('IPTV CA'!B409)</f>
        <v>GameTVGO</v>
      </c>
      <c r="I418" t="s">
        <v>4288</v>
      </c>
      <c r="J418" t="str">
        <f t="shared" si="54"/>
        <v/>
      </c>
      <c r="K418" t="str">
        <f t="shared" si="56"/>
        <v/>
      </c>
      <c r="L418" s="69"/>
      <c r="M418">
        <f>'TMIS US'!A409</f>
        <v>9178</v>
      </c>
      <c r="N418" t="str">
        <f>T('TMIS US'!B409)</f>
        <v/>
      </c>
      <c r="O418" t="s">
        <v>4290</v>
      </c>
      <c r="P418" t="str">
        <f t="shared" si="55"/>
        <v/>
      </c>
      <c r="Q418" t="str">
        <f t="shared" si="57"/>
        <v/>
      </c>
      <c r="R418" s="69"/>
      <c r="S418">
        <f>'TMIS CA'!A409</f>
        <v>9608</v>
      </c>
      <c r="T418" t="str">
        <f>T('TMIS CA'!B409)</f>
        <v>GameTVGO</v>
      </c>
      <c r="U418" t="s">
        <v>4288</v>
      </c>
      <c r="V418" t="str">
        <f t="shared" si="59"/>
        <v/>
      </c>
      <c r="W418" t="str">
        <f t="shared" si="58"/>
        <v/>
      </c>
    </row>
    <row r="419" spans="1:23">
      <c r="A419">
        <f>'IPTV US'!A410</f>
        <v>10579</v>
      </c>
      <c r="B419" t="str">
        <f>T('IPTV US'!B410)</f>
        <v>Qello Concerts by Stingray</v>
      </c>
      <c r="C419" t="s">
        <v>4288</v>
      </c>
      <c r="D419" t="str">
        <f t="shared" si="52"/>
        <v/>
      </c>
      <c r="E419" t="str">
        <f t="shared" si="53"/>
        <v/>
      </c>
      <c r="F419" s="68" t="s">
        <v>4289</v>
      </c>
      <c r="G419">
        <f>'IPTV CA'!A410</f>
        <v>11009</v>
      </c>
      <c r="H419" t="str">
        <f>T('IPTV CA'!B410)</f>
        <v/>
      </c>
      <c r="I419" t="s">
        <v>4290</v>
      </c>
      <c r="J419" t="str">
        <f t="shared" si="54"/>
        <v/>
      </c>
      <c r="K419" t="str">
        <f t="shared" si="56"/>
        <v/>
      </c>
      <c r="L419" s="69"/>
      <c r="M419">
        <f>'TMIS US'!A410</f>
        <v>9179</v>
      </c>
      <c r="N419" t="str">
        <f>T('TMIS US'!B410)</f>
        <v>Qello Concerts by Stingray</v>
      </c>
      <c r="O419" t="s">
        <v>4288</v>
      </c>
      <c r="P419" t="str">
        <f t="shared" si="55"/>
        <v/>
      </c>
      <c r="Q419" t="str">
        <f t="shared" si="57"/>
        <v/>
      </c>
      <c r="R419" s="69"/>
      <c r="S419">
        <f>'TMIS CA'!A410</f>
        <v>9609</v>
      </c>
      <c r="T419" t="str">
        <f>T('TMIS CA'!B410)</f>
        <v/>
      </c>
      <c r="U419" t="s">
        <v>4290</v>
      </c>
      <c r="V419" t="str">
        <f t="shared" si="59"/>
        <v/>
      </c>
      <c r="W419" t="str">
        <f t="shared" si="58"/>
        <v/>
      </c>
    </row>
    <row r="420" spans="1:23">
      <c r="A420">
        <f>'IPTV US'!A411</f>
        <v>10580</v>
      </c>
      <c r="B420" t="str">
        <f>T('IPTV US'!B411)</f>
        <v>Stingray Hit List</v>
      </c>
      <c r="C420" t="s">
        <v>4288</v>
      </c>
      <c r="D420" t="str">
        <f t="shared" si="52"/>
        <v/>
      </c>
      <c r="E420" t="str">
        <f t="shared" si="53"/>
        <v/>
      </c>
      <c r="F420" s="68" t="s">
        <v>4289</v>
      </c>
      <c r="G420">
        <f>'IPTV CA'!A411</f>
        <v>11010</v>
      </c>
      <c r="H420" t="str">
        <f>T('IPTV CA'!B411)</f>
        <v/>
      </c>
      <c r="I420" t="s">
        <v>4290</v>
      </c>
      <c r="J420" t="str">
        <f t="shared" si="54"/>
        <v/>
      </c>
      <c r="K420" t="str">
        <f t="shared" si="56"/>
        <v/>
      </c>
      <c r="L420" s="69"/>
      <c r="M420">
        <f>'TMIS US'!A411</f>
        <v>9180</v>
      </c>
      <c r="N420" t="str">
        <f>T('TMIS US'!B411)</f>
        <v>Stingray Hit List</v>
      </c>
      <c r="O420" t="s">
        <v>4288</v>
      </c>
      <c r="P420" t="str">
        <f t="shared" si="55"/>
        <v/>
      </c>
      <c r="Q420" t="str">
        <f t="shared" si="57"/>
        <v/>
      </c>
      <c r="R420" s="69"/>
      <c r="S420">
        <f>'TMIS CA'!A411</f>
        <v>9610</v>
      </c>
      <c r="T420" t="str">
        <f>T('TMIS CA'!B411)</f>
        <v/>
      </c>
      <c r="U420" t="s">
        <v>4290</v>
      </c>
      <c r="V420" t="str">
        <f t="shared" si="59"/>
        <v/>
      </c>
      <c r="W420" t="str">
        <f t="shared" si="58"/>
        <v/>
      </c>
    </row>
    <row r="421" spans="1:23">
      <c r="A421">
        <f>'IPTV US'!A412</f>
        <v>10581</v>
      </c>
      <c r="B421" t="str">
        <f>T('IPTV US'!B412)</f>
        <v>Stingray Greatest Hits</v>
      </c>
      <c r="C421" t="s">
        <v>4288</v>
      </c>
      <c r="D421" t="str">
        <f t="shared" si="52"/>
        <v/>
      </c>
      <c r="E421" t="str">
        <f t="shared" si="53"/>
        <v/>
      </c>
      <c r="F421" s="68" t="s">
        <v>4289</v>
      </c>
      <c r="G421">
        <f>'IPTV CA'!A412</f>
        <v>11011</v>
      </c>
      <c r="H421" t="str">
        <f>T('IPTV CA'!B412)</f>
        <v>History &amp; Warfare Now</v>
      </c>
      <c r="I421" t="s">
        <v>4288</v>
      </c>
      <c r="J421" t="str">
        <f t="shared" si="54"/>
        <v/>
      </c>
      <c r="K421" t="str">
        <f t="shared" si="56"/>
        <v/>
      </c>
      <c r="L421" s="69"/>
      <c r="M421">
        <f>'TMIS US'!A412</f>
        <v>9181</v>
      </c>
      <c r="N421" t="str">
        <f>T('TMIS US'!B412)</f>
        <v>Stingray Greatest Hits</v>
      </c>
      <c r="O421" t="s">
        <v>4288</v>
      </c>
      <c r="P421" t="str">
        <f t="shared" si="55"/>
        <v/>
      </c>
      <c r="Q421" t="str">
        <f t="shared" si="57"/>
        <v/>
      </c>
      <c r="R421" s="69"/>
      <c r="S421">
        <f>'TMIS CA'!A412</f>
        <v>9611</v>
      </c>
      <c r="T421" t="str">
        <f>T('TMIS CA'!B412)</f>
        <v>History &amp; Warfare Now</v>
      </c>
      <c r="U421" t="s">
        <v>4288</v>
      </c>
      <c r="V421" t="str">
        <f t="shared" si="59"/>
        <v/>
      </c>
      <c r="W421" t="str">
        <f t="shared" si="58"/>
        <v/>
      </c>
    </row>
    <row r="422" spans="1:23">
      <c r="A422">
        <f>'IPTV US'!A413</f>
        <v>10582</v>
      </c>
      <c r="B422" t="str">
        <f>T('IPTV US'!B413)</f>
        <v>Stingray 2000s</v>
      </c>
      <c r="C422" t="s">
        <v>4288</v>
      </c>
      <c r="D422" t="str">
        <f t="shared" si="52"/>
        <v/>
      </c>
      <c r="E422" t="str">
        <f t="shared" si="53"/>
        <v/>
      </c>
      <c r="F422" s="68" t="s">
        <v>4289</v>
      </c>
      <c r="G422">
        <f>'IPTV CA'!A413</f>
        <v>11012</v>
      </c>
      <c r="H422" t="str">
        <f>T('IPTV CA'!B413)</f>
        <v/>
      </c>
      <c r="I422" t="s">
        <v>4290</v>
      </c>
      <c r="J422" t="str">
        <f t="shared" si="54"/>
        <v/>
      </c>
      <c r="K422" t="str">
        <f t="shared" si="56"/>
        <v/>
      </c>
      <c r="L422" s="69"/>
      <c r="M422">
        <f>'TMIS US'!A413</f>
        <v>9182</v>
      </c>
      <c r="N422" t="str">
        <f>T('TMIS US'!B413)</f>
        <v>Stingray 2000s</v>
      </c>
      <c r="O422" t="s">
        <v>4288</v>
      </c>
      <c r="P422" t="str">
        <f t="shared" si="55"/>
        <v/>
      </c>
      <c r="Q422" t="str">
        <f t="shared" si="57"/>
        <v/>
      </c>
      <c r="R422" s="69"/>
      <c r="S422">
        <f>'TMIS CA'!A413</f>
        <v>9612</v>
      </c>
      <c r="T422" t="str">
        <f>T('TMIS CA'!B413)</f>
        <v/>
      </c>
      <c r="U422" t="s">
        <v>4290</v>
      </c>
      <c r="V422" t="str">
        <f t="shared" si="59"/>
        <v/>
      </c>
      <c r="W422" t="str">
        <f t="shared" si="58"/>
        <v/>
      </c>
    </row>
    <row r="423" spans="1:23">
      <c r="A423">
        <f>'IPTV US'!A414</f>
        <v>10583</v>
      </c>
      <c r="B423" t="str">
        <f>T('IPTV US'!B414)</f>
        <v>Stingray Nothin' but the 90s</v>
      </c>
      <c r="C423" t="s">
        <v>4288</v>
      </c>
      <c r="D423" t="str">
        <f t="shared" si="52"/>
        <v/>
      </c>
      <c r="E423" t="str">
        <f t="shared" si="53"/>
        <v/>
      </c>
      <c r="F423" s="68" t="s">
        <v>4289</v>
      </c>
      <c r="G423">
        <f>'IPTV CA'!A414</f>
        <v>11013</v>
      </c>
      <c r="H423" t="str">
        <f>T('IPTV CA'!B414)</f>
        <v/>
      </c>
      <c r="I423" t="s">
        <v>4290</v>
      </c>
      <c r="J423" t="str">
        <f t="shared" si="54"/>
        <v/>
      </c>
      <c r="K423" t="str">
        <f t="shared" si="56"/>
        <v/>
      </c>
      <c r="L423" s="69"/>
      <c r="M423">
        <f>'TMIS US'!A414</f>
        <v>9183</v>
      </c>
      <c r="N423" t="str">
        <f>T('TMIS US'!B414)</f>
        <v>Stingray Nothin' but the 90s</v>
      </c>
      <c r="O423" t="s">
        <v>4288</v>
      </c>
      <c r="P423" t="str">
        <f t="shared" si="55"/>
        <v/>
      </c>
      <c r="Q423" t="str">
        <f t="shared" si="57"/>
        <v/>
      </c>
      <c r="R423" s="69"/>
      <c r="S423">
        <f>'TMIS CA'!A414</f>
        <v>9613</v>
      </c>
      <c r="T423" t="str">
        <f>T('TMIS CA'!B414)</f>
        <v/>
      </c>
      <c r="U423" t="s">
        <v>4290</v>
      </c>
      <c r="V423" t="str">
        <f t="shared" si="59"/>
        <v/>
      </c>
      <c r="W423" t="str">
        <f t="shared" si="58"/>
        <v/>
      </c>
    </row>
    <row r="424" spans="1:23">
      <c r="A424">
        <f>'IPTV US'!A415</f>
        <v>10584</v>
      </c>
      <c r="B424" t="str">
        <f>T('IPTV US'!B415)</f>
        <v>Stingray Remember the 80s</v>
      </c>
      <c r="C424" t="s">
        <v>4288</v>
      </c>
      <c r="D424" t="str">
        <f t="shared" si="52"/>
        <v/>
      </c>
      <c r="E424" t="str">
        <f t="shared" si="53"/>
        <v/>
      </c>
      <c r="F424" s="68" t="s">
        <v>4289</v>
      </c>
      <c r="G424">
        <f>'IPTV CA'!A415</f>
        <v>11014</v>
      </c>
      <c r="H424" t="str">
        <f>T('IPTV CA'!B415)</f>
        <v>True History</v>
      </c>
      <c r="I424" t="s">
        <v>4288</v>
      </c>
      <c r="J424" t="str">
        <f t="shared" si="54"/>
        <v/>
      </c>
      <c r="K424" t="str">
        <f t="shared" si="56"/>
        <v/>
      </c>
      <c r="L424" s="69"/>
      <c r="M424">
        <f>'TMIS US'!A415</f>
        <v>9184</v>
      </c>
      <c r="N424" t="str">
        <f>T('TMIS US'!B415)</f>
        <v>Stingray Remember the 80s</v>
      </c>
      <c r="O424" t="s">
        <v>4288</v>
      </c>
      <c r="P424" t="str">
        <f t="shared" si="55"/>
        <v/>
      </c>
      <c r="Q424" t="str">
        <f t="shared" si="57"/>
        <v/>
      </c>
      <c r="R424" s="69"/>
      <c r="S424">
        <f>'TMIS CA'!A415</f>
        <v>9614</v>
      </c>
      <c r="T424" t="str">
        <f>T('TMIS CA'!B415)</f>
        <v>True History</v>
      </c>
      <c r="U424" t="s">
        <v>4288</v>
      </c>
      <c r="V424" t="str">
        <f t="shared" si="59"/>
        <v/>
      </c>
      <c r="W424" t="str">
        <f t="shared" si="58"/>
        <v/>
      </c>
    </row>
    <row r="425" spans="1:23">
      <c r="A425">
        <f>'IPTV US'!A416</f>
        <v>10585</v>
      </c>
      <c r="B425" t="str">
        <f>T('IPTV US'!B416)</f>
        <v>Stingray Classic Rock</v>
      </c>
      <c r="C425" t="s">
        <v>4288</v>
      </c>
      <c r="D425" t="str">
        <f t="shared" si="52"/>
        <v/>
      </c>
      <c r="E425" t="str">
        <f t="shared" si="53"/>
        <v/>
      </c>
      <c r="F425" s="68" t="s">
        <v>4289</v>
      </c>
      <c r="G425">
        <f>'IPTV CA'!A416</f>
        <v>11015</v>
      </c>
      <c r="H425" t="str">
        <f>T('IPTV CA'!B416)</f>
        <v>History Hit</v>
      </c>
      <c r="I425" t="s">
        <v>4288</v>
      </c>
      <c r="J425" t="str">
        <f t="shared" si="54"/>
        <v/>
      </c>
      <c r="K425" t="str">
        <f t="shared" si="56"/>
        <v/>
      </c>
      <c r="L425" s="69"/>
      <c r="M425">
        <f>'TMIS US'!A416</f>
        <v>9185</v>
      </c>
      <c r="N425" t="str">
        <f>T('TMIS US'!B416)</f>
        <v>Stingray Classic Rock</v>
      </c>
      <c r="O425" t="s">
        <v>4288</v>
      </c>
      <c r="P425" t="str">
        <f t="shared" si="55"/>
        <v/>
      </c>
      <c r="Q425" t="str">
        <f t="shared" si="57"/>
        <v/>
      </c>
      <c r="R425" s="69"/>
      <c r="S425">
        <f>'TMIS CA'!A416</f>
        <v>9615</v>
      </c>
      <c r="T425" t="str">
        <f>T('TMIS CA'!B416)</f>
        <v>History Hit</v>
      </c>
      <c r="U425" t="s">
        <v>4288</v>
      </c>
      <c r="V425" t="str">
        <f t="shared" si="59"/>
        <v/>
      </c>
      <c r="W425" t="str">
        <f t="shared" si="58"/>
        <v/>
      </c>
    </row>
    <row r="426" spans="1:23">
      <c r="A426">
        <f>'IPTV US'!A417</f>
        <v>10586</v>
      </c>
      <c r="B426" t="str">
        <f>T('IPTV US'!B417)</f>
        <v>Stingray Hot Country</v>
      </c>
      <c r="C426" t="s">
        <v>4288</v>
      </c>
      <c r="D426" t="str">
        <f t="shared" si="52"/>
        <v/>
      </c>
      <c r="E426" t="str">
        <f t="shared" si="53"/>
        <v/>
      </c>
      <c r="F426" s="68" t="s">
        <v>4289</v>
      </c>
      <c r="G426">
        <f>'IPTV CA'!A417</f>
        <v>11016</v>
      </c>
      <c r="H426" t="str">
        <f>T('IPTV CA'!B417)</f>
        <v/>
      </c>
      <c r="I426" t="s">
        <v>4290</v>
      </c>
      <c r="J426" t="str">
        <f t="shared" si="54"/>
        <v/>
      </c>
      <c r="K426" t="str">
        <f t="shared" si="56"/>
        <v/>
      </c>
      <c r="L426" s="69"/>
      <c r="M426">
        <f>'TMIS US'!A417</f>
        <v>9186</v>
      </c>
      <c r="N426" t="str">
        <f>T('TMIS US'!B417)</f>
        <v>Stingray Hot Country</v>
      </c>
      <c r="O426" t="s">
        <v>4288</v>
      </c>
      <c r="P426" t="str">
        <f t="shared" si="55"/>
        <v/>
      </c>
      <c r="Q426" t="str">
        <f t="shared" si="57"/>
        <v/>
      </c>
      <c r="R426" s="69"/>
      <c r="S426">
        <f>'TMIS CA'!A417</f>
        <v>9616</v>
      </c>
      <c r="T426" t="str">
        <f>T('TMIS CA'!B417)</f>
        <v/>
      </c>
      <c r="U426" t="s">
        <v>4290</v>
      </c>
      <c r="V426" t="str">
        <f t="shared" si="59"/>
        <v/>
      </c>
      <c r="W426" t="str">
        <f t="shared" si="58"/>
        <v/>
      </c>
    </row>
    <row r="427" spans="1:23">
      <c r="A427">
        <f>'IPTV US'!A418</f>
        <v>10587</v>
      </c>
      <c r="B427" t="str">
        <f>T('IPTV US'!B418)</f>
        <v>Stingray Hip Hop</v>
      </c>
      <c r="C427" t="s">
        <v>4288</v>
      </c>
      <c r="D427" t="str">
        <f t="shared" si="52"/>
        <v/>
      </c>
      <c r="E427" t="str">
        <f t="shared" si="53"/>
        <v/>
      </c>
      <c r="F427" s="68" t="s">
        <v>4289</v>
      </c>
      <c r="G427">
        <f>'IPTV CA'!A418</f>
        <v>11017</v>
      </c>
      <c r="H427" t="str">
        <f>T('IPTV CA'!B418)</f>
        <v/>
      </c>
      <c r="I427" t="s">
        <v>4290</v>
      </c>
      <c r="J427" t="str">
        <f t="shared" si="54"/>
        <v/>
      </c>
      <c r="K427" t="str">
        <f t="shared" si="56"/>
        <v/>
      </c>
      <c r="L427" s="69"/>
      <c r="M427">
        <f>'TMIS US'!A418</f>
        <v>9187</v>
      </c>
      <c r="N427" t="str">
        <f>T('TMIS US'!B418)</f>
        <v>Stingray Hip Hop</v>
      </c>
      <c r="O427" t="s">
        <v>4288</v>
      </c>
      <c r="P427" t="str">
        <f t="shared" si="55"/>
        <v/>
      </c>
      <c r="Q427" t="str">
        <f t="shared" si="57"/>
        <v/>
      </c>
      <c r="R427" s="69"/>
      <c r="S427">
        <f>'TMIS CA'!A418</f>
        <v>9617</v>
      </c>
      <c r="T427" t="str">
        <f>T('TMIS CA'!B418)</f>
        <v/>
      </c>
      <c r="U427" t="s">
        <v>4290</v>
      </c>
      <c r="V427" t="str">
        <f t="shared" si="59"/>
        <v/>
      </c>
      <c r="W427" t="str">
        <f t="shared" si="58"/>
        <v/>
      </c>
    </row>
    <row r="428" spans="1:23">
      <c r="A428">
        <f>'IPTV US'!A419</f>
        <v>10588</v>
      </c>
      <c r="B428" t="str">
        <f>T('IPTV US'!B419)</f>
        <v>Stingray Pop Adult</v>
      </c>
      <c r="C428" t="s">
        <v>4288</v>
      </c>
      <c r="D428" t="str">
        <f t="shared" si="52"/>
        <v/>
      </c>
      <c r="E428" t="str">
        <f t="shared" si="53"/>
        <v/>
      </c>
      <c r="F428" s="68" t="s">
        <v>4289</v>
      </c>
      <c r="G428">
        <f>'IPTV CA'!A419</f>
        <v>11018</v>
      </c>
      <c r="H428" t="str">
        <f>T('IPTV CA'!B419)</f>
        <v>Startalk TV</v>
      </c>
      <c r="I428" t="s">
        <v>4288</v>
      </c>
      <c r="J428" t="str">
        <f t="shared" si="54"/>
        <v/>
      </c>
      <c r="K428" t="str">
        <f t="shared" si="56"/>
        <v/>
      </c>
      <c r="L428" s="69"/>
      <c r="M428">
        <f>'TMIS US'!A419</f>
        <v>9188</v>
      </c>
      <c r="N428" t="str">
        <f>T('TMIS US'!B419)</f>
        <v>Stingray Pop Adult</v>
      </c>
      <c r="O428" t="s">
        <v>4288</v>
      </c>
      <c r="P428" t="str">
        <f t="shared" si="55"/>
        <v/>
      </c>
      <c r="Q428" t="str">
        <f t="shared" si="57"/>
        <v/>
      </c>
      <c r="R428" s="69"/>
      <c r="S428">
        <f>'TMIS CA'!A419</f>
        <v>9618</v>
      </c>
      <c r="T428" t="str">
        <f>T('TMIS CA'!B419)</f>
        <v>Startalk TV</v>
      </c>
      <c r="U428" t="s">
        <v>4288</v>
      </c>
      <c r="V428" t="str">
        <f t="shared" si="59"/>
        <v/>
      </c>
      <c r="W428" t="str">
        <f t="shared" si="58"/>
        <v/>
      </c>
    </row>
    <row r="429" spans="1:23">
      <c r="A429">
        <f>'IPTV US'!A420</f>
        <v>10589</v>
      </c>
      <c r="B429" t="str">
        <f>T('IPTV US'!B420)</f>
        <v>Utimate Trivia by Stingray</v>
      </c>
      <c r="C429" t="s">
        <v>4288</v>
      </c>
      <c r="D429" t="str">
        <f t="shared" si="52"/>
        <v/>
      </c>
      <c r="E429" t="str">
        <f t="shared" si="53"/>
        <v/>
      </c>
      <c r="F429" s="68" t="s">
        <v>4289</v>
      </c>
      <c r="G429">
        <f>'IPTV CA'!A420</f>
        <v>11019</v>
      </c>
      <c r="H429" t="str">
        <f>T('IPTV CA'!B420)</f>
        <v/>
      </c>
      <c r="I429" t="s">
        <v>4290</v>
      </c>
      <c r="J429" t="str">
        <f t="shared" si="54"/>
        <v/>
      </c>
      <c r="K429" t="str">
        <f t="shared" si="56"/>
        <v/>
      </c>
      <c r="L429" s="69"/>
      <c r="M429">
        <f>'TMIS US'!A420</f>
        <v>9189</v>
      </c>
      <c r="N429" t="str">
        <f>T('TMIS US'!B420)</f>
        <v>Utimate Trivia by Stingray</v>
      </c>
      <c r="O429" t="s">
        <v>4288</v>
      </c>
      <c r="P429" t="str">
        <f t="shared" si="55"/>
        <v/>
      </c>
      <c r="Q429" t="str">
        <f t="shared" si="57"/>
        <v/>
      </c>
      <c r="R429" s="69"/>
      <c r="S429">
        <f>'TMIS CA'!A420</f>
        <v>9619</v>
      </c>
      <c r="T429" t="str">
        <f>T('TMIS CA'!B420)</f>
        <v/>
      </c>
      <c r="U429" t="s">
        <v>4290</v>
      </c>
      <c r="V429" t="str">
        <f t="shared" si="59"/>
        <v/>
      </c>
      <c r="W429" t="str">
        <f t="shared" si="58"/>
        <v/>
      </c>
    </row>
    <row r="430" spans="1:23">
      <c r="A430">
        <f>'IPTV US'!A421</f>
        <v>10590</v>
      </c>
      <c r="B430" t="str">
        <f>T('IPTV US'!B421)</f>
        <v>Stingray Karaoke</v>
      </c>
      <c r="C430" t="s">
        <v>4288</v>
      </c>
      <c r="D430" t="str">
        <f t="shared" si="52"/>
        <v/>
      </c>
      <c r="E430" t="str">
        <f t="shared" si="53"/>
        <v/>
      </c>
      <c r="F430" s="68" t="s">
        <v>4289</v>
      </c>
      <c r="G430">
        <f>'IPTV CA'!A421</f>
        <v>11020</v>
      </c>
      <c r="H430" t="str">
        <f>T('IPTV CA'!B421)</f>
        <v/>
      </c>
      <c r="I430" t="s">
        <v>4290</v>
      </c>
      <c r="J430" t="str">
        <f t="shared" si="54"/>
        <v/>
      </c>
      <c r="K430" t="str">
        <f t="shared" si="56"/>
        <v/>
      </c>
      <c r="L430" s="69"/>
      <c r="M430">
        <f>'TMIS US'!A421</f>
        <v>9190</v>
      </c>
      <c r="N430" t="str">
        <f>T('TMIS US'!B421)</f>
        <v>Stingray Karaoke</v>
      </c>
      <c r="O430" t="s">
        <v>4288</v>
      </c>
      <c r="P430" t="str">
        <f t="shared" si="55"/>
        <v/>
      </c>
      <c r="Q430" t="str">
        <f t="shared" si="57"/>
        <v/>
      </c>
      <c r="R430" s="69"/>
      <c r="S430">
        <f>'TMIS CA'!A421</f>
        <v>9620</v>
      </c>
      <c r="T430" t="str">
        <f>T('TMIS CA'!B421)</f>
        <v/>
      </c>
      <c r="U430" t="s">
        <v>4290</v>
      </c>
      <c r="V430" t="str">
        <f t="shared" si="59"/>
        <v/>
      </c>
      <c r="W430" t="str">
        <f t="shared" si="58"/>
        <v/>
      </c>
    </row>
    <row r="431" spans="1:23">
      <c r="A431">
        <f>'IPTV US'!A422</f>
        <v>10591</v>
      </c>
      <c r="B431" t="str">
        <f>T('IPTV US'!B422)</f>
        <v>Stingray Classica</v>
      </c>
      <c r="C431" t="s">
        <v>4288</v>
      </c>
      <c r="D431" t="str">
        <f t="shared" si="52"/>
        <v/>
      </c>
      <c r="E431" t="str">
        <f t="shared" si="53"/>
        <v/>
      </c>
      <c r="F431" s="68" t="s">
        <v>4289</v>
      </c>
      <c r="G431">
        <f>'IPTV CA'!A422</f>
        <v>11021</v>
      </c>
      <c r="H431" t="str">
        <f>T('IPTV CA'!B422)</f>
        <v>Space Science Now</v>
      </c>
      <c r="I431" t="s">
        <v>4288</v>
      </c>
      <c r="J431" t="str">
        <f t="shared" si="54"/>
        <v/>
      </c>
      <c r="K431" t="str">
        <f t="shared" si="56"/>
        <v/>
      </c>
      <c r="L431" s="69"/>
      <c r="M431">
        <f>'TMIS US'!A422</f>
        <v>9191</v>
      </c>
      <c r="N431" t="str">
        <f>T('TMIS US'!B422)</f>
        <v>Stingray Classica</v>
      </c>
      <c r="O431" t="s">
        <v>4288</v>
      </c>
      <c r="P431" t="str">
        <f t="shared" si="55"/>
        <v/>
      </c>
      <c r="Q431" t="str">
        <f t="shared" si="57"/>
        <v/>
      </c>
      <c r="R431" s="69"/>
      <c r="S431">
        <f>'TMIS CA'!A422</f>
        <v>9621</v>
      </c>
      <c r="T431" t="str">
        <f>T('TMIS CA'!B422)</f>
        <v>Space Science Now</v>
      </c>
      <c r="U431" t="s">
        <v>4288</v>
      </c>
      <c r="V431" t="str">
        <f t="shared" si="59"/>
        <v/>
      </c>
      <c r="W431" t="str">
        <f t="shared" si="58"/>
        <v/>
      </c>
    </row>
    <row r="432" spans="1:23">
      <c r="A432">
        <f>'IPTV US'!A423</f>
        <v>10592</v>
      </c>
      <c r="B432" t="str">
        <f>T('IPTV US'!B423)</f>
        <v>Movie Music by Stingray</v>
      </c>
      <c r="C432" t="s">
        <v>4288</v>
      </c>
      <c r="D432" t="str">
        <f t="shared" si="52"/>
        <v/>
      </c>
      <c r="E432" t="str">
        <f t="shared" si="53"/>
        <v/>
      </c>
      <c r="F432" s="68" t="s">
        <v>4289</v>
      </c>
      <c r="G432">
        <f>'IPTV CA'!A423</f>
        <v>11022</v>
      </c>
      <c r="H432" t="str">
        <f>T('IPTV CA'!B423)</f>
        <v>Get.Factual</v>
      </c>
      <c r="I432" t="s">
        <v>4288</v>
      </c>
      <c r="J432" t="str">
        <f t="shared" si="54"/>
        <v/>
      </c>
      <c r="K432" t="str">
        <f t="shared" si="56"/>
        <v/>
      </c>
      <c r="L432" s="69"/>
      <c r="M432">
        <f>'TMIS US'!A423</f>
        <v>9192</v>
      </c>
      <c r="N432" t="str">
        <f>T('TMIS US'!B423)</f>
        <v>Movie Music by Stingray</v>
      </c>
      <c r="O432" t="s">
        <v>4288</v>
      </c>
      <c r="P432" t="str">
        <f t="shared" si="55"/>
        <v/>
      </c>
      <c r="Q432" t="str">
        <f t="shared" si="57"/>
        <v/>
      </c>
      <c r="R432" s="69"/>
      <c r="S432">
        <f>'TMIS CA'!A423</f>
        <v>9622</v>
      </c>
      <c r="T432" t="str">
        <f>T('TMIS CA'!B423)</f>
        <v>Get.Factual</v>
      </c>
      <c r="U432" t="s">
        <v>4288</v>
      </c>
      <c r="V432" t="str">
        <f t="shared" si="59"/>
        <v/>
      </c>
      <c r="W432" t="str">
        <f t="shared" si="58"/>
        <v/>
      </c>
    </row>
    <row r="433" spans="1:23">
      <c r="A433">
        <f>'IPTV US'!A424</f>
        <v>10593</v>
      </c>
      <c r="B433" t="str">
        <f>T('IPTV US'!B424)</f>
        <v>Stingray DJAZZ</v>
      </c>
      <c r="C433" t="s">
        <v>4288</v>
      </c>
      <c r="D433" t="str">
        <f t="shared" si="52"/>
        <v/>
      </c>
      <c r="E433" t="str">
        <f t="shared" si="53"/>
        <v/>
      </c>
      <c r="F433" s="68" t="s">
        <v>4289</v>
      </c>
      <c r="G433">
        <f>'IPTV CA'!A424</f>
        <v>11023</v>
      </c>
      <c r="H433" t="str">
        <f>T('IPTV CA'!B424)</f>
        <v>Go Xplorer</v>
      </c>
      <c r="I433" t="s">
        <v>4288</v>
      </c>
      <c r="J433" t="str">
        <f t="shared" si="54"/>
        <v/>
      </c>
      <c r="K433" t="str">
        <f t="shared" si="56"/>
        <v/>
      </c>
      <c r="L433" s="69"/>
      <c r="M433">
        <f>'TMIS US'!A424</f>
        <v>9193</v>
      </c>
      <c r="N433" t="str">
        <f>T('TMIS US'!B424)</f>
        <v>Stingray DJAZZ</v>
      </c>
      <c r="O433" t="s">
        <v>4288</v>
      </c>
      <c r="P433" t="str">
        <f t="shared" si="55"/>
        <v/>
      </c>
      <c r="Q433" t="str">
        <f t="shared" si="57"/>
        <v/>
      </c>
      <c r="R433" s="69"/>
      <c r="S433">
        <f>'TMIS CA'!A424</f>
        <v>9623</v>
      </c>
      <c r="T433" t="str">
        <f>T('TMIS CA'!B424)</f>
        <v>Go Xplorer</v>
      </c>
      <c r="U433" t="s">
        <v>4288</v>
      </c>
      <c r="V433" t="str">
        <f t="shared" si="59"/>
        <v/>
      </c>
      <c r="W433" t="str">
        <f t="shared" si="58"/>
        <v/>
      </c>
    </row>
    <row r="434" spans="1:23">
      <c r="A434">
        <f>'IPTV US'!A425</f>
        <v>10594</v>
      </c>
      <c r="B434" t="str">
        <f>T('IPTV US'!B425)</f>
        <v>Stingray Smooth Jazz</v>
      </c>
      <c r="C434" t="s">
        <v>4288</v>
      </c>
      <c r="D434" t="str">
        <f t="shared" si="52"/>
        <v/>
      </c>
      <c r="E434" t="str">
        <f t="shared" si="53"/>
        <v/>
      </c>
      <c r="F434" s="68" t="s">
        <v>4289</v>
      </c>
      <c r="G434">
        <f>'IPTV CA'!A425</f>
        <v>11024</v>
      </c>
      <c r="H434" t="str">
        <f>T('IPTV CA'!B425)</f>
        <v>Modern Marvels</v>
      </c>
      <c r="I434" t="s">
        <v>4288</v>
      </c>
      <c r="J434" t="str">
        <f t="shared" si="54"/>
        <v/>
      </c>
      <c r="K434" t="str">
        <f t="shared" si="56"/>
        <v/>
      </c>
      <c r="L434" s="69"/>
      <c r="M434">
        <f>'TMIS US'!A425</f>
        <v>9194</v>
      </c>
      <c r="N434" t="str">
        <f>T('TMIS US'!B425)</f>
        <v>Stingray Smooth Jazz</v>
      </c>
      <c r="O434" t="s">
        <v>4288</v>
      </c>
      <c r="P434" t="str">
        <f t="shared" si="55"/>
        <v/>
      </c>
      <c r="Q434" t="str">
        <f t="shared" si="57"/>
        <v/>
      </c>
      <c r="R434" s="69"/>
      <c r="S434">
        <f>'TMIS CA'!A425</f>
        <v>9624</v>
      </c>
      <c r="T434" t="str">
        <f>T('TMIS CA'!B425)</f>
        <v>Modern Marvels</v>
      </c>
      <c r="U434" t="s">
        <v>4288</v>
      </c>
      <c r="V434" t="str">
        <f t="shared" si="59"/>
        <v/>
      </c>
      <c r="W434" t="str">
        <f t="shared" si="58"/>
        <v/>
      </c>
    </row>
    <row r="435" spans="1:23">
      <c r="A435">
        <f>'IPTV US'!A426</f>
        <v>10595</v>
      </c>
      <c r="B435" t="str">
        <f>T('IPTV US'!B426)</f>
        <v>Stingray Soul Storm</v>
      </c>
      <c r="C435" t="s">
        <v>4288</v>
      </c>
      <c r="D435" t="str">
        <f t="shared" si="52"/>
        <v/>
      </c>
      <c r="E435" t="str">
        <f t="shared" si="53"/>
        <v/>
      </c>
      <c r="F435" s="68" t="s">
        <v>4289</v>
      </c>
      <c r="G435">
        <f>'IPTV CA'!A426</f>
        <v>11025</v>
      </c>
      <c r="H435" t="str">
        <f>T('IPTV CA'!B426)</f>
        <v/>
      </c>
      <c r="I435" t="s">
        <v>4290</v>
      </c>
      <c r="J435" t="str">
        <f t="shared" si="54"/>
        <v/>
      </c>
      <c r="K435" t="str">
        <f t="shared" si="56"/>
        <v/>
      </c>
      <c r="L435" s="69"/>
      <c r="M435">
        <f>'TMIS US'!A426</f>
        <v>9195</v>
      </c>
      <c r="N435" t="str">
        <f>T('TMIS US'!B426)</f>
        <v>Stingray Soul Storm</v>
      </c>
      <c r="O435" t="s">
        <v>4288</v>
      </c>
      <c r="P435" t="str">
        <f t="shared" si="55"/>
        <v/>
      </c>
      <c r="Q435" t="str">
        <f t="shared" si="57"/>
        <v/>
      </c>
      <c r="R435" s="69"/>
      <c r="S435">
        <f>'TMIS CA'!A426</f>
        <v>9625</v>
      </c>
      <c r="T435" t="str">
        <f>T('TMIS CA'!B426)</f>
        <v/>
      </c>
      <c r="U435" t="s">
        <v>4290</v>
      </c>
      <c r="V435" t="str">
        <f t="shared" si="59"/>
        <v/>
      </c>
      <c r="W435" t="str">
        <f t="shared" si="58"/>
        <v/>
      </c>
    </row>
    <row r="436" spans="1:23">
      <c r="A436">
        <f>'IPTV US'!A427</f>
        <v>10596</v>
      </c>
      <c r="B436" t="str">
        <f>T('IPTV US'!B427)</f>
        <v>Stingray Easy Listening</v>
      </c>
      <c r="C436" t="s">
        <v>4288</v>
      </c>
      <c r="D436" t="str">
        <f t="shared" si="52"/>
        <v/>
      </c>
      <c r="E436" t="str">
        <f t="shared" si="53"/>
        <v/>
      </c>
      <c r="F436" s="68" t="s">
        <v>4289</v>
      </c>
      <c r="G436">
        <f>'IPTV CA'!A427</f>
        <v>11026</v>
      </c>
      <c r="H436" t="str">
        <f>T('IPTV CA'!B427)</f>
        <v>Popular Science</v>
      </c>
      <c r="I436" t="s">
        <v>4288</v>
      </c>
      <c r="J436" t="str">
        <f t="shared" si="54"/>
        <v/>
      </c>
      <c r="K436" t="str">
        <f t="shared" si="56"/>
        <v/>
      </c>
      <c r="L436" s="69"/>
      <c r="M436">
        <f>'TMIS US'!A427</f>
        <v>9196</v>
      </c>
      <c r="N436" t="str">
        <f>T('TMIS US'!B427)</f>
        <v>Stingray Easy Listening</v>
      </c>
      <c r="O436" t="s">
        <v>4288</v>
      </c>
      <c r="P436" t="str">
        <f t="shared" si="55"/>
        <v/>
      </c>
      <c r="Q436" t="str">
        <f t="shared" si="57"/>
        <v/>
      </c>
      <c r="R436" s="69"/>
      <c r="S436">
        <f>'TMIS CA'!A427</f>
        <v>9626</v>
      </c>
      <c r="T436" t="str">
        <f>T('TMIS CA'!B427)</f>
        <v>Popular Science</v>
      </c>
      <c r="U436" t="s">
        <v>4288</v>
      </c>
      <c r="V436" t="str">
        <f t="shared" si="59"/>
        <v/>
      </c>
      <c r="W436" t="str">
        <f t="shared" si="58"/>
        <v/>
      </c>
    </row>
    <row r="437" spans="1:23">
      <c r="A437">
        <f>'IPTV US'!A428</f>
        <v>10597</v>
      </c>
      <c r="B437" t="str">
        <f>T('IPTV US'!B428)</f>
        <v>Stingray Naturescape</v>
      </c>
      <c r="C437" t="s">
        <v>4288</v>
      </c>
      <c r="D437" t="str">
        <f t="shared" si="52"/>
        <v/>
      </c>
      <c r="E437" t="str">
        <f t="shared" si="53"/>
        <v/>
      </c>
      <c r="F437" s="68" t="s">
        <v>4289</v>
      </c>
      <c r="G437">
        <f>'IPTV CA'!A428</f>
        <v>11027</v>
      </c>
      <c r="H437" t="str">
        <f>T('IPTV CA'!B428)</f>
        <v/>
      </c>
      <c r="I437" t="s">
        <v>4290</v>
      </c>
      <c r="J437" t="str">
        <f t="shared" si="54"/>
        <v/>
      </c>
      <c r="K437" t="str">
        <f t="shared" si="56"/>
        <v/>
      </c>
      <c r="L437" s="69"/>
      <c r="M437">
        <f>'TMIS US'!A428</f>
        <v>9197</v>
      </c>
      <c r="N437" t="str">
        <f>T('TMIS US'!B428)</f>
        <v>Stingray Naturescape</v>
      </c>
      <c r="O437" t="s">
        <v>4288</v>
      </c>
      <c r="P437" t="str">
        <f t="shared" si="55"/>
        <v/>
      </c>
      <c r="Q437" t="str">
        <f t="shared" si="57"/>
        <v/>
      </c>
      <c r="R437" s="69"/>
      <c r="S437">
        <f>'TMIS CA'!A428</f>
        <v>9627</v>
      </c>
      <c r="T437" t="str">
        <f>T('TMIS CA'!B428)</f>
        <v/>
      </c>
      <c r="U437" t="s">
        <v>4290</v>
      </c>
      <c r="V437" t="str">
        <f t="shared" si="59"/>
        <v/>
      </c>
      <c r="W437" t="str">
        <f t="shared" si="58"/>
        <v/>
      </c>
    </row>
    <row r="438" spans="1:23">
      <c r="A438">
        <f>'IPTV US'!A429</f>
        <v>10598</v>
      </c>
      <c r="B438" t="str">
        <f>T('IPTV US'!B429)</f>
        <v>Stingray Holidayscapes</v>
      </c>
      <c r="C438" t="s">
        <v>4288</v>
      </c>
      <c r="D438" t="str">
        <f t="shared" si="52"/>
        <v/>
      </c>
      <c r="E438" t="str">
        <f t="shared" si="53"/>
        <v/>
      </c>
      <c r="F438" s="68" t="s">
        <v>4289</v>
      </c>
      <c r="G438">
        <f>'IPTV CA'!A429</f>
        <v>11028</v>
      </c>
      <c r="H438" t="str">
        <f>T('IPTV CA'!B429)</f>
        <v/>
      </c>
      <c r="I438" t="s">
        <v>4290</v>
      </c>
      <c r="J438" t="str">
        <f t="shared" si="54"/>
        <v/>
      </c>
      <c r="K438" t="str">
        <f t="shared" si="56"/>
        <v/>
      </c>
      <c r="L438" s="69"/>
      <c r="M438">
        <f>'TMIS US'!A429</f>
        <v>9198</v>
      </c>
      <c r="N438" t="str">
        <f>T('TMIS US'!B429)</f>
        <v>Stingray Holidayscapes</v>
      </c>
      <c r="O438" t="s">
        <v>4288</v>
      </c>
      <c r="P438" t="str">
        <f t="shared" si="55"/>
        <v/>
      </c>
      <c r="Q438" t="str">
        <f t="shared" si="57"/>
        <v/>
      </c>
      <c r="R438" s="69"/>
      <c r="S438">
        <f>'TMIS CA'!A429</f>
        <v>9628</v>
      </c>
      <c r="T438" t="str">
        <f>T('TMIS CA'!B429)</f>
        <v/>
      </c>
      <c r="U438" t="s">
        <v>4290</v>
      </c>
      <c r="V438" t="str">
        <f t="shared" si="59"/>
        <v/>
      </c>
      <c r="W438" t="str">
        <f t="shared" si="58"/>
        <v/>
      </c>
    </row>
    <row r="439" spans="1:23">
      <c r="A439">
        <f>'IPTV US'!A430</f>
        <v>10599</v>
      </c>
      <c r="B439" t="str">
        <f>T('IPTV US'!B430)</f>
        <v>ZenLIFE by Stingray</v>
      </c>
      <c r="C439" t="s">
        <v>4288</v>
      </c>
      <c r="D439" t="str">
        <f t="shared" si="52"/>
        <v/>
      </c>
      <c r="E439" t="str">
        <f t="shared" si="53"/>
        <v/>
      </c>
      <c r="F439" s="68" t="s">
        <v>4289</v>
      </c>
      <c r="G439">
        <f>'IPTV CA'!A430</f>
        <v>11029</v>
      </c>
      <c r="H439" t="str">
        <f>T('IPTV CA'!B430)</f>
        <v>The Mightiest by CTV</v>
      </c>
      <c r="I439" t="s">
        <v>4288</v>
      </c>
      <c r="J439" t="str">
        <f t="shared" si="54"/>
        <v/>
      </c>
      <c r="K439" t="str">
        <f t="shared" si="56"/>
        <v/>
      </c>
      <c r="L439" s="69"/>
      <c r="M439">
        <f>'TMIS US'!A430</f>
        <v>9199</v>
      </c>
      <c r="N439" t="str">
        <f>T('TMIS US'!B430)</f>
        <v>ZenLIFE by Stingray</v>
      </c>
      <c r="O439" t="s">
        <v>4288</v>
      </c>
      <c r="P439" t="str">
        <f t="shared" si="55"/>
        <v/>
      </c>
      <c r="Q439" t="str">
        <f t="shared" si="57"/>
        <v/>
      </c>
      <c r="R439" s="69"/>
      <c r="S439">
        <f>'TMIS CA'!A430</f>
        <v>9629</v>
      </c>
      <c r="T439" t="str">
        <f>T('TMIS CA'!B430)</f>
        <v>The Mightiest by CTV</v>
      </c>
      <c r="U439" t="s">
        <v>4288</v>
      </c>
      <c r="V439" t="str">
        <f t="shared" si="59"/>
        <v/>
      </c>
      <c r="W439" t="str">
        <f t="shared" si="58"/>
        <v/>
      </c>
    </row>
    <row r="440" spans="1:23">
      <c r="A440">
        <f>'IPTV US'!A431</f>
        <v>10600</v>
      </c>
      <c r="B440" t="str">
        <f>T('IPTV US'!B431)</f>
        <v>Stingray SPA</v>
      </c>
      <c r="C440" t="s">
        <v>4288</v>
      </c>
      <c r="D440" t="str">
        <f t="shared" si="52"/>
        <v/>
      </c>
      <c r="E440" t="str">
        <f t="shared" si="53"/>
        <v/>
      </c>
      <c r="F440" s="68" t="s">
        <v>4289</v>
      </c>
      <c r="G440">
        <f>'IPTV CA'!A431</f>
        <v>11030</v>
      </c>
      <c r="H440" t="str">
        <f>T('IPTV CA'!B431)</f>
        <v>TED</v>
      </c>
      <c r="I440" t="s">
        <v>4288</v>
      </c>
      <c r="J440" t="str">
        <f t="shared" si="54"/>
        <v/>
      </c>
      <c r="K440" t="str">
        <f t="shared" si="56"/>
        <v/>
      </c>
      <c r="L440" s="69"/>
      <c r="M440">
        <f>'TMIS US'!A431</f>
        <v>9200</v>
      </c>
      <c r="N440" t="str">
        <f>T('TMIS US'!B431)</f>
        <v>Stingray SPA</v>
      </c>
      <c r="O440" t="s">
        <v>4288</v>
      </c>
      <c r="P440" t="str">
        <f t="shared" si="55"/>
        <v/>
      </c>
      <c r="Q440" t="str">
        <f t="shared" si="57"/>
        <v/>
      </c>
      <c r="R440" s="69"/>
      <c r="S440">
        <f>'TMIS CA'!A431</f>
        <v>9630</v>
      </c>
      <c r="T440" t="str">
        <f>T('TMIS CA'!B431)</f>
        <v>TED</v>
      </c>
      <c r="U440" t="s">
        <v>4288</v>
      </c>
      <c r="V440" t="str">
        <f t="shared" si="59"/>
        <v/>
      </c>
      <c r="W440" t="str">
        <f t="shared" si="58"/>
        <v/>
      </c>
    </row>
    <row r="441" spans="1:23">
      <c r="A441">
        <f>'IPTV US'!A432</f>
        <v>10601</v>
      </c>
      <c r="B441" t="str">
        <f>T('IPTV US'!B432)</f>
        <v>Stingray Euro Hits</v>
      </c>
      <c r="C441" t="s">
        <v>4288</v>
      </c>
      <c r="D441" t="str">
        <f t="shared" si="52"/>
        <v/>
      </c>
      <c r="E441" t="str">
        <f t="shared" si="53"/>
        <v/>
      </c>
      <c r="F441" s="68" t="s">
        <v>4289</v>
      </c>
      <c r="G441">
        <f>'IPTV CA'!A432</f>
        <v>11031</v>
      </c>
      <c r="H441" t="str">
        <f>T('IPTV CA'!B432)</f>
        <v>Robot Wars by Mech+</v>
      </c>
      <c r="I441" t="s">
        <v>4288</v>
      </c>
      <c r="J441" t="str">
        <f t="shared" si="54"/>
        <v/>
      </c>
      <c r="K441" t="str">
        <f t="shared" si="56"/>
        <v/>
      </c>
      <c r="L441" s="69"/>
      <c r="M441">
        <f>'TMIS US'!A432</f>
        <v>9201</v>
      </c>
      <c r="N441" t="str">
        <f>T('TMIS US'!B432)</f>
        <v>Stingray Euro Hits</v>
      </c>
      <c r="O441" t="s">
        <v>4288</v>
      </c>
      <c r="P441" t="str">
        <f t="shared" si="55"/>
        <v/>
      </c>
      <c r="Q441" t="str">
        <f t="shared" si="57"/>
        <v/>
      </c>
      <c r="R441" s="69"/>
      <c r="S441">
        <f>'TMIS CA'!A432</f>
        <v>9631</v>
      </c>
      <c r="T441" t="str">
        <f>T('TMIS CA'!B432)</f>
        <v>Robot Wars by Mech+</v>
      </c>
      <c r="U441" t="s">
        <v>4288</v>
      </c>
      <c r="V441" t="str">
        <f t="shared" si="59"/>
        <v/>
      </c>
      <c r="W441" t="str">
        <f t="shared" si="58"/>
        <v/>
      </c>
    </row>
    <row r="442" spans="1:23">
      <c r="A442">
        <f>'IPTV US'!A433</f>
        <v>10602</v>
      </c>
      <c r="B442" t="str">
        <f>T('IPTV US'!B433)</f>
        <v>Stingray Today's K-Pop</v>
      </c>
      <c r="C442" t="s">
        <v>4288</v>
      </c>
      <c r="D442" t="str">
        <f t="shared" si="52"/>
        <v/>
      </c>
      <c r="E442" t="str">
        <f t="shared" si="53"/>
        <v/>
      </c>
      <c r="F442" s="68" t="s">
        <v>4289</v>
      </c>
      <c r="G442">
        <f>'IPTV CA'!A433</f>
        <v>11032</v>
      </c>
      <c r="H442" t="str">
        <f>T('IPTV CA'!B433)</f>
        <v/>
      </c>
      <c r="I442" t="s">
        <v>4290</v>
      </c>
      <c r="J442" t="str">
        <f t="shared" si="54"/>
        <v/>
      </c>
      <c r="K442" t="str">
        <f t="shared" si="56"/>
        <v/>
      </c>
      <c r="L442" s="69"/>
      <c r="M442">
        <f>'TMIS US'!A433</f>
        <v>9202</v>
      </c>
      <c r="N442" t="str">
        <f>T('TMIS US'!B433)</f>
        <v>Stingray Today's K-Pop</v>
      </c>
      <c r="O442" t="s">
        <v>4288</v>
      </c>
      <c r="P442" t="str">
        <f t="shared" si="55"/>
        <v/>
      </c>
      <c r="Q442" t="str">
        <f t="shared" si="57"/>
        <v/>
      </c>
      <c r="R442" s="69"/>
      <c r="S442">
        <f>'TMIS CA'!A433</f>
        <v>9632</v>
      </c>
      <c r="T442" t="str">
        <f>T('TMIS CA'!B433)</f>
        <v/>
      </c>
      <c r="U442" t="s">
        <v>4290</v>
      </c>
      <c r="V442" t="str">
        <f t="shared" si="59"/>
        <v/>
      </c>
      <c r="W442" t="str">
        <f t="shared" si="58"/>
        <v/>
      </c>
    </row>
    <row r="443" spans="1:23">
      <c r="A443">
        <f>'IPTV US'!A434</f>
        <v>10603</v>
      </c>
      <c r="B443" t="str">
        <f>T('IPTV US'!B434)</f>
        <v>Stingray Exitos del momento</v>
      </c>
      <c r="C443" t="s">
        <v>4288</v>
      </c>
      <c r="D443" t="str">
        <f t="shared" si="52"/>
        <v/>
      </c>
      <c r="E443" t="str">
        <f t="shared" si="53"/>
        <v/>
      </c>
      <c r="F443" s="68" t="s">
        <v>4289</v>
      </c>
      <c r="G443">
        <f>'IPTV CA'!A434</f>
        <v>11033</v>
      </c>
      <c r="H443" t="str">
        <f>T('IPTV CA'!B434)</f>
        <v/>
      </c>
      <c r="I443" t="s">
        <v>4290</v>
      </c>
      <c r="J443" t="str">
        <f t="shared" si="54"/>
        <v/>
      </c>
      <c r="K443" t="str">
        <f t="shared" si="56"/>
        <v/>
      </c>
      <c r="L443" s="69"/>
      <c r="M443">
        <f>'TMIS US'!A434</f>
        <v>9203</v>
      </c>
      <c r="N443" t="str">
        <f>T('TMIS US'!B434)</f>
        <v>Stingray Exitos del momento</v>
      </c>
      <c r="O443" t="s">
        <v>4288</v>
      </c>
      <c r="P443" t="str">
        <f t="shared" si="55"/>
        <v/>
      </c>
      <c r="Q443" t="str">
        <f t="shared" si="57"/>
        <v/>
      </c>
      <c r="R443" s="69"/>
      <c r="S443">
        <f>'TMIS CA'!A434</f>
        <v>9633</v>
      </c>
      <c r="T443" t="str">
        <f>T('TMIS CA'!B434)</f>
        <v/>
      </c>
      <c r="U443" t="s">
        <v>4290</v>
      </c>
      <c r="V443" t="str">
        <f t="shared" si="59"/>
        <v/>
      </c>
      <c r="W443" t="str">
        <f t="shared" si="58"/>
        <v/>
      </c>
    </row>
    <row r="444" spans="1:23">
      <c r="A444">
        <f>'IPTV US'!A435</f>
        <v>10701</v>
      </c>
      <c r="B444" t="str">
        <f>T('IPTV US'!B435)</f>
        <v/>
      </c>
      <c r="C444" t="s">
        <v>4290</v>
      </c>
      <c r="D444" t="str">
        <f t="shared" si="52"/>
        <v/>
      </c>
      <c r="E444" t="str">
        <f t="shared" si="53"/>
        <v/>
      </c>
      <c r="F444" s="68" t="s">
        <v>4289</v>
      </c>
      <c r="G444">
        <f>'IPTV CA'!A435</f>
        <v>11034</v>
      </c>
      <c r="H444" t="str">
        <f>T('IPTV CA'!B435)</f>
        <v>The Martha Stewart Channel</v>
      </c>
      <c r="I444" t="s">
        <v>4288</v>
      </c>
      <c r="J444" t="str">
        <f t="shared" si="54"/>
        <v/>
      </c>
      <c r="K444" t="str">
        <f t="shared" si="56"/>
        <v/>
      </c>
      <c r="L444" s="69"/>
      <c r="M444">
        <f>'TMIS US'!A435</f>
        <v>9301</v>
      </c>
      <c r="N444" t="str">
        <f>T('TMIS US'!B435)</f>
        <v/>
      </c>
      <c r="O444" t="s">
        <v>4290</v>
      </c>
      <c r="P444" t="str">
        <f t="shared" si="55"/>
        <v/>
      </c>
      <c r="Q444" t="str">
        <f t="shared" si="57"/>
        <v/>
      </c>
      <c r="R444" s="69"/>
      <c r="S444">
        <f>'TMIS CA'!A435</f>
        <v>9634</v>
      </c>
      <c r="T444" t="str">
        <f>T('TMIS CA'!B435)</f>
        <v>The Martha Stewart Channel</v>
      </c>
      <c r="U444" t="s">
        <v>4288</v>
      </c>
      <c r="V444" t="str">
        <f t="shared" si="59"/>
        <v/>
      </c>
      <c r="W444" t="str">
        <f t="shared" si="58"/>
        <v/>
      </c>
    </row>
    <row r="445" spans="1:23">
      <c r="A445">
        <f>'IPTV US'!A436</f>
        <v>10702</v>
      </c>
      <c r="B445" t="str">
        <f>T('IPTV US'!B436)</f>
        <v/>
      </c>
      <c r="C445" t="s">
        <v>4290</v>
      </c>
      <c r="D445" t="str">
        <f t="shared" si="52"/>
        <v/>
      </c>
      <c r="E445" t="str">
        <f t="shared" si="53"/>
        <v/>
      </c>
      <c r="F445" s="68" t="s">
        <v>4289</v>
      </c>
      <c r="G445">
        <f>'IPTV CA'!A436</f>
        <v>11035</v>
      </c>
      <c r="H445" t="str">
        <f>T('IPTV CA'!B436)</f>
        <v>The Emeril Lagasse Channel</v>
      </c>
      <c r="I445" t="s">
        <v>4288</v>
      </c>
      <c r="J445" t="str">
        <f t="shared" si="54"/>
        <v/>
      </c>
      <c r="K445" t="str">
        <f t="shared" si="56"/>
        <v/>
      </c>
      <c r="L445" s="69"/>
      <c r="M445">
        <f>'TMIS US'!A436</f>
        <v>9302</v>
      </c>
      <c r="N445" t="str">
        <f>T('TMIS US'!B436)</f>
        <v/>
      </c>
      <c r="O445" t="s">
        <v>4290</v>
      </c>
      <c r="P445" t="str">
        <f t="shared" si="55"/>
        <v/>
      </c>
      <c r="Q445" t="str">
        <f t="shared" si="57"/>
        <v/>
      </c>
      <c r="R445" s="69"/>
      <c r="S445">
        <f>'TMIS CA'!A436</f>
        <v>9635</v>
      </c>
      <c r="T445" t="str">
        <f>T('TMIS CA'!B436)</f>
        <v>The Emeril Lagasse Channel</v>
      </c>
      <c r="U445" t="s">
        <v>4288</v>
      </c>
      <c r="V445" t="str">
        <f t="shared" si="59"/>
        <v/>
      </c>
      <c r="W445" t="str">
        <f t="shared" si="58"/>
        <v/>
      </c>
    </row>
    <row r="446" spans="1:23">
      <c r="A446">
        <f>'IPTV US'!A437</f>
        <v>10703</v>
      </c>
      <c r="B446" t="str">
        <f>T('IPTV US'!B437)</f>
        <v>FOX Weather</v>
      </c>
      <c r="C446" t="s">
        <v>4288</v>
      </c>
      <c r="D446" t="str">
        <f t="shared" si="52"/>
        <v/>
      </c>
      <c r="E446" t="str">
        <f t="shared" si="53"/>
        <v/>
      </c>
      <c r="F446" s="68" t="s">
        <v>4289</v>
      </c>
      <c r="G446">
        <f>'IPTV CA'!A437</f>
        <v>11036</v>
      </c>
      <c r="H446" t="str">
        <f>T('IPTV CA'!B437)</f>
        <v/>
      </c>
      <c r="I446" t="s">
        <v>4290</v>
      </c>
      <c r="J446" t="str">
        <f t="shared" si="54"/>
        <v/>
      </c>
      <c r="K446" t="str">
        <f t="shared" si="56"/>
        <v/>
      </c>
      <c r="L446" s="69"/>
      <c r="M446">
        <f>'TMIS US'!A437</f>
        <v>9303</v>
      </c>
      <c r="N446" t="str">
        <f>T('TMIS US'!B437)</f>
        <v>FOX Weather</v>
      </c>
      <c r="O446" t="s">
        <v>4288</v>
      </c>
      <c r="P446" t="str">
        <f t="shared" si="55"/>
        <v/>
      </c>
      <c r="Q446" t="str">
        <f t="shared" si="57"/>
        <v/>
      </c>
      <c r="R446" s="69"/>
      <c r="S446">
        <f>'TMIS CA'!A437</f>
        <v>9636</v>
      </c>
      <c r="T446" t="str">
        <f>T('TMIS CA'!B437)</f>
        <v/>
      </c>
      <c r="U446" t="s">
        <v>4290</v>
      </c>
      <c r="V446" t="str">
        <f t="shared" si="59"/>
        <v/>
      </c>
      <c r="W446" t="str">
        <f t="shared" si="58"/>
        <v/>
      </c>
    </row>
    <row r="447" spans="1:23">
      <c r="A447">
        <f>'IPTV US'!A438</f>
        <v>10704</v>
      </c>
      <c r="B447" t="str">
        <f>T('IPTV US'!B438)</f>
        <v>LiveNOW from FOX</v>
      </c>
      <c r="C447" t="s">
        <v>4288</v>
      </c>
      <c r="D447" t="str">
        <f t="shared" si="52"/>
        <v/>
      </c>
      <c r="E447" t="str">
        <f t="shared" si="53"/>
        <v/>
      </c>
      <c r="F447" s="68" t="s">
        <v>4289</v>
      </c>
      <c r="G447">
        <f>'IPTV CA'!A438</f>
        <v>11037</v>
      </c>
      <c r="H447" t="str">
        <f>T('IPTV CA'!B438)</f>
        <v/>
      </c>
      <c r="I447" t="s">
        <v>4290</v>
      </c>
      <c r="J447" t="str">
        <f t="shared" si="54"/>
        <v/>
      </c>
      <c r="K447" t="str">
        <f t="shared" si="56"/>
        <v/>
      </c>
      <c r="L447" s="69"/>
      <c r="M447">
        <f>'TMIS US'!A438</f>
        <v>9304</v>
      </c>
      <c r="N447" t="str">
        <f>T('TMIS US'!B438)</f>
        <v>LiveNOW from FOX</v>
      </c>
      <c r="O447" t="s">
        <v>4288</v>
      </c>
      <c r="P447" t="str">
        <f t="shared" si="55"/>
        <v/>
      </c>
      <c r="Q447" t="str">
        <f t="shared" si="57"/>
        <v/>
      </c>
      <c r="R447" s="69"/>
      <c r="S447">
        <f>'TMIS CA'!A438</f>
        <v>9637</v>
      </c>
      <c r="T447" t="str">
        <f>T('TMIS CA'!B438)</f>
        <v/>
      </c>
      <c r="U447" t="s">
        <v>4290</v>
      </c>
      <c r="V447" t="str">
        <f t="shared" si="59"/>
        <v/>
      </c>
      <c r="W447" t="str">
        <f t="shared" si="58"/>
        <v/>
      </c>
    </row>
    <row r="448" spans="1:23">
      <c r="A448">
        <f>'IPTV US'!A439</f>
        <v>10705</v>
      </c>
      <c r="B448" t="str">
        <f>T('IPTV US'!B439)</f>
        <v/>
      </c>
      <c r="C448" t="s">
        <v>4290</v>
      </c>
      <c r="D448" t="str">
        <f t="shared" si="52"/>
        <v/>
      </c>
      <c r="E448" t="str">
        <f t="shared" si="53"/>
        <v/>
      </c>
      <c r="F448" s="68" t="s">
        <v>4289</v>
      </c>
      <c r="G448">
        <f>'IPTV CA'!A439</f>
        <v>11038</v>
      </c>
      <c r="H448" t="str">
        <f>T('IPTV CA'!B439)</f>
        <v>Tastemade</v>
      </c>
      <c r="I448" t="s">
        <v>4288</v>
      </c>
      <c r="J448" t="str">
        <f t="shared" si="54"/>
        <v/>
      </c>
      <c r="K448" t="str">
        <f t="shared" si="56"/>
        <v/>
      </c>
      <c r="L448" s="69"/>
      <c r="M448">
        <f>'TMIS US'!A439</f>
        <v>9305</v>
      </c>
      <c r="N448" t="str">
        <f>T('TMIS US'!B439)</f>
        <v/>
      </c>
      <c r="O448" t="s">
        <v>4290</v>
      </c>
      <c r="P448" t="str">
        <f t="shared" si="55"/>
        <v/>
      </c>
      <c r="Q448" t="str">
        <f t="shared" si="57"/>
        <v/>
      </c>
      <c r="R448" s="69"/>
      <c r="S448">
        <f>'TMIS CA'!A439</f>
        <v>9638</v>
      </c>
      <c r="T448" t="str">
        <f>T('TMIS CA'!B439)</f>
        <v>Tastemade</v>
      </c>
      <c r="U448" t="s">
        <v>4288</v>
      </c>
      <c r="V448" t="str">
        <f t="shared" si="59"/>
        <v/>
      </c>
      <c r="W448" t="str">
        <f t="shared" si="58"/>
        <v/>
      </c>
    </row>
    <row r="449" spans="1:23">
      <c r="A449">
        <f>'IPTV US'!A440</f>
        <v>10706</v>
      </c>
      <c r="B449" t="str">
        <f>T('IPTV US'!B440)</f>
        <v/>
      </c>
      <c r="C449" t="s">
        <v>4290</v>
      </c>
      <c r="D449" t="str">
        <f t="shared" si="52"/>
        <v/>
      </c>
      <c r="E449" t="str">
        <f t="shared" si="53"/>
        <v/>
      </c>
      <c r="F449" s="68" t="s">
        <v>4289</v>
      </c>
      <c r="G449">
        <f>'IPTV CA'!A440</f>
        <v>11039</v>
      </c>
      <c r="H449" t="str">
        <f>T('IPTV CA'!B440)</f>
        <v/>
      </c>
      <c r="I449" t="s">
        <v>4290</v>
      </c>
      <c r="J449" t="str">
        <f t="shared" si="54"/>
        <v/>
      </c>
      <c r="K449" t="str">
        <f t="shared" si="56"/>
        <v/>
      </c>
      <c r="L449" s="69"/>
      <c r="M449">
        <f>'TMIS US'!A440</f>
        <v>9306</v>
      </c>
      <c r="N449" t="str">
        <f>T('TMIS US'!B440)</f>
        <v/>
      </c>
      <c r="O449" t="s">
        <v>4290</v>
      </c>
      <c r="P449" t="str">
        <f t="shared" si="55"/>
        <v/>
      </c>
      <c r="Q449" t="str">
        <f t="shared" si="57"/>
        <v/>
      </c>
      <c r="R449" s="69"/>
      <c r="S449">
        <f>'TMIS CA'!A440</f>
        <v>9639</v>
      </c>
      <c r="T449" t="str">
        <f>T('TMIS CA'!B440)</f>
        <v/>
      </c>
      <c r="U449" t="s">
        <v>4290</v>
      </c>
      <c r="V449" t="str">
        <f t="shared" si="59"/>
        <v/>
      </c>
      <c r="W449" t="str">
        <f t="shared" si="58"/>
        <v/>
      </c>
    </row>
    <row r="450" spans="1:23">
      <c r="A450">
        <f>'IPTV US'!A441</f>
        <v>10707</v>
      </c>
      <c r="B450" t="str">
        <f>T('IPTV US'!B441)</f>
        <v>NBC News NOW</v>
      </c>
      <c r="C450" t="s">
        <v>4288</v>
      </c>
      <c r="D450" t="str">
        <f t="shared" si="52"/>
        <v/>
      </c>
      <c r="E450" t="str">
        <f t="shared" si="53"/>
        <v/>
      </c>
      <c r="F450" s="68" t="s">
        <v>4289</v>
      </c>
      <c r="G450">
        <f>'IPTV CA'!A441</f>
        <v>11040</v>
      </c>
      <c r="H450" t="str">
        <f>T('IPTV CA'!B441)</f>
        <v/>
      </c>
      <c r="I450" t="s">
        <v>4290</v>
      </c>
      <c r="J450" t="str">
        <f t="shared" si="54"/>
        <v/>
      </c>
      <c r="K450" t="str">
        <f t="shared" si="56"/>
        <v/>
      </c>
      <c r="L450" s="69"/>
      <c r="M450">
        <f>'TMIS US'!A441</f>
        <v>9307</v>
      </c>
      <c r="N450" t="str">
        <f>T('TMIS US'!B441)</f>
        <v>NBC News NOW</v>
      </c>
      <c r="O450" t="s">
        <v>4288</v>
      </c>
      <c r="P450" t="str">
        <f t="shared" si="55"/>
        <v/>
      </c>
      <c r="Q450" t="str">
        <f t="shared" si="57"/>
        <v/>
      </c>
      <c r="R450" s="69"/>
      <c r="S450">
        <f>'TMIS CA'!A441</f>
        <v>9640</v>
      </c>
      <c r="T450" t="str">
        <f>T('TMIS CA'!B441)</f>
        <v/>
      </c>
      <c r="U450" t="s">
        <v>4290</v>
      </c>
      <c r="V450" t="str">
        <f t="shared" si="59"/>
        <v/>
      </c>
      <c r="W450" t="str">
        <f t="shared" si="58"/>
        <v/>
      </c>
    </row>
    <row r="451" spans="1:23">
      <c r="A451">
        <f>'IPTV US'!A442</f>
        <v>10708</v>
      </c>
      <c r="B451" t="str">
        <f>T('IPTV US'!B442)</f>
        <v>BBC News (North America)</v>
      </c>
      <c r="C451" t="s">
        <v>4288</v>
      </c>
      <c r="D451" t="str">
        <f t="shared" si="52"/>
        <v/>
      </c>
      <c r="E451" t="str">
        <f t="shared" si="53"/>
        <v/>
      </c>
      <c r="F451" s="68" t="s">
        <v>4289</v>
      </c>
      <c r="G451">
        <f>'IPTV CA'!A442</f>
        <v>11041</v>
      </c>
      <c r="H451" t="str">
        <f>T('IPTV CA'!B442)</f>
        <v>BBC Food</v>
      </c>
      <c r="I451" t="s">
        <v>4288</v>
      </c>
      <c r="J451" t="str">
        <f t="shared" si="54"/>
        <v/>
      </c>
      <c r="K451" t="str">
        <f t="shared" si="56"/>
        <v/>
      </c>
      <c r="L451" s="69"/>
      <c r="M451">
        <f>'TMIS US'!A442</f>
        <v>9308</v>
      </c>
      <c r="N451" t="str">
        <f>T('TMIS US'!B442)</f>
        <v>BBC News (North America)</v>
      </c>
      <c r="O451" t="s">
        <v>4288</v>
      </c>
      <c r="P451" t="str">
        <f t="shared" si="55"/>
        <v/>
      </c>
      <c r="Q451" t="str">
        <f t="shared" si="57"/>
        <v/>
      </c>
      <c r="R451" s="69"/>
      <c r="S451">
        <f>'TMIS CA'!A442</f>
        <v>9641</v>
      </c>
      <c r="T451" t="str">
        <f>T('TMIS CA'!B442)</f>
        <v>BBC Food</v>
      </c>
      <c r="U451" t="s">
        <v>4288</v>
      </c>
      <c r="V451" t="str">
        <f t="shared" si="59"/>
        <v/>
      </c>
      <c r="W451" t="str">
        <f t="shared" si="58"/>
        <v/>
      </c>
    </row>
    <row r="452" spans="1:23">
      <c r="A452">
        <f>'IPTV US'!A443</f>
        <v>10709</v>
      </c>
      <c r="B452" t="str">
        <f>T('IPTV US'!B443)</f>
        <v>Euronews</v>
      </c>
      <c r="C452" t="s">
        <v>4288</v>
      </c>
      <c r="D452" t="str">
        <f t="shared" si="52"/>
        <v/>
      </c>
      <c r="E452" t="str">
        <f t="shared" si="53"/>
        <v/>
      </c>
      <c r="F452" s="68" t="s">
        <v>4289</v>
      </c>
      <c r="G452">
        <f>'IPTV CA'!A443</f>
        <v>11042</v>
      </c>
      <c r="H452" t="str">
        <f>T('IPTV CA'!B443)</f>
        <v>Iron Chef</v>
      </c>
      <c r="I452" t="s">
        <v>4288</v>
      </c>
      <c r="J452" t="str">
        <f t="shared" si="54"/>
        <v/>
      </c>
      <c r="K452" t="str">
        <f t="shared" si="56"/>
        <v/>
      </c>
      <c r="L452" s="69"/>
      <c r="M452">
        <f>'TMIS US'!A443</f>
        <v>9309</v>
      </c>
      <c r="N452" t="str">
        <f>T('TMIS US'!B443)</f>
        <v>Euronews</v>
      </c>
      <c r="O452" t="s">
        <v>4288</v>
      </c>
      <c r="P452" t="str">
        <f t="shared" si="55"/>
        <v/>
      </c>
      <c r="Q452" t="str">
        <f t="shared" si="57"/>
        <v/>
      </c>
      <c r="R452" s="69"/>
      <c r="S452">
        <f>'TMIS CA'!A443</f>
        <v>9642</v>
      </c>
      <c r="T452" t="str">
        <f>T('TMIS CA'!B443)</f>
        <v>Iron Chef</v>
      </c>
      <c r="U452" t="s">
        <v>4288</v>
      </c>
      <c r="V452" t="str">
        <f t="shared" si="59"/>
        <v/>
      </c>
      <c r="W452" t="str">
        <f t="shared" si="58"/>
        <v/>
      </c>
    </row>
    <row r="453" spans="1:23">
      <c r="A453">
        <f>'IPTV US'!A444</f>
        <v>10710</v>
      </c>
      <c r="B453" t="str">
        <f>T('IPTV US'!B444)</f>
        <v>Reuters TV</v>
      </c>
      <c r="C453" t="s">
        <v>4288</v>
      </c>
      <c r="D453" t="str">
        <f t="shared" si="52"/>
        <v/>
      </c>
      <c r="E453" t="str">
        <f t="shared" si="53"/>
        <v/>
      </c>
      <c r="F453" s="68" t="s">
        <v>4289</v>
      </c>
      <c r="G453">
        <f>'IPTV CA'!A444</f>
        <v>11043</v>
      </c>
      <c r="H453" t="str">
        <f>T('IPTV CA'!B444)</f>
        <v/>
      </c>
      <c r="I453" t="s">
        <v>4290</v>
      </c>
      <c r="J453" t="str">
        <f t="shared" si="54"/>
        <v/>
      </c>
      <c r="K453" t="str">
        <f t="shared" si="56"/>
        <v/>
      </c>
      <c r="L453" s="69"/>
      <c r="M453">
        <f>'TMIS US'!A444</f>
        <v>9310</v>
      </c>
      <c r="N453" t="str">
        <f>T('TMIS US'!B444)</f>
        <v>Reuters TV</v>
      </c>
      <c r="O453" t="s">
        <v>4288</v>
      </c>
      <c r="P453" t="str">
        <f t="shared" si="55"/>
        <v/>
      </c>
      <c r="Q453" t="str">
        <f t="shared" si="57"/>
        <v/>
      </c>
      <c r="R453" s="69"/>
      <c r="S453">
        <f>'TMIS CA'!A444</f>
        <v>9643</v>
      </c>
      <c r="T453" t="str">
        <f>T('TMIS CA'!B444)</f>
        <v/>
      </c>
      <c r="U453" t="s">
        <v>4290</v>
      </c>
      <c r="V453" t="str">
        <f t="shared" si="59"/>
        <v/>
      </c>
      <c r="W453" t="str">
        <f t="shared" si="58"/>
        <v/>
      </c>
    </row>
    <row r="454" spans="1:23">
      <c r="A454">
        <f>'IPTV US'!A445</f>
        <v>10711</v>
      </c>
      <c r="B454" t="str">
        <f>T('IPTV US'!B445)</f>
        <v>CBC News</v>
      </c>
      <c r="C454" t="s">
        <v>4288</v>
      </c>
      <c r="D454" t="str">
        <f t="shared" si="52"/>
        <v/>
      </c>
      <c r="E454" t="str">
        <f t="shared" si="53"/>
        <v/>
      </c>
      <c r="F454" s="68" t="s">
        <v>4289</v>
      </c>
      <c r="G454">
        <f>'IPTV CA'!A445</f>
        <v>11044</v>
      </c>
      <c r="H454" t="str">
        <f>T('IPTV CA'!B445)</f>
        <v>Cooking Panda</v>
      </c>
      <c r="I454" t="s">
        <v>4288</v>
      </c>
      <c r="J454" t="str">
        <f t="shared" si="54"/>
        <v/>
      </c>
      <c r="K454" t="str">
        <f t="shared" si="56"/>
        <v/>
      </c>
      <c r="L454" s="69"/>
      <c r="M454">
        <f>'TMIS US'!A445</f>
        <v>9311</v>
      </c>
      <c r="N454" t="str">
        <f>T('TMIS US'!B445)</f>
        <v>CBC News</v>
      </c>
      <c r="O454" t="s">
        <v>4288</v>
      </c>
      <c r="P454" t="str">
        <f t="shared" si="55"/>
        <v/>
      </c>
      <c r="Q454" t="str">
        <f t="shared" si="57"/>
        <v/>
      </c>
      <c r="R454" s="69"/>
      <c r="S454">
        <f>'TMIS CA'!A445</f>
        <v>9644</v>
      </c>
      <c r="T454" t="str">
        <f>T('TMIS CA'!B445)</f>
        <v>Cooking Panda</v>
      </c>
      <c r="U454" t="s">
        <v>4288</v>
      </c>
      <c r="V454" t="str">
        <f t="shared" si="59"/>
        <v/>
      </c>
      <c r="W454" t="str">
        <f t="shared" si="58"/>
        <v/>
      </c>
    </row>
    <row r="455" spans="1:23">
      <c r="A455">
        <f>'IPTV US'!A446</f>
        <v>10712</v>
      </c>
      <c r="B455" t="str">
        <f>T('IPTV US'!B446)</f>
        <v>FRANCE 24</v>
      </c>
      <c r="C455" t="s">
        <v>4288</v>
      </c>
      <c r="D455" t="str">
        <f t="shared" si="52"/>
        <v/>
      </c>
      <c r="E455" t="str">
        <f t="shared" si="53"/>
        <v/>
      </c>
      <c r="F455" s="68" t="s">
        <v>4289</v>
      </c>
      <c r="G455">
        <f>'IPTV CA'!A446</f>
        <v>11045</v>
      </c>
      <c r="H455" t="str">
        <f>T('IPTV CA'!B446)</f>
        <v>Drool</v>
      </c>
      <c r="I455" t="s">
        <v>4288</v>
      </c>
      <c r="J455" t="str">
        <f t="shared" si="54"/>
        <v/>
      </c>
      <c r="K455" t="str">
        <f t="shared" si="56"/>
        <v/>
      </c>
      <c r="L455" s="69"/>
      <c r="M455">
        <f>'TMIS US'!A446</f>
        <v>9312</v>
      </c>
      <c r="N455" t="str">
        <f>T('TMIS US'!B446)</f>
        <v>FRANCE 24</v>
      </c>
      <c r="O455" t="s">
        <v>4288</v>
      </c>
      <c r="P455" t="str">
        <f t="shared" si="55"/>
        <v/>
      </c>
      <c r="Q455" t="str">
        <f t="shared" si="57"/>
        <v/>
      </c>
      <c r="R455" s="69"/>
      <c r="S455">
        <f>'TMIS CA'!A446</f>
        <v>9645</v>
      </c>
      <c r="T455" t="str">
        <f>T('TMIS CA'!B446)</f>
        <v>Drool</v>
      </c>
      <c r="U455" t="s">
        <v>4288</v>
      </c>
      <c r="V455" t="str">
        <f t="shared" si="59"/>
        <v/>
      </c>
      <c r="W455" t="str">
        <f t="shared" si="58"/>
        <v/>
      </c>
    </row>
    <row r="456" spans="1:23">
      <c r="A456">
        <f>'IPTV US'!A447</f>
        <v>10713</v>
      </c>
      <c r="B456" t="str">
        <f>T('IPTV US'!B447)</f>
        <v>CNN Originals</v>
      </c>
      <c r="C456" t="s">
        <v>4288</v>
      </c>
      <c r="D456" t="str">
        <f t="shared" si="52"/>
        <v/>
      </c>
      <c r="E456" t="str">
        <f t="shared" si="53"/>
        <v/>
      </c>
      <c r="F456" s="68" t="s">
        <v>4289</v>
      </c>
      <c r="G456">
        <f>'IPTV CA'!A447</f>
        <v>11046</v>
      </c>
      <c r="H456" t="str">
        <f>T('IPTV CA'!B447)</f>
        <v/>
      </c>
      <c r="I456" t="s">
        <v>4290</v>
      </c>
      <c r="J456" t="str">
        <f t="shared" si="54"/>
        <v/>
      </c>
      <c r="K456" t="str">
        <f t="shared" si="56"/>
        <v/>
      </c>
      <c r="L456" s="69"/>
      <c r="M456">
        <f>'TMIS US'!A447</f>
        <v>9313</v>
      </c>
      <c r="N456" t="str">
        <f>T('TMIS US'!B447)</f>
        <v>CNN Originals</v>
      </c>
      <c r="O456" t="s">
        <v>4288</v>
      </c>
      <c r="P456" t="str">
        <f t="shared" si="55"/>
        <v/>
      </c>
      <c r="Q456" t="str">
        <f t="shared" si="57"/>
        <v/>
      </c>
      <c r="R456" s="69"/>
      <c r="S456">
        <f>'TMIS CA'!A447</f>
        <v>9646</v>
      </c>
      <c r="T456" t="str">
        <f>T('TMIS CA'!B447)</f>
        <v/>
      </c>
      <c r="U456" t="s">
        <v>4290</v>
      </c>
      <c r="V456" t="str">
        <f t="shared" si="59"/>
        <v/>
      </c>
      <c r="W456" t="str">
        <f t="shared" si="58"/>
        <v/>
      </c>
    </row>
    <row r="457" spans="1:23">
      <c r="A457">
        <f>'IPTV US'!A448</f>
        <v>10714</v>
      </c>
      <c r="B457" t="str">
        <f>T('IPTV US'!B448)</f>
        <v>The Hill</v>
      </c>
      <c r="C457" t="s">
        <v>4288</v>
      </c>
      <c r="D457" t="str">
        <f t="shared" si="52"/>
        <v/>
      </c>
      <c r="E457" t="str">
        <f t="shared" si="53"/>
        <v/>
      </c>
      <c r="F457" s="68" t="s">
        <v>4289</v>
      </c>
      <c r="G457">
        <f>'IPTV CA'!A448</f>
        <v>11047</v>
      </c>
      <c r="H457" t="str">
        <f>T('IPTV CA'!B448)</f>
        <v/>
      </c>
      <c r="I457" t="s">
        <v>4290</v>
      </c>
      <c r="J457" t="str">
        <f t="shared" si="54"/>
        <v/>
      </c>
      <c r="K457" t="str">
        <f t="shared" si="56"/>
        <v/>
      </c>
      <c r="L457" s="69"/>
      <c r="M457">
        <f>'TMIS US'!A448</f>
        <v>9314</v>
      </c>
      <c r="N457" t="str">
        <f>T('TMIS US'!B448)</f>
        <v>The Hill</v>
      </c>
      <c r="O457" t="s">
        <v>4288</v>
      </c>
      <c r="P457" t="str">
        <f t="shared" si="55"/>
        <v/>
      </c>
      <c r="Q457" t="str">
        <f t="shared" si="57"/>
        <v/>
      </c>
      <c r="R457" s="69"/>
      <c r="S457">
        <f>'TMIS CA'!A448</f>
        <v>9647</v>
      </c>
      <c r="T457" t="str">
        <f>T('TMIS CA'!B448)</f>
        <v/>
      </c>
      <c r="U457" t="s">
        <v>4290</v>
      </c>
      <c r="V457" t="str">
        <f t="shared" si="59"/>
        <v/>
      </c>
      <c r="W457" t="str">
        <f t="shared" si="58"/>
        <v/>
      </c>
    </row>
    <row r="458" spans="1:23">
      <c r="A458">
        <f>'IPTV US'!A449</f>
        <v>10715</v>
      </c>
      <c r="B458" t="str">
        <f>T('IPTV US'!B449)</f>
        <v/>
      </c>
      <c r="C458" t="s">
        <v>4290</v>
      </c>
      <c r="D458" t="str">
        <f t="shared" si="52"/>
        <v/>
      </c>
      <c r="E458" t="str">
        <f t="shared" si="53"/>
        <v/>
      </c>
      <c r="F458" s="68" t="s">
        <v>4289</v>
      </c>
      <c r="G458">
        <f>'IPTV CA'!A449</f>
        <v>11048</v>
      </c>
      <c r="H458" t="str">
        <f>T('IPTV CA'!B449)</f>
        <v>BBC Home &amp; Garden</v>
      </c>
      <c r="I458" t="s">
        <v>4288</v>
      </c>
      <c r="J458" t="str">
        <f t="shared" si="54"/>
        <v/>
      </c>
      <c r="K458" t="str">
        <f t="shared" si="56"/>
        <v/>
      </c>
      <c r="L458" s="69"/>
      <c r="M458">
        <f>'TMIS US'!A449</f>
        <v>9315</v>
      </c>
      <c r="N458" t="str">
        <f>T('TMIS US'!B449)</f>
        <v/>
      </c>
      <c r="O458" t="s">
        <v>4290</v>
      </c>
      <c r="P458" t="str">
        <f t="shared" si="55"/>
        <v/>
      </c>
      <c r="Q458" t="str">
        <f t="shared" si="57"/>
        <v/>
      </c>
      <c r="R458" s="69"/>
      <c r="S458">
        <f>'TMIS CA'!A449</f>
        <v>9648</v>
      </c>
      <c r="T458" t="str">
        <f>T('TMIS CA'!B449)</f>
        <v>BBC Home &amp; Garden</v>
      </c>
      <c r="U458" t="s">
        <v>4288</v>
      </c>
      <c r="V458" t="str">
        <f t="shared" si="59"/>
        <v/>
      </c>
      <c r="W458" t="str">
        <f t="shared" si="58"/>
        <v/>
      </c>
    </row>
    <row r="459" spans="1:23">
      <c r="A459">
        <f>'IPTV US'!A450</f>
        <v>10716</v>
      </c>
      <c r="B459" t="str">
        <f>T('IPTV US'!B450)</f>
        <v/>
      </c>
      <c r="C459" t="s">
        <v>4290</v>
      </c>
      <c r="D459" t="str">
        <f t="shared" ref="D459:D522" si="60">IF(C459="Active",IF(B459="","Please Notify - Channel Removed",""),"")</f>
        <v/>
      </c>
      <c r="E459" t="str">
        <f t="shared" ref="E459:E522" si="61">IF(C459="Vacant",IF(B459="","","Please Notify - Channel Added"),"")</f>
        <v/>
      </c>
      <c r="F459" s="68" t="s">
        <v>4289</v>
      </c>
      <c r="G459">
        <f>'IPTV CA'!A450</f>
        <v>11049</v>
      </c>
      <c r="H459" t="str">
        <f>T('IPTV CA'!B450)</f>
        <v>Gardening with Monty Don</v>
      </c>
      <c r="I459" t="s">
        <v>4288</v>
      </c>
      <c r="J459" t="str">
        <f t="shared" ref="J459:J522" si="62">IF(I459="Active",IF(H459="","Please Notify - Channel Removed",""),"")</f>
        <v/>
      </c>
      <c r="K459" t="str">
        <f t="shared" si="56"/>
        <v/>
      </c>
      <c r="L459" s="69"/>
      <c r="M459">
        <f>'TMIS US'!A450</f>
        <v>9316</v>
      </c>
      <c r="N459" t="str">
        <f>T('TMIS US'!B450)</f>
        <v/>
      </c>
      <c r="O459" t="s">
        <v>4290</v>
      </c>
      <c r="P459" t="str">
        <f t="shared" ref="P459:P522" si="63">IF(O459="Active",IF(N459="","Please Notify - Channel Removed",""),"")</f>
        <v/>
      </c>
      <c r="Q459" t="str">
        <f t="shared" si="57"/>
        <v/>
      </c>
      <c r="R459" s="69"/>
      <c r="S459">
        <f>'TMIS CA'!A450</f>
        <v>9649</v>
      </c>
      <c r="T459" t="str">
        <f>T('TMIS CA'!B450)</f>
        <v>Gardening with Monty Don</v>
      </c>
      <c r="U459" t="s">
        <v>4288</v>
      </c>
      <c r="V459" t="str">
        <f t="shared" si="59"/>
        <v/>
      </c>
      <c r="W459" t="str">
        <f t="shared" si="58"/>
        <v/>
      </c>
    </row>
    <row r="460" spans="1:23">
      <c r="A460">
        <f>'IPTV US'!A451</f>
        <v>10717</v>
      </c>
      <c r="B460" t="str">
        <f>T('IPTV US'!B451)</f>
        <v/>
      </c>
      <c r="C460" t="s">
        <v>4290</v>
      </c>
      <c r="D460" t="str">
        <f t="shared" si="60"/>
        <v/>
      </c>
      <c r="E460" t="str">
        <f t="shared" si="61"/>
        <v/>
      </c>
      <c r="F460" s="68" t="s">
        <v>4289</v>
      </c>
      <c r="G460">
        <f>'IPTV CA'!A451</f>
        <v>11050</v>
      </c>
      <c r="H460" t="str">
        <f>T('IPTV CA'!B451)</f>
        <v/>
      </c>
      <c r="I460" t="s">
        <v>4290</v>
      </c>
      <c r="J460" t="str">
        <f t="shared" si="62"/>
        <v/>
      </c>
      <c r="K460" t="str">
        <f t="shared" ref="K460:K523" si="64">IF(I460="Vacant",IF(H460="","","Please Notify - Channel Added"),"")</f>
        <v/>
      </c>
      <c r="L460" s="69"/>
      <c r="M460">
        <f>'TMIS US'!A451</f>
        <v>9317</v>
      </c>
      <c r="N460" t="str">
        <f>T('TMIS US'!B451)</f>
        <v/>
      </c>
      <c r="O460" t="s">
        <v>4290</v>
      </c>
      <c r="P460" t="str">
        <f t="shared" si="63"/>
        <v/>
      </c>
      <c r="Q460" t="str">
        <f t="shared" ref="Q460:Q523" si="65">IF(O460="Vacant",IF(N460="","","Please Notify - Channel Added"),"")</f>
        <v/>
      </c>
      <c r="R460" s="69"/>
      <c r="S460">
        <f>'TMIS CA'!A451</f>
        <v>9650</v>
      </c>
      <c r="T460" t="str">
        <f>T('TMIS CA'!B451)</f>
        <v/>
      </c>
      <c r="U460" t="s">
        <v>4290</v>
      </c>
      <c r="V460" t="str">
        <f t="shared" si="59"/>
        <v/>
      </c>
      <c r="W460" t="str">
        <f t="shared" ref="W460:W523" si="66">IF(U460="Vacant",IF(T460="","","Please Notify - Channel Added"),"")</f>
        <v/>
      </c>
    </row>
    <row r="461" spans="1:23">
      <c r="A461">
        <f>'IPTV US'!A452</f>
        <v>10718</v>
      </c>
      <c r="B461" t="str">
        <f>T('IPTV US'!B452)</f>
        <v/>
      </c>
      <c r="C461" t="s">
        <v>4290</v>
      </c>
      <c r="D461" t="str">
        <f t="shared" si="60"/>
        <v/>
      </c>
      <c r="E461" t="str">
        <f t="shared" si="61"/>
        <v/>
      </c>
      <c r="F461" s="68" t="s">
        <v>4289</v>
      </c>
      <c r="G461">
        <f>'IPTV CA'!A452</f>
        <v>11051</v>
      </c>
      <c r="H461" t="str">
        <f>T('IPTV CA'!B452)</f>
        <v/>
      </c>
      <c r="I461" t="s">
        <v>4290</v>
      </c>
      <c r="J461" t="str">
        <f t="shared" si="62"/>
        <v/>
      </c>
      <c r="K461" t="str">
        <f t="shared" si="64"/>
        <v/>
      </c>
      <c r="L461" s="69"/>
      <c r="M461">
        <f>'TMIS US'!A452</f>
        <v>9318</v>
      </c>
      <c r="N461" t="str">
        <f>T('TMIS US'!B452)</f>
        <v/>
      </c>
      <c r="O461" t="s">
        <v>4290</v>
      </c>
      <c r="P461" t="str">
        <f t="shared" si="63"/>
        <v/>
      </c>
      <c r="Q461" t="str">
        <f t="shared" si="65"/>
        <v/>
      </c>
      <c r="R461" s="69"/>
      <c r="S461">
        <f>'TMIS CA'!A452</f>
        <v>9651</v>
      </c>
      <c r="T461" t="str">
        <f>T('TMIS CA'!B452)</f>
        <v/>
      </c>
      <c r="U461" t="s">
        <v>4290</v>
      </c>
      <c r="V461" t="str">
        <f t="shared" si="59"/>
        <v/>
      </c>
      <c r="W461" t="str">
        <f t="shared" si="66"/>
        <v/>
      </c>
    </row>
    <row r="462" spans="1:23">
      <c r="A462">
        <f>'IPTV US'!A453</f>
        <v>10719</v>
      </c>
      <c r="B462" t="str">
        <f>T('IPTV US'!B453)</f>
        <v>At the Movies</v>
      </c>
      <c r="C462" t="s">
        <v>4288</v>
      </c>
      <c r="D462" t="str">
        <f t="shared" si="60"/>
        <v/>
      </c>
      <c r="E462" t="str">
        <f t="shared" si="61"/>
        <v/>
      </c>
      <c r="F462" s="68" t="s">
        <v>4289</v>
      </c>
      <c r="G462">
        <f>'IPTV CA'!A453</f>
        <v>11052</v>
      </c>
      <c r="H462" t="str">
        <f>T('IPTV CA'!B453)</f>
        <v/>
      </c>
      <c r="I462" t="s">
        <v>4290</v>
      </c>
      <c r="J462" t="str">
        <f t="shared" si="62"/>
        <v/>
      </c>
      <c r="K462" t="str">
        <f t="shared" si="64"/>
        <v/>
      </c>
      <c r="L462" s="69"/>
      <c r="M462">
        <f>'TMIS US'!A453</f>
        <v>9319</v>
      </c>
      <c r="N462" t="str">
        <f>T('TMIS US'!B453)</f>
        <v>At the Movies</v>
      </c>
      <c r="O462" t="s">
        <v>4288</v>
      </c>
      <c r="P462" t="str">
        <f t="shared" si="63"/>
        <v/>
      </c>
      <c r="Q462" t="str">
        <f t="shared" si="65"/>
        <v/>
      </c>
      <c r="R462" s="69"/>
      <c r="S462">
        <f>'TMIS CA'!A453</f>
        <v>9652</v>
      </c>
      <c r="T462" t="str">
        <f>T('TMIS CA'!B453)</f>
        <v/>
      </c>
      <c r="U462" t="s">
        <v>4290</v>
      </c>
      <c r="V462" t="str">
        <f t="shared" ref="V462:V525" si="67">IF(U462="Active",IF(T462="","Please Notify - Channel Removed",""),"")</f>
        <v/>
      </c>
      <c r="W462" t="str">
        <f t="shared" si="66"/>
        <v/>
      </c>
    </row>
    <row r="463" spans="1:23">
      <c r="A463">
        <f>'IPTV US'!A454</f>
        <v>10720</v>
      </c>
      <c r="B463" t="str">
        <f>T('IPTV US'!B454)</f>
        <v>Miramax Movie Channel</v>
      </c>
      <c r="C463" t="s">
        <v>4288</v>
      </c>
      <c r="D463" t="str">
        <f t="shared" si="60"/>
        <v/>
      </c>
      <c r="E463" t="str">
        <f t="shared" si="61"/>
        <v/>
      </c>
      <c r="F463" s="68" t="s">
        <v>4289</v>
      </c>
      <c r="G463">
        <f>'IPTV CA'!A454</f>
        <v>11053</v>
      </c>
      <c r="H463" t="str">
        <f>T('IPTV CA'!B454)</f>
        <v/>
      </c>
      <c r="I463" t="s">
        <v>4290</v>
      </c>
      <c r="J463" t="str">
        <f t="shared" si="62"/>
        <v/>
      </c>
      <c r="K463" t="str">
        <f t="shared" si="64"/>
        <v/>
      </c>
      <c r="L463" s="69"/>
      <c r="M463">
        <f>'TMIS US'!A454</f>
        <v>9320</v>
      </c>
      <c r="N463" t="str">
        <f>T('TMIS US'!B454)</f>
        <v>Miramax Movie Channel</v>
      </c>
      <c r="O463" t="s">
        <v>4288</v>
      </c>
      <c r="P463" t="str">
        <f t="shared" si="63"/>
        <v/>
      </c>
      <c r="Q463" t="str">
        <f t="shared" si="65"/>
        <v/>
      </c>
      <c r="R463" s="69"/>
      <c r="S463">
        <f>'TMIS CA'!A454</f>
        <v>9653</v>
      </c>
      <c r="T463" t="str">
        <f>T('TMIS CA'!B454)</f>
        <v/>
      </c>
      <c r="U463" t="s">
        <v>4290</v>
      </c>
      <c r="V463" t="str">
        <f t="shared" si="67"/>
        <v/>
      </c>
      <c r="W463" t="str">
        <f t="shared" si="66"/>
        <v/>
      </c>
    </row>
    <row r="464" spans="1:23">
      <c r="A464">
        <f>'IPTV US'!A455</f>
        <v>10721</v>
      </c>
      <c r="B464" t="str">
        <f>T('IPTV US'!B455)</f>
        <v>National Lampoon</v>
      </c>
      <c r="C464" t="s">
        <v>4288</v>
      </c>
      <c r="D464" t="str">
        <f t="shared" si="60"/>
        <v/>
      </c>
      <c r="E464" t="str">
        <f t="shared" si="61"/>
        <v/>
      </c>
      <c r="F464" s="68" t="s">
        <v>4289</v>
      </c>
      <c r="G464">
        <f>'IPTV CA'!A455</f>
        <v>11054</v>
      </c>
      <c r="H464" t="str">
        <f>T('IPTV CA'!B455)</f>
        <v>Property Brothers Channel</v>
      </c>
      <c r="I464" t="s">
        <v>4288</v>
      </c>
      <c r="J464" t="str">
        <f t="shared" si="62"/>
        <v/>
      </c>
      <c r="K464" t="str">
        <f t="shared" si="64"/>
        <v/>
      </c>
      <c r="L464" s="69"/>
      <c r="M464">
        <f>'TMIS US'!A455</f>
        <v>9321</v>
      </c>
      <c r="N464" t="str">
        <f>T('TMIS US'!B455)</f>
        <v>National Lampoon</v>
      </c>
      <c r="O464" t="s">
        <v>4288</v>
      </c>
      <c r="P464" t="str">
        <f t="shared" si="63"/>
        <v/>
      </c>
      <c r="Q464" t="str">
        <f t="shared" si="65"/>
        <v/>
      </c>
      <c r="R464" s="69"/>
      <c r="S464">
        <f>'TMIS CA'!A455</f>
        <v>9654</v>
      </c>
      <c r="T464" t="str">
        <f>T('TMIS CA'!B455)</f>
        <v>Property Brothers Channel</v>
      </c>
      <c r="U464" t="s">
        <v>4288</v>
      </c>
      <c r="V464" t="str">
        <f t="shared" si="67"/>
        <v/>
      </c>
      <c r="W464" t="str">
        <f t="shared" si="66"/>
        <v/>
      </c>
    </row>
    <row r="465" spans="1:23">
      <c r="A465">
        <f>'IPTV US'!A456</f>
        <v>10722</v>
      </c>
      <c r="B465" t="str">
        <f>T('IPTV US'!B456)</f>
        <v/>
      </c>
      <c r="C465" t="s">
        <v>4290</v>
      </c>
      <c r="D465" t="str">
        <f t="shared" si="60"/>
        <v/>
      </c>
      <c r="E465" t="str">
        <f t="shared" si="61"/>
        <v/>
      </c>
      <c r="F465" s="68" t="s">
        <v>4289</v>
      </c>
      <c r="G465">
        <f>'IPTV CA'!A456</f>
        <v>11055</v>
      </c>
      <c r="H465" t="str">
        <f>T('IPTV CA'!B456)</f>
        <v>Flipping Nation</v>
      </c>
      <c r="I465" t="s">
        <v>4288</v>
      </c>
      <c r="J465" t="str">
        <f t="shared" si="62"/>
        <v/>
      </c>
      <c r="K465" t="str">
        <f t="shared" si="64"/>
        <v/>
      </c>
      <c r="L465" s="69"/>
      <c r="M465">
        <f>'TMIS US'!A456</f>
        <v>9322</v>
      </c>
      <c r="N465" t="str">
        <f>T('TMIS US'!B456)</f>
        <v/>
      </c>
      <c r="O465" t="s">
        <v>4290</v>
      </c>
      <c r="P465" t="str">
        <f t="shared" si="63"/>
        <v/>
      </c>
      <c r="Q465" t="str">
        <f t="shared" si="65"/>
        <v/>
      </c>
      <c r="R465" s="69"/>
      <c r="S465">
        <f>'TMIS CA'!A456</f>
        <v>9655</v>
      </c>
      <c r="T465" t="str">
        <f>T('TMIS CA'!B456)</f>
        <v>Flipping Nation</v>
      </c>
      <c r="U465" t="s">
        <v>4288</v>
      </c>
      <c r="V465" t="str">
        <f t="shared" si="67"/>
        <v/>
      </c>
      <c r="W465" t="str">
        <f t="shared" si="66"/>
        <v/>
      </c>
    </row>
    <row r="466" spans="1:23">
      <c r="A466">
        <f>'IPTV US'!A457</f>
        <v>10723</v>
      </c>
      <c r="B466" t="str">
        <f>T('IPTV US'!B457)</f>
        <v/>
      </c>
      <c r="C466" t="s">
        <v>4290</v>
      </c>
      <c r="D466" t="str">
        <f t="shared" si="60"/>
        <v/>
      </c>
      <c r="E466" t="str">
        <f t="shared" si="61"/>
        <v/>
      </c>
      <c r="F466" s="68" t="s">
        <v>4289</v>
      </c>
      <c r="G466">
        <f>'IPTV CA'!A457</f>
        <v>11056</v>
      </c>
      <c r="H466" t="str">
        <f>T('IPTV CA'!B457)</f>
        <v>CTV @Home</v>
      </c>
      <c r="I466" t="s">
        <v>4288</v>
      </c>
      <c r="J466" t="str">
        <f t="shared" si="62"/>
        <v/>
      </c>
      <c r="K466" t="str">
        <f t="shared" si="64"/>
        <v/>
      </c>
      <c r="L466" s="69"/>
      <c r="M466">
        <f>'TMIS US'!A457</f>
        <v>9323</v>
      </c>
      <c r="N466" t="str">
        <f>T('TMIS US'!B457)</f>
        <v/>
      </c>
      <c r="O466" t="s">
        <v>4290</v>
      </c>
      <c r="P466" t="str">
        <f t="shared" si="63"/>
        <v/>
      </c>
      <c r="Q466" t="str">
        <f t="shared" si="65"/>
        <v/>
      </c>
      <c r="R466" s="69"/>
      <c r="S466">
        <f>'TMIS CA'!A457</f>
        <v>9656</v>
      </c>
      <c r="T466" t="str">
        <f>T('TMIS CA'!B457)</f>
        <v>CTV @Home</v>
      </c>
      <c r="U466" t="s">
        <v>4288</v>
      </c>
      <c r="V466" t="str">
        <f t="shared" si="67"/>
        <v/>
      </c>
      <c r="W466" t="str">
        <f t="shared" si="66"/>
        <v/>
      </c>
    </row>
    <row r="467" spans="1:23">
      <c r="A467">
        <f>'IPTV US'!A458</f>
        <v>10724</v>
      </c>
      <c r="B467" t="str">
        <f>T('IPTV US'!B458)</f>
        <v>Plex24</v>
      </c>
      <c r="C467" t="s">
        <v>4288</v>
      </c>
      <c r="D467" t="str">
        <f t="shared" si="60"/>
        <v/>
      </c>
      <c r="E467" t="str">
        <f t="shared" si="61"/>
        <v/>
      </c>
      <c r="F467" s="68" t="s">
        <v>4289</v>
      </c>
      <c r="G467">
        <f>'IPTV CA'!A458</f>
        <v>11057</v>
      </c>
      <c r="H467" t="str">
        <f>T('IPTV CA'!B458)</f>
        <v/>
      </c>
      <c r="I467" t="s">
        <v>4290</v>
      </c>
      <c r="J467" t="str">
        <f t="shared" si="62"/>
        <v/>
      </c>
      <c r="K467" t="str">
        <f t="shared" si="64"/>
        <v/>
      </c>
      <c r="L467" s="69"/>
      <c r="M467">
        <f>'TMIS US'!A458</f>
        <v>9324</v>
      </c>
      <c r="N467" t="str">
        <f>T('TMIS US'!B458)</f>
        <v>Plex24</v>
      </c>
      <c r="O467" t="s">
        <v>4288</v>
      </c>
      <c r="P467" t="str">
        <f t="shared" si="63"/>
        <v/>
      </c>
      <c r="Q467" t="str">
        <f t="shared" si="65"/>
        <v/>
      </c>
      <c r="R467" s="69"/>
      <c r="S467">
        <f>'TMIS CA'!A458</f>
        <v>9657</v>
      </c>
      <c r="T467" t="str">
        <f>T('TMIS CA'!B458)</f>
        <v/>
      </c>
      <c r="U467" t="s">
        <v>4290</v>
      </c>
      <c r="V467" t="str">
        <f t="shared" si="67"/>
        <v/>
      </c>
      <c r="W467" t="str">
        <f t="shared" si="66"/>
        <v/>
      </c>
    </row>
    <row r="468" spans="1:23">
      <c r="A468">
        <f>'IPTV US'!A459</f>
        <v>10725</v>
      </c>
      <c r="B468" t="str">
        <f>T('IPTV US'!B459)</f>
        <v>MyTime Movie Network</v>
      </c>
      <c r="C468" t="s">
        <v>4288</v>
      </c>
      <c r="D468" t="str">
        <f t="shared" si="60"/>
        <v/>
      </c>
      <c r="E468" t="str">
        <f t="shared" si="61"/>
        <v/>
      </c>
      <c r="F468" s="68" t="s">
        <v>4289</v>
      </c>
      <c r="G468">
        <f>'IPTV CA'!A459</f>
        <v>11058</v>
      </c>
      <c r="H468" t="str">
        <f>T('IPTV CA'!B459)</f>
        <v/>
      </c>
      <c r="I468" t="s">
        <v>4290</v>
      </c>
      <c r="J468" t="str">
        <f t="shared" si="62"/>
        <v/>
      </c>
      <c r="K468" t="str">
        <f t="shared" si="64"/>
        <v/>
      </c>
      <c r="L468" s="69"/>
      <c r="M468">
        <f>'TMIS US'!A459</f>
        <v>9325</v>
      </c>
      <c r="N468" t="str">
        <f>T('TMIS US'!B459)</f>
        <v>MyTime Movie Network</v>
      </c>
      <c r="O468" t="s">
        <v>4288</v>
      </c>
      <c r="P468" t="str">
        <f t="shared" si="63"/>
        <v/>
      </c>
      <c r="Q468" t="str">
        <f t="shared" si="65"/>
        <v/>
      </c>
      <c r="R468" s="69"/>
      <c r="S468">
        <f>'TMIS CA'!A459</f>
        <v>9658</v>
      </c>
      <c r="T468" t="str">
        <f>T('TMIS CA'!B459)</f>
        <v/>
      </c>
      <c r="U468" t="s">
        <v>4290</v>
      </c>
      <c r="V468" t="str">
        <f t="shared" si="67"/>
        <v/>
      </c>
      <c r="W468" t="str">
        <f t="shared" si="66"/>
        <v/>
      </c>
    </row>
    <row r="469" spans="1:23">
      <c r="A469">
        <f>'IPTV US'!A460</f>
        <v>10726</v>
      </c>
      <c r="B469" t="str">
        <f>T('IPTV US'!B460)</f>
        <v>Tribeca Channel</v>
      </c>
      <c r="C469" t="s">
        <v>4288</v>
      </c>
      <c r="D469" t="str">
        <f t="shared" si="60"/>
        <v/>
      </c>
      <c r="E469" t="str">
        <f t="shared" si="61"/>
        <v/>
      </c>
      <c r="F469" s="68" t="s">
        <v>4289</v>
      </c>
      <c r="G469">
        <f>'IPTV CA'!A460</f>
        <v>11059</v>
      </c>
      <c r="H469" t="str">
        <f>T('IPTV CA'!B460)</f>
        <v>Homeful</v>
      </c>
      <c r="I469" t="s">
        <v>4288</v>
      </c>
      <c r="J469" t="str">
        <f t="shared" si="62"/>
        <v/>
      </c>
      <c r="K469" t="str">
        <f t="shared" si="64"/>
        <v/>
      </c>
      <c r="L469" s="69"/>
      <c r="M469">
        <f>'TMIS US'!A460</f>
        <v>9326</v>
      </c>
      <c r="N469" t="str">
        <f>T('TMIS US'!B460)</f>
        <v>Tribeca Channel</v>
      </c>
      <c r="O469" t="s">
        <v>4288</v>
      </c>
      <c r="P469" t="str">
        <f t="shared" si="63"/>
        <v/>
      </c>
      <c r="Q469" t="str">
        <f t="shared" si="65"/>
        <v/>
      </c>
      <c r="R469" s="69"/>
      <c r="S469">
        <f>'TMIS CA'!A460</f>
        <v>9659</v>
      </c>
      <c r="T469" t="str">
        <f>T('TMIS CA'!B460)</f>
        <v>Homeful</v>
      </c>
      <c r="U469" t="s">
        <v>4288</v>
      </c>
      <c r="V469" t="str">
        <f t="shared" si="67"/>
        <v/>
      </c>
      <c r="W469" t="str">
        <f t="shared" si="66"/>
        <v/>
      </c>
    </row>
    <row r="470" spans="1:23">
      <c r="A470">
        <f>'IPTV US'!A461</f>
        <v>10727</v>
      </c>
      <c r="B470" t="str">
        <f>T('IPTV US'!B461)</f>
        <v>Samuel Goldwyn Channel</v>
      </c>
      <c r="C470" t="s">
        <v>4288</v>
      </c>
      <c r="D470" t="str">
        <f t="shared" si="60"/>
        <v/>
      </c>
      <c r="E470" t="str">
        <f t="shared" si="61"/>
        <v/>
      </c>
      <c r="F470" s="68" t="s">
        <v>4289</v>
      </c>
      <c r="G470">
        <f>'IPTV CA'!A461</f>
        <v>11060</v>
      </c>
      <c r="H470" t="str">
        <f>T('IPTV CA'!B461)</f>
        <v>This Old House</v>
      </c>
      <c r="I470" t="s">
        <v>4288</v>
      </c>
      <c r="J470" t="str">
        <f t="shared" si="62"/>
        <v/>
      </c>
      <c r="K470" t="str">
        <f t="shared" si="64"/>
        <v/>
      </c>
      <c r="L470" s="69"/>
      <c r="M470">
        <f>'TMIS US'!A461</f>
        <v>9327</v>
      </c>
      <c r="N470" t="str">
        <f>T('TMIS US'!B461)</f>
        <v>Samuel Goldwyn Channel</v>
      </c>
      <c r="O470" t="s">
        <v>4288</v>
      </c>
      <c r="P470" t="str">
        <f t="shared" si="63"/>
        <v/>
      </c>
      <c r="Q470" t="str">
        <f t="shared" si="65"/>
        <v/>
      </c>
      <c r="R470" s="69"/>
      <c r="S470">
        <f>'TMIS CA'!A461</f>
        <v>9660</v>
      </c>
      <c r="T470" t="str">
        <f>T('TMIS CA'!B461)</f>
        <v>This Old House</v>
      </c>
      <c r="U470" t="s">
        <v>4288</v>
      </c>
      <c r="V470" t="str">
        <f t="shared" si="67"/>
        <v/>
      </c>
      <c r="W470" t="str">
        <f t="shared" si="66"/>
        <v/>
      </c>
    </row>
    <row r="471" spans="1:23">
      <c r="A471">
        <f>'IPTV US'!A462</f>
        <v>10728</v>
      </c>
      <c r="B471" t="str">
        <f>T('IPTV US'!B462)</f>
        <v>Samuel Goldwyn Classics</v>
      </c>
      <c r="C471" t="s">
        <v>4288</v>
      </c>
      <c r="D471" t="str">
        <f t="shared" si="60"/>
        <v/>
      </c>
      <c r="E471" t="str">
        <f t="shared" si="61"/>
        <v/>
      </c>
      <c r="F471" s="68" t="s">
        <v>4289</v>
      </c>
      <c r="G471">
        <f>'IPTV CA'!A462</f>
        <v>11061</v>
      </c>
      <c r="H471" t="str">
        <f>T('IPTV CA'!B462)</f>
        <v/>
      </c>
      <c r="I471" t="s">
        <v>4290</v>
      </c>
      <c r="J471" t="str">
        <f t="shared" si="62"/>
        <v/>
      </c>
      <c r="K471" t="str">
        <f t="shared" si="64"/>
        <v/>
      </c>
      <c r="L471" s="69"/>
      <c r="M471">
        <f>'TMIS US'!A462</f>
        <v>9328</v>
      </c>
      <c r="N471" t="str">
        <f>T('TMIS US'!B462)</f>
        <v>Samuel Goldwyn Classics</v>
      </c>
      <c r="O471" t="s">
        <v>4288</v>
      </c>
      <c r="P471" t="str">
        <f t="shared" si="63"/>
        <v/>
      </c>
      <c r="Q471" t="str">
        <f t="shared" si="65"/>
        <v/>
      </c>
      <c r="R471" s="69"/>
      <c r="S471">
        <f>'TMIS CA'!A462</f>
        <v>9661</v>
      </c>
      <c r="T471" t="str">
        <f>T('TMIS CA'!B462)</f>
        <v/>
      </c>
      <c r="U471" t="s">
        <v>4290</v>
      </c>
      <c r="V471" t="str">
        <f t="shared" si="67"/>
        <v/>
      </c>
      <c r="W471" t="str">
        <f t="shared" si="66"/>
        <v/>
      </c>
    </row>
    <row r="472" spans="1:23">
      <c r="A472">
        <f>'IPTV US'!A463</f>
        <v>10729</v>
      </c>
      <c r="B472" t="str">
        <f>T('IPTV US'!B463)</f>
        <v>Midnight Pulp</v>
      </c>
      <c r="C472" t="s">
        <v>4288</v>
      </c>
      <c r="D472" t="str">
        <f t="shared" si="60"/>
        <v/>
      </c>
      <c r="E472" t="str">
        <f t="shared" si="61"/>
        <v/>
      </c>
      <c r="F472" s="68" t="s">
        <v>4289</v>
      </c>
      <c r="G472">
        <f>'IPTV CA'!A463</f>
        <v>11062</v>
      </c>
      <c r="H472" t="str">
        <f>T('IPTV CA'!B463)</f>
        <v/>
      </c>
      <c r="I472" t="s">
        <v>4290</v>
      </c>
      <c r="J472" t="str">
        <f t="shared" si="62"/>
        <v/>
      </c>
      <c r="K472" t="str">
        <f t="shared" si="64"/>
        <v/>
      </c>
      <c r="L472" s="69"/>
      <c r="M472">
        <f>'TMIS US'!A463</f>
        <v>9329</v>
      </c>
      <c r="N472" t="str">
        <f>T('TMIS US'!B463)</f>
        <v>Midnight Pulp</v>
      </c>
      <c r="O472" t="s">
        <v>4288</v>
      </c>
      <c r="P472" t="str">
        <f t="shared" si="63"/>
        <v/>
      </c>
      <c r="Q472" t="str">
        <f t="shared" si="65"/>
        <v/>
      </c>
      <c r="R472" s="69"/>
      <c r="S472">
        <f>'TMIS CA'!A463</f>
        <v>9662</v>
      </c>
      <c r="T472" t="str">
        <f>T('TMIS CA'!B463)</f>
        <v/>
      </c>
      <c r="U472" t="s">
        <v>4290</v>
      </c>
      <c r="V472" t="str">
        <f t="shared" si="67"/>
        <v/>
      </c>
      <c r="W472" t="str">
        <f t="shared" si="66"/>
        <v/>
      </c>
    </row>
    <row r="473" spans="1:23">
      <c r="A473">
        <f>'IPTV US'!A464</f>
        <v>10730</v>
      </c>
      <c r="B473" t="str">
        <f>T('IPTV US'!B464)</f>
        <v/>
      </c>
      <c r="C473" t="s">
        <v>4290</v>
      </c>
      <c r="D473" t="str">
        <f t="shared" si="60"/>
        <v/>
      </c>
      <c r="E473" t="str">
        <f t="shared" si="61"/>
        <v/>
      </c>
      <c r="F473" s="68" t="s">
        <v>4289</v>
      </c>
      <c r="G473">
        <f>'IPTV CA'!A464</f>
        <v>11063</v>
      </c>
      <c r="H473" t="str">
        <f>T('IPTV CA'!B464)</f>
        <v>The Design Network</v>
      </c>
      <c r="I473" t="s">
        <v>4288</v>
      </c>
      <c r="J473" t="str">
        <f t="shared" si="62"/>
        <v/>
      </c>
      <c r="K473" t="str">
        <f t="shared" si="64"/>
        <v/>
      </c>
      <c r="L473" s="69"/>
      <c r="M473">
        <f>'TMIS US'!A464</f>
        <v>9330</v>
      </c>
      <c r="N473" t="str">
        <f>T('TMIS US'!B464)</f>
        <v/>
      </c>
      <c r="O473" t="s">
        <v>4290</v>
      </c>
      <c r="P473" t="str">
        <f t="shared" si="63"/>
        <v/>
      </c>
      <c r="Q473" t="str">
        <f t="shared" si="65"/>
        <v/>
      </c>
      <c r="R473" s="69"/>
      <c r="S473">
        <f>'TMIS CA'!A464</f>
        <v>9663</v>
      </c>
      <c r="T473" t="str">
        <f>T('TMIS CA'!B464)</f>
        <v>The Design Network</v>
      </c>
      <c r="U473" t="s">
        <v>4288</v>
      </c>
      <c r="V473" t="str">
        <f t="shared" si="67"/>
        <v/>
      </c>
      <c r="W473" t="str">
        <f t="shared" si="66"/>
        <v/>
      </c>
    </row>
    <row r="474" spans="1:23">
      <c r="A474">
        <f>'IPTV US'!A465</f>
        <v>10731</v>
      </c>
      <c r="B474" t="str">
        <f>T('IPTV US'!B465)</f>
        <v/>
      </c>
      <c r="C474" t="s">
        <v>4290</v>
      </c>
      <c r="D474" t="str">
        <f t="shared" si="60"/>
        <v/>
      </c>
      <c r="E474" t="str">
        <f t="shared" si="61"/>
        <v/>
      </c>
      <c r="F474" s="68" t="s">
        <v>4289</v>
      </c>
      <c r="G474">
        <f>'IPTV CA'!A465</f>
        <v>11064</v>
      </c>
      <c r="H474" t="str">
        <f>T('IPTV CA'!B465)</f>
        <v>Life+Style</v>
      </c>
      <c r="I474" t="s">
        <v>4288</v>
      </c>
      <c r="J474" t="str">
        <f t="shared" si="62"/>
        <v/>
      </c>
      <c r="K474" t="str">
        <f t="shared" si="64"/>
        <v/>
      </c>
      <c r="L474" s="69"/>
      <c r="M474">
        <f>'TMIS US'!A465</f>
        <v>9331</v>
      </c>
      <c r="N474" t="str">
        <f>T('TMIS US'!B465)</f>
        <v/>
      </c>
      <c r="O474" t="s">
        <v>4290</v>
      </c>
      <c r="P474" t="str">
        <f t="shared" si="63"/>
        <v/>
      </c>
      <c r="Q474" t="str">
        <f t="shared" si="65"/>
        <v/>
      </c>
      <c r="R474" s="69"/>
      <c r="S474">
        <f>'TMIS CA'!A465</f>
        <v>9664</v>
      </c>
      <c r="T474" t="str">
        <f>T('TMIS CA'!B465)</f>
        <v>Life+Style</v>
      </c>
      <c r="U474" t="s">
        <v>4288</v>
      </c>
      <c r="V474" t="str">
        <f t="shared" si="67"/>
        <v/>
      </c>
      <c r="W474" t="str">
        <f t="shared" si="66"/>
        <v/>
      </c>
    </row>
    <row r="475" spans="1:23">
      <c r="A475">
        <f>'IPTV US'!A466</f>
        <v>10732</v>
      </c>
      <c r="B475" t="str">
        <f>T('IPTV US'!B466)</f>
        <v>FilmRise Action</v>
      </c>
      <c r="C475" t="s">
        <v>4288</v>
      </c>
      <c r="D475" t="str">
        <f t="shared" si="60"/>
        <v/>
      </c>
      <c r="E475" t="str">
        <f t="shared" si="61"/>
        <v/>
      </c>
      <c r="F475" s="68" t="s">
        <v>4289</v>
      </c>
      <c r="G475">
        <f>'IPTV CA'!A466</f>
        <v>11065</v>
      </c>
      <c r="H475" t="str">
        <f>T('IPTV CA'!B466)</f>
        <v/>
      </c>
      <c r="I475" t="s">
        <v>4290</v>
      </c>
      <c r="J475" t="str">
        <f t="shared" si="62"/>
        <v/>
      </c>
      <c r="K475" t="str">
        <f t="shared" si="64"/>
        <v/>
      </c>
      <c r="L475" s="69"/>
      <c r="M475">
        <f>'TMIS US'!A466</f>
        <v>9332</v>
      </c>
      <c r="N475" t="str">
        <f>T('TMIS US'!B466)</f>
        <v>FilmRise Action</v>
      </c>
      <c r="O475" t="s">
        <v>4288</v>
      </c>
      <c r="P475" t="str">
        <f t="shared" si="63"/>
        <v/>
      </c>
      <c r="Q475" t="str">
        <f t="shared" si="65"/>
        <v/>
      </c>
      <c r="R475" s="69"/>
      <c r="S475">
        <f>'TMIS CA'!A466</f>
        <v>9665</v>
      </c>
      <c r="T475" t="str">
        <f>T('TMIS CA'!B466)</f>
        <v/>
      </c>
      <c r="U475" t="s">
        <v>4290</v>
      </c>
      <c r="V475" t="str">
        <f t="shared" si="67"/>
        <v/>
      </c>
      <c r="W475" t="str">
        <f t="shared" si="66"/>
        <v/>
      </c>
    </row>
    <row r="476" spans="1:23">
      <c r="A476">
        <f>'IPTV US'!A467</f>
        <v>10733</v>
      </c>
      <c r="B476" t="str">
        <f>T('IPTV US'!B467)</f>
        <v>Gravitas Adrenaline</v>
      </c>
      <c r="C476" t="s">
        <v>4288</v>
      </c>
      <c r="D476" t="str">
        <f t="shared" si="60"/>
        <v/>
      </c>
      <c r="E476" t="str">
        <f t="shared" si="61"/>
        <v/>
      </c>
      <c r="F476" s="68" t="s">
        <v>4289</v>
      </c>
      <c r="G476">
        <f>'IPTV CA'!A467</f>
        <v>11066</v>
      </c>
      <c r="H476" t="str">
        <f>T('IPTV CA'!B467)</f>
        <v/>
      </c>
      <c r="I476" t="s">
        <v>4290</v>
      </c>
      <c r="J476" t="str">
        <f t="shared" si="62"/>
        <v/>
      </c>
      <c r="K476" t="str">
        <f t="shared" si="64"/>
        <v/>
      </c>
      <c r="L476" s="69"/>
      <c r="M476">
        <f>'TMIS US'!A467</f>
        <v>9333</v>
      </c>
      <c r="N476" t="str">
        <f>T('TMIS US'!B467)</f>
        <v/>
      </c>
      <c r="O476" t="s">
        <v>4290</v>
      </c>
      <c r="P476" t="str">
        <f t="shared" si="63"/>
        <v/>
      </c>
      <c r="Q476" t="str">
        <f t="shared" si="65"/>
        <v/>
      </c>
      <c r="R476" s="69"/>
      <c r="S476">
        <f>'TMIS CA'!A467</f>
        <v>9666</v>
      </c>
      <c r="T476" t="str">
        <f>T('TMIS CA'!B467)</f>
        <v/>
      </c>
      <c r="U476" t="s">
        <v>4290</v>
      </c>
      <c r="V476" t="str">
        <f t="shared" si="67"/>
        <v/>
      </c>
      <c r="W476" t="str">
        <f t="shared" si="66"/>
        <v/>
      </c>
    </row>
    <row r="477" spans="1:23">
      <c r="A477">
        <f>'IPTV US'!A468</f>
        <v>10734</v>
      </c>
      <c r="B477" t="str">
        <f>T('IPTV US'!B468)</f>
        <v/>
      </c>
      <c r="C477" t="s">
        <v>4290</v>
      </c>
      <c r="D477" t="str">
        <f t="shared" si="60"/>
        <v/>
      </c>
      <c r="E477" t="str">
        <f t="shared" si="61"/>
        <v/>
      </c>
      <c r="F477" s="68" t="s">
        <v>4289</v>
      </c>
      <c r="G477">
        <f>'IPTV CA'!A468</f>
        <v>11067</v>
      </c>
      <c r="H477" t="str">
        <f>T('IPTV CA'!B468)</f>
        <v>PBS Antiques Roadshow</v>
      </c>
      <c r="I477" t="s">
        <v>4288</v>
      </c>
      <c r="J477" t="str">
        <f t="shared" si="62"/>
        <v/>
      </c>
      <c r="K477" t="str">
        <f t="shared" si="64"/>
        <v/>
      </c>
      <c r="L477" s="69"/>
      <c r="M477">
        <f>'TMIS US'!A468</f>
        <v>9334</v>
      </c>
      <c r="N477" t="str">
        <f>T('TMIS US'!B468)</f>
        <v/>
      </c>
      <c r="O477" t="s">
        <v>4290</v>
      </c>
      <c r="P477" t="str">
        <f t="shared" si="63"/>
        <v/>
      </c>
      <c r="Q477" t="str">
        <f t="shared" si="65"/>
        <v/>
      </c>
      <c r="R477" s="69"/>
      <c r="S477">
        <f>'TMIS CA'!A468</f>
        <v>9667</v>
      </c>
      <c r="T477" t="str">
        <f>T('TMIS CA'!B468)</f>
        <v>PBS Antiques Roadshow</v>
      </c>
      <c r="U477" t="s">
        <v>4288</v>
      </c>
      <c r="V477" t="str">
        <f t="shared" si="67"/>
        <v/>
      </c>
      <c r="W477" t="str">
        <f t="shared" si="66"/>
        <v/>
      </c>
    </row>
    <row r="478" spans="1:23">
      <c r="A478">
        <f>'IPTV US'!A469</f>
        <v>10735</v>
      </c>
      <c r="B478" t="str">
        <f>T('IPTV US'!B469)</f>
        <v>HerSphere by Lionsgate</v>
      </c>
      <c r="C478" t="s">
        <v>4288</v>
      </c>
      <c r="D478" t="str">
        <f t="shared" si="60"/>
        <v/>
      </c>
      <c r="E478" t="str">
        <f t="shared" si="61"/>
        <v/>
      </c>
      <c r="F478" s="68" t="s">
        <v>4289</v>
      </c>
      <c r="G478">
        <f>'IPTV CA'!A469</f>
        <v>11068</v>
      </c>
      <c r="H478" t="str">
        <f>T('IPTV CA'!B469)</f>
        <v>Antiques Road Trip</v>
      </c>
      <c r="I478" t="s">
        <v>4288</v>
      </c>
      <c r="J478" t="str">
        <f t="shared" si="62"/>
        <v/>
      </c>
      <c r="K478" t="str">
        <f t="shared" si="64"/>
        <v/>
      </c>
      <c r="L478" s="69"/>
      <c r="M478">
        <f>'TMIS US'!A469</f>
        <v>9335</v>
      </c>
      <c r="N478" t="str">
        <f>T('TMIS US'!B469)</f>
        <v>HerSphere by Lionsgate</v>
      </c>
      <c r="O478" t="s">
        <v>4288</v>
      </c>
      <c r="P478" t="str">
        <f t="shared" si="63"/>
        <v/>
      </c>
      <c r="Q478" t="str">
        <f t="shared" si="65"/>
        <v/>
      </c>
      <c r="R478" s="69"/>
      <c r="S478">
        <f>'TMIS CA'!A469</f>
        <v>9668</v>
      </c>
      <c r="T478" t="str">
        <f>T('TMIS CA'!B469)</f>
        <v>Antiques Road Trip</v>
      </c>
      <c r="U478" t="s">
        <v>4288</v>
      </c>
      <c r="V478" t="str">
        <f t="shared" si="67"/>
        <v/>
      </c>
      <c r="W478" t="str">
        <f t="shared" si="66"/>
        <v/>
      </c>
    </row>
    <row r="479" spans="1:23">
      <c r="A479">
        <f>'IPTV US'!A470</f>
        <v>10736</v>
      </c>
      <c r="B479" t="str">
        <f>T('IPTV US'!B470)</f>
        <v>Dove</v>
      </c>
      <c r="C479" t="s">
        <v>4288</v>
      </c>
      <c r="D479" t="str">
        <f t="shared" si="60"/>
        <v/>
      </c>
      <c r="E479" t="str">
        <f t="shared" si="61"/>
        <v/>
      </c>
      <c r="F479" s="68" t="s">
        <v>4289</v>
      </c>
      <c r="G479">
        <f>'IPTV CA'!A470</f>
        <v>11069</v>
      </c>
      <c r="H479" t="str">
        <f>T('IPTV CA'!B470)</f>
        <v>Antiques Roadshow UK</v>
      </c>
      <c r="I479" t="s">
        <v>4288</v>
      </c>
      <c r="J479" t="str">
        <f t="shared" si="62"/>
        <v/>
      </c>
      <c r="K479" t="str">
        <f t="shared" si="64"/>
        <v/>
      </c>
      <c r="L479" s="69"/>
      <c r="M479">
        <f>'TMIS US'!A470</f>
        <v>9336</v>
      </c>
      <c r="N479" t="str">
        <f>T('TMIS US'!B470)</f>
        <v>Dove</v>
      </c>
      <c r="O479" t="s">
        <v>4288</v>
      </c>
      <c r="P479" t="str">
        <f t="shared" si="63"/>
        <v/>
      </c>
      <c r="Q479" t="str">
        <f t="shared" si="65"/>
        <v/>
      </c>
      <c r="R479" s="69"/>
      <c r="S479">
        <f>'TMIS CA'!A470</f>
        <v>9669</v>
      </c>
      <c r="T479" t="str">
        <f>T('TMIS CA'!B470)</f>
        <v>Antiques Roadshow UK</v>
      </c>
      <c r="U479" t="s">
        <v>4288</v>
      </c>
      <c r="V479" t="str">
        <f t="shared" si="67"/>
        <v/>
      </c>
      <c r="W479" t="str">
        <f t="shared" si="66"/>
        <v/>
      </c>
    </row>
    <row r="480" spans="1:23">
      <c r="A480">
        <f>'IPTV US'!A471</f>
        <v>10737</v>
      </c>
      <c r="B480" t="str">
        <f>T('IPTV US'!B471)</f>
        <v>Spark TV Light &amp; Love</v>
      </c>
      <c r="C480" t="s">
        <v>4288</v>
      </c>
      <c r="D480" t="str">
        <f t="shared" si="60"/>
        <v/>
      </c>
      <c r="E480" t="str">
        <f t="shared" si="61"/>
        <v/>
      </c>
      <c r="F480" s="68" t="s">
        <v>4289</v>
      </c>
      <c r="G480">
        <f>'IPTV CA'!A471</f>
        <v>11070</v>
      </c>
      <c r="H480" t="str">
        <f>T('IPTV CA'!B471)</f>
        <v/>
      </c>
      <c r="I480" t="s">
        <v>4290</v>
      </c>
      <c r="J480" t="str">
        <f t="shared" si="62"/>
        <v/>
      </c>
      <c r="K480" t="str">
        <f t="shared" si="64"/>
        <v/>
      </c>
      <c r="L480" s="69"/>
      <c r="M480">
        <f>'TMIS US'!A471</f>
        <v>9337</v>
      </c>
      <c r="N480" t="str">
        <f>T('TMIS US'!B471)</f>
        <v>Spark TV Light &amp; Love</v>
      </c>
      <c r="O480" t="s">
        <v>4288</v>
      </c>
      <c r="P480" t="str">
        <f t="shared" si="63"/>
        <v/>
      </c>
      <c r="Q480" t="str">
        <f t="shared" si="65"/>
        <v/>
      </c>
      <c r="R480" s="69"/>
      <c r="S480">
        <f>'TMIS CA'!A471</f>
        <v>9670</v>
      </c>
      <c r="T480" t="str">
        <f>T('TMIS CA'!B471)</f>
        <v/>
      </c>
      <c r="U480" t="s">
        <v>4290</v>
      </c>
      <c r="V480" t="str">
        <f t="shared" si="67"/>
        <v/>
      </c>
      <c r="W480" t="str">
        <f t="shared" si="66"/>
        <v/>
      </c>
    </row>
    <row r="481" spans="1:23">
      <c r="A481">
        <f>'IPTV US'!A472</f>
        <v>10738</v>
      </c>
      <c r="B481" t="str">
        <f>T('IPTV US'!B472)</f>
        <v>Christmas Plus</v>
      </c>
      <c r="C481" t="s">
        <v>4288</v>
      </c>
      <c r="D481" t="str">
        <f t="shared" si="60"/>
        <v/>
      </c>
      <c r="E481" t="str">
        <f t="shared" si="61"/>
        <v/>
      </c>
      <c r="F481" s="68" t="s">
        <v>4289</v>
      </c>
      <c r="G481">
        <f>'IPTV CA'!A472</f>
        <v>11071</v>
      </c>
      <c r="H481" t="str">
        <f>T('IPTV CA'!B472)</f>
        <v/>
      </c>
      <c r="I481" t="s">
        <v>4290</v>
      </c>
      <c r="J481" t="str">
        <f t="shared" si="62"/>
        <v/>
      </c>
      <c r="K481" t="str">
        <f t="shared" si="64"/>
        <v/>
      </c>
      <c r="L481" s="69"/>
      <c r="M481">
        <f>'TMIS US'!A472</f>
        <v>9338</v>
      </c>
      <c r="N481" t="str">
        <f>T('TMIS US'!B472)</f>
        <v>Christmas Plus</v>
      </c>
      <c r="O481" t="s">
        <v>4288</v>
      </c>
      <c r="P481" t="str">
        <f t="shared" si="63"/>
        <v/>
      </c>
      <c r="Q481" t="str">
        <f t="shared" si="65"/>
        <v/>
      </c>
      <c r="R481" s="69"/>
      <c r="S481">
        <f>'TMIS CA'!A472</f>
        <v>9671</v>
      </c>
      <c r="T481" t="str">
        <f>T('TMIS CA'!B472)</f>
        <v/>
      </c>
      <c r="U481" t="s">
        <v>4290</v>
      </c>
      <c r="V481" t="str">
        <f t="shared" si="67"/>
        <v/>
      </c>
      <c r="W481" t="str">
        <f t="shared" si="66"/>
        <v/>
      </c>
    </row>
    <row r="482" spans="1:23">
      <c r="A482">
        <f>'IPTV US'!A473</f>
        <v>10739</v>
      </c>
      <c r="B482" t="str">
        <f>T('IPTV US'!B473)</f>
        <v/>
      </c>
      <c r="C482" t="s">
        <v>4290</v>
      </c>
      <c r="D482" t="str">
        <f t="shared" si="60"/>
        <v/>
      </c>
      <c r="E482" t="str">
        <f t="shared" si="61"/>
        <v/>
      </c>
      <c r="F482" s="68" t="s">
        <v>4289</v>
      </c>
      <c r="G482">
        <f>'IPTV CA'!A473</f>
        <v>11072</v>
      </c>
      <c r="H482" t="str">
        <f>T('IPTV CA'!B473)</f>
        <v>Cirque du Soleil</v>
      </c>
      <c r="I482" t="s">
        <v>4288</v>
      </c>
      <c r="J482" t="str">
        <f t="shared" si="62"/>
        <v/>
      </c>
      <c r="K482" t="str">
        <f t="shared" si="64"/>
        <v/>
      </c>
      <c r="L482" s="69"/>
      <c r="M482">
        <f>'TMIS US'!A473</f>
        <v>9339</v>
      </c>
      <c r="N482" t="str">
        <f>T('TMIS US'!B473)</f>
        <v/>
      </c>
      <c r="O482" t="s">
        <v>4290</v>
      </c>
      <c r="P482" t="str">
        <f t="shared" si="63"/>
        <v/>
      </c>
      <c r="Q482" t="str">
        <f t="shared" si="65"/>
        <v/>
      </c>
      <c r="R482" s="69"/>
      <c r="S482">
        <f>'TMIS CA'!A473</f>
        <v>9672</v>
      </c>
      <c r="T482" t="str">
        <f>T('TMIS CA'!B473)</f>
        <v>Cirque du Soleil</v>
      </c>
      <c r="U482" t="s">
        <v>4288</v>
      </c>
      <c r="V482" t="str">
        <f t="shared" si="67"/>
        <v/>
      </c>
      <c r="W482" t="str">
        <f t="shared" si="66"/>
        <v/>
      </c>
    </row>
    <row r="483" spans="1:23">
      <c r="A483">
        <f>'IPTV US'!A474</f>
        <v>10740</v>
      </c>
      <c r="B483" t="str">
        <f>T('IPTV US'!B474)</f>
        <v>Documentary+</v>
      </c>
      <c r="C483" t="s">
        <v>4288</v>
      </c>
      <c r="D483" t="str">
        <f t="shared" si="60"/>
        <v/>
      </c>
      <c r="E483" t="str">
        <f t="shared" si="61"/>
        <v/>
      </c>
      <c r="F483" s="68" t="s">
        <v>4289</v>
      </c>
      <c r="G483">
        <f>'IPTV CA'!A474</f>
        <v>11073</v>
      </c>
      <c r="H483" t="str">
        <f>T('IPTV CA'!B474)</f>
        <v/>
      </c>
      <c r="I483" t="s">
        <v>4290</v>
      </c>
      <c r="J483" t="str">
        <f t="shared" si="62"/>
        <v/>
      </c>
      <c r="K483" t="str">
        <f t="shared" si="64"/>
        <v/>
      </c>
      <c r="L483" s="69"/>
      <c r="M483">
        <f>'TMIS US'!A474</f>
        <v>9340</v>
      </c>
      <c r="N483" t="str">
        <f>T('TMIS US'!B474)</f>
        <v>Documentary+</v>
      </c>
      <c r="O483" t="s">
        <v>4288</v>
      </c>
      <c r="P483" t="str">
        <f t="shared" si="63"/>
        <v/>
      </c>
      <c r="Q483" t="str">
        <f t="shared" si="65"/>
        <v/>
      </c>
      <c r="R483" s="69"/>
      <c r="S483">
        <f>'TMIS CA'!A474</f>
        <v>9673</v>
      </c>
      <c r="T483" t="str">
        <f>T('TMIS CA'!B474)</f>
        <v/>
      </c>
      <c r="U483" t="s">
        <v>4290</v>
      </c>
      <c r="V483" t="str">
        <f t="shared" si="67"/>
        <v/>
      </c>
      <c r="W483" t="str">
        <f t="shared" si="66"/>
        <v/>
      </c>
    </row>
    <row r="484" spans="1:23">
      <c r="A484">
        <f>'IPTV US'!A475</f>
        <v>10741</v>
      </c>
      <c r="B484" t="str">
        <f>T('IPTV US'!B475)</f>
        <v/>
      </c>
      <c r="C484" t="s">
        <v>4290</v>
      </c>
      <c r="D484" t="str">
        <f t="shared" si="60"/>
        <v/>
      </c>
      <c r="E484" t="str">
        <f t="shared" si="61"/>
        <v/>
      </c>
      <c r="F484" s="68" t="s">
        <v>4289</v>
      </c>
      <c r="G484">
        <f>'IPTV CA'!A475</f>
        <v>11074</v>
      </c>
      <c r="H484" t="str">
        <f>T('IPTV CA'!B475)</f>
        <v>More U</v>
      </c>
      <c r="I484" t="s">
        <v>4288</v>
      </c>
      <c r="J484" t="str">
        <f t="shared" si="62"/>
        <v/>
      </c>
      <c r="K484" t="str">
        <f t="shared" si="64"/>
        <v/>
      </c>
      <c r="L484" s="69"/>
      <c r="M484">
        <f>'TMIS US'!A475</f>
        <v>9341</v>
      </c>
      <c r="N484" t="str">
        <f>T('TMIS US'!B475)</f>
        <v/>
      </c>
      <c r="O484" t="s">
        <v>4290</v>
      </c>
      <c r="P484" t="str">
        <f t="shared" si="63"/>
        <v/>
      </c>
      <c r="Q484" t="str">
        <f t="shared" si="65"/>
        <v/>
      </c>
      <c r="R484" s="69"/>
      <c r="S484">
        <f>'TMIS CA'!A475</f>
        <v>9674</v>
      </c>
      <c r="T484" t="str">
        <f>T('TMIS CA'!B475)</f>
        <v>More U</v>
      </c>
      <c r="U484" t="s">
        <v>4288</v>
      </c>
      <c r="V484" t="str">
        <f t="shared" si="67"/>
        <v/>
      </c>
      <c r="W484" t="str">
        <f t="shared" si="66"/>
        <v/>
      </c>
    </row>
    <row r="485" spans="1:23">
      <c r="A485">
        <f>'IPTV US'!A476</f>
        <v>10742</v>
      </c>
      <c r="B485" t="str">
        <f>T('IPTV US'!B476)</f>
        <v>80's Sitcom Flashback</v>
      </c>
      <c r="C485" t="s">
        <v>4288</v>
      </c>
      <c r="D485" t="str">
        <f t="shared" si="60"/>
        <v/>
      </c>
      <c r="E485" t="str">
        <f t="shared" si="61"/>
        <v/>
      </c>
      <c r="F485" s="68" t="s">
        <v>4289</v>
      </c>
      <c r="G485">
        <f>'IPTV CA'!A476</f>
        <v>11075</v>
      </c>
      <c r="H485" t="str">
        <f>T('IPTV CA'!B476)</f>
        <v>FashionTV</v>
      </c>
      <c r="I485" t="s">
        <v>4288</v>
      </c>
      <c r="J485" t="str">
        <f t="shared" si="62"/>
        <v/>
      </c>
      <c r="K485" t="str">
        <f t="shared" si="64"/>
        <v/>
      </c>
      <c r="L485" s="69"/>
      <c r="M485">
        <f>'TMIS US'!A476</f>
        <v>9342</v>
      </c>
      <c r="N485" t="str">
        <f>T('TMIS US'!B476)</f>
        <v>80's Sitcom Flashback</v>
      </c>
      <c r="O485" t="s">
        <v>4288</v>
      </c>
      <c r="P485" t="str">
        <f t="shared" si="63"/>
        <v/>
      </c>
      <c r="Q485" t="str">
        <f t="shared" si="65"/>
        <v/>
      </c>
      <c r="R485" s="69"/>
      <c r="S485">
        <f>'TMIS CA'!A476</f>
        <v>9675</v>
      </c>
      <c r="T485" t="str">
        <f>T('TMIS CA'!B476)</f>
        <v>FashionTV</v>
      </c>
      <c r="U485" t="s">
        <v>4288</v>
      </c>
      <c r="V485" t="str">
        <f t="shared" si="67"/>
        <v/>
      </c>
      <c r="W485" t="str">
        <f t="shared" si="66"/>
        <v/>
      </c>
    </row>
    <row r="486" spans="1:23">
      <c r="A486">
        <f>'IPTV US'!A477</f>
        <v>10743</v>
      </c>
      <c r="B486" t="str">
        <f>T('IPTV US'!B477)</f>
        <v>Laff More</v>
      </c>
      <c r="C486" t="s">
        <v>4288</v>
      </c>
      <c r="D486" t="str">
        <f t="shared" si="60"/>
        <v/>
      </c>
      <c r="E486" t="str">
        <f t="shared" si="61"/>
        <v/>
      </c>
      <c r="F486" s="68" t="s">
        <v>4289</v>
      </c>
      <c r="G486">
        <f>'IPTV CA'!A477</f>
        <v>11076</v>
      </c>
      <c r="H486" t="str">
        <f>T('IPTV CA'!B477)</f>
        <v/>
      </c>
      <c r="I486" t="s">
        <v>4290</v>
      </c>
      <c r="J486" t="str">
        <f t="shared" si="62"/>
        <v/>
      </c>
      <c r="K486" t="str">
        <f t="shared" si="64"/>
        <v/>
      </c>
      <c r="L486" s="69"/>
      <c r="M486">
        <f>'TMIS US'!A477</f>
        <v>9343</v>
      </c>
      <c r="N486" t="str">
        <f>T('TMIS US'!B477)</f>
        <v>Laff More</v>
      </c>
      <c r="O486" t="s">
        <v>4288</v>
      </c>
      <c r="P486" t="str">
        <f t="shared" si="63"/>
        <v/>
      </c>
      <c r="Q486" t="str">
        <f t="shared" si="65"/>
        <v/>
      </c>
      <c r="R486" s="69"/>
      <c r="S486">
        <f>'TMIS CA'!A477</f>
        <v>9676</v>
      </c>
      <c r="T486" t="str">
        <f>T('TMIS CA'!B477)</f>
        <v/>
      </c>
      <c r="U486" t="s">
        <v>4290</v>
      </c>
      <c r="V486" t="str">
        <f t="shared" si="67"/>
        <v/>
      </c>
      <c r="W486" t="str">
        <f t="shared" si="66"/>
        <v/>
      </c>
    </row>
    <row r="487" spans="1:23">
      <c r="A487">
        <f>'IPTV US'!A478</f>
        <v>10744</v>
      </c>
      <c r="B487" t="str">
        <f>T('IPTV US'!B478)</f>
        <v>Highway to Heaven</v>
      </c>
      <c r="C487" t="s">
        <v>4288</v>
      </c>
      <c r="D487" t="str">
        <f t="shared" si="60"/>
        <v/>
      </c>
      <c r="E487" t="str">
        <f t="shared" si="61"/>
        <v/>
      </c>
      <c r="F487" s="68" t="s">
        <v>4289</v>
      </c>
      <c r="G487">
        <f>'IPTV CA'!A478</f>
        <v>11077</v>
      </c>
      <c r="H487" t="str">
        <f>T('IPTV CA'!B478)</f>
        <v/>
      </c>
      <c r="I487" t="s">
        <v>4290</v>
      </c>
      <c r="J487" t="str">
        <f t="shared" si="62"/>
        <v/>
      </c>
      <c r="K487" t="str">
        <f t="shared" si="64"/>
        <v/>
      </c>
      <c r="L487" s="69"/>
      <c r="M487">
        <f>'TMIS US'!A478</f>
        <v>9344</v>
      </c>
      <c r="N487" t="str">
        <f>T('TMIS US'!B478)</f>
        <v>Highway to Heaven</v>
      </c>
      <c r="O487" t="s">
        <v>4288</v>
      </c>
      <c r="P487" t="str">
        <f t="shared" si="63"/>
        <v/>
      </c>
      <c r="Q487" t="str">
        <f t="shared" si="65"/>
        <v/>
      </c>
      <c r="R487" s="69"/>
      <c r="S487">
        <f>'TMIS CA'!A478</f>
        <v>9677</v>
      </c>
      <c r="T487" t="str">
        <f>T('TMIS CA'!B478)</f>
        <v/>
      </c>
      <c r="U487" t="s">
        <v>4290</v>
      </c>
      <c r="V487" t="str">
        <f t="shared" si="67"/>
        <v/>
      </c>
      <c r="W487" t="str">
        <f t="shared" si="66"/>
        <v/>
      </c>
    </row>
    <row r="488" spans="1:23">
      <c r="A488">
        <f>'IPTV US'!A479</f>
        <v>10745</v>
      </c>
      <c r="B488" t="str">
        <f>T('IPTV US'!B479)</f>
        <v/>
      </c>
      <c r="C488" t="s">
        <v>4290</v>
      </c>
      <c r="D488" t="str">
        <f t="shared" si="60"/>
        <v/>
      </c>
      <c r="E488" t="str">
        <f t="shared" si="61"/>
        <v/>
      </c>
      <c r="F488" s="68" t="s">
        <v>4289</v>
      </c>
      <c r="G488">
        <f>'IPTV CA'!A479</f>
        <v>11078</v>
      </c>
      <c r="H488" t="str">
        <f>T('IPTV CA'!B479)</f>
        <v>The Bob Ross Channel</v>
      </c>
      <c r="I488" t="s">
        <v>4288</v>
      </c>
      <c r="J488" t="str">
        <f t="shared" si="62"/>
        <v/>
      </c>
      <c r="K488" t="str">
        <f t="shared" si="64"/>
        <v/>
      </c>
      <c r="L488" s="69"/>
      <c r="M488">
        <f>'TMIS US'!A479</f>
        <v>9345</v>
      </c>
      <c r="N488" t="str">
        <f>T('TMIS US'!B479)</f>
        <v/>
      </c>
      <c r="O488" t="s">
        <v>4290</v>
      </c>
      <c r="P488" t="str">
        <f t="shared" si="63"/>
        <v/>
      </c>
      <c r="Q488" t="str">
        <f t="shared" si="65"/>
        <v/>
      </c>
      <c r="R488" s="69"/>
      <c r="S488">
        <f>'TMIS CA'!A479</f>
        <v>9678</v>
      </c>
      <c r="T488" t="str">
        <f>T('TMIS CA'!B479)</f>
        <v>The Bob Ross Channel</v>
      </c>
      <c r="U488" t="s">
        <v>4288</v>
      </c>
      <c r="V488" t="str">
        <f t="shared" si="67"/>
        <v/>
      </c>
      <c r="W488" t="str">
        <f t="shared" si="66"/>
        <v/>
      </c>
    </row>
    <row r="489" spans="1:23">
      <c r="A489">
        <f>'IPTV US'!A480</f>
        <v>10746</v>
      </c>
      <c r="B489" t="str">
        <f>T('IPTV US'!B480)</f>
        <v/>
      </c>
      <c r="C489" t="s">
        <v>4290</v>
      </c>
      <c r="D489" t="str">
        <f t="shared" si="60"/>
        <v/>
      </c>
      <c r="E489" t="str">
        <f t="shared" si="61"/>
        <v/>
      </c>
      <c r="F489" s="68" t="s">
        <v>4289</v>
      </c>
      <c r="G489">
        <f>'IPTV CA'!A480</f>
        <v>11079</v>
      </c>
      <c r="H489" t="str">
        <f>T('IPTV CA'!B480)</f>
        <v>5-Minute Crafts</v>
      </c>
      <c r="I489" t="s">
        <v>4288</v>
      </c>
      <c r="J489" t="str">
        <f t="shared" si="62"/>
        <v/>
      </c>
      <c r="K489" t="str">
        <f t="shared" si="64"/>
        <v/>
      </c>
      <c r="L489" s="69"/>
      <c r="M489">
        <f>'TMIS US'!A480</f>
        <v>9346</v>
      </c>
      <c r="N489" t="str">
        <f>T('TMIS US'!B480)</f>
        <v/>
      </c>
      <c r="O489" t="s">
        <v>4290</v>
      </c>
      <c r="P489" t="str">
        <f t="shared" si="63"/>
        <v/>
      </c>
      <c r="Q489" t="str">
        <f t="shared" si="65"/>
        <v/>
      </c>
      <c r="R489" s="69"/>
      <c r="S489">
        <f>'TMIS CA'!A480</f>
        <v>9679</v>
      </c>
      <c r="T489" t="str">
        <f>T('TMIS CA'!B480)</f>
        <v>5-Minute Crafts</v>
      </c>
      <c r="U489" t="s">
        <v>4288</v>
      </c>
      <c r="V489" t="str">
        <f t="shared" si="67"/>
        <v/>
      </c>
      <c r="W489" t="str">
        <f t="shared" si="66"/>
        <v/>
      </c>
    </row>
    <row r="490" spans="1:23">
      <c r="A490">
        <f>'IPTV US'!A481</f>
        <v>10747</v>
      </c>
      <c r="B490" t="str">
        <f>T('IPTV US'!B481)</f>
        <v>McLeod's Daughters</v>
      </c>
      <c r="C490" t="s">
        <v>4288</v>
      </c>
      <c r="D490" t="str">
        <f t="shared" si="60"/>
        <v/>
      </c>
      <c r="E490" t="str">
        <f t="shared" si="61"/>
        <v/>
      </c>
      <c r="F490" s="68" t="s">
        <v>4289</v>
      </c>
      <c r="G490">
        <f>'IPTV CA'!A481</f>
        <v>11080</v>
      </c>
      <c r="H490" t="str">
        <f>T('IPTV CA'!B481)</f>
        <v/>
      </c>
      <c r="I490" t="s">
        <v>4290</v>
      </c>
      <c r="J490" t="str">
        <f t="shared" si="62"/>
        <v/>
      </c>
      <c r="K490" t="str">
        <f t="shared" si="64"/>
        <v/>
      </c>
      <c r="L490" s="69"/>
      <c r="M490">
        <f>'TMIS US'!A481</f>
        <v>9347</v>
      </c>
      <c r="N490" t="str">
        <f>T('TMIS US'!B481)</f>
        <v>McLeod's Daughters</v>
      </c>
      <c r="O490" t="s">
        <v>4288</v>
      </c>
      <c r="P490" t="str">
        <f t="shared" si="63"/>
        <v/>
      </c>
      <c r="Q490" t="str">
        <f t="shared" si="65"/>
        <v/>
      </c>
      <c r="R490" s="69"/>
      <c r="S490">
        <f>'TMIS CA'!A481</f>
        <v>9680</v>
      </c>
      <c r="T490" t="str">
        <f>T('TMIS CA'!B481)</f>
        <v/>
      </c>
      <c r="U490" t="s">
        <v>4290</v>
      </c>
      <c r="V490" t="str">
        <f t="shared" si="67"/>
        <v/>
      </c>
      <c r="W490" t="str">
        <f t="shared" si="66"/>
        <v/>
      </c>
    </row>
    <row r="491" spans="1:23">
      <c r="A491">
        <f>'IPTV US'!A482</f>
        <v>10748</v>
      </c>
      <c r="B491" t="str">
        <f>T('IPTV US'!B482)</f>
        <v>The Kids in the Hall</v>
      </c>
      <c r="C491" t="s">
        <v>4288</v>
      </c>
      <c r="D491" t="str">
        <f t="shared" si="60"/>
        <v/>
      </c>
      <c r="E491" t="str">
        <f t="shared" si="61"/>
        <v/>
      </c>
      <c r="F491" s="68" t="s">
        <v>4289</v>
      </c>
      <c r="G491">
        <f>'IPTV CA'!A482</f>
        <v>11081</v>
      </c>
      <c r="H491" t="str">
        <f>T('IPTV CA'!B482)</f>
        <v/>
      </c>
      <c r="I491" t="s">
        <v>4290</v>
      </c>
      <c r="J491" t="str">
        <f t="shared" si="62"/>
        <v/>
      </c>
      <c r="K491" t="str">
        <f t="shared" si="64"/>
        <v/>
      </c>
      <c r="L491" s="69"/>
      <c r="M491">
        <f>'TMIS US'!A482</f>
        <v>9348</v>
      </c>
      <c r="N491" t="str">
        <f>T('TMIS US'!B482)</f>
        <v>The Kids in the Hall</v>
      </c>
      <c r="O491" t="s">
        <v>4288</v>
      </c>
      <c r="P491" t="str">
        <f t="shared" si="63"/>
        <v/>
      </c>
      <c r="Q491" t="str">
        <f t="shared" si="65"/>
        <v/>
      </c>
      <c r="R491" s="69"/>
      <c r="S491">
        <f>'TMIS CA'!A482</f>
        <v>9681</v>
      </c>
      <c r="T491" t="str">
        <f>T('TMIS CA'!B482)</f>
        <v/>
      </c>
      <c r="U491" t="s">
        <v>4290</v>
      </c>
      <c r="V491" t="str">
        <f t="shared" si="67"/>
        <v/>
      </c>
      <c r="W491" t="str">
        <f t="shared" si="66"/>
        <v/>
      </c>
    </row>
    <row r="492" spans="1:23">
      <c r="A492">
        <f>'IPTV US'!A483</f>
        <v>10749</v>
      </c>
      <c r="B492" t="str">
        <f>T('IPTV US'!B483)</f>
        <v>Dick Van Dyke</v>
      </c>
      <c r="C492" t="s">
        <v>4288</v>
      </c>
      <c r="D492" t="str">
        <f t="shared" si="60"/>
        <v/>
      </c>
      <c r="E492" t="str">
        <f t="shared" si="61"/>
        <v/>
      </c>
      <c r="F492" s="68" t="s">
        <v>4289</v>
      </c>
      <c r="G492">
        <f>'IPTV CA'!A483</f>
        <v>11082</v>
      </c>
      <c r="H492" t="str">
        <f>T('IPTV CA'!B483)</f>
        <v>CraftsyTV</v>
      </c>
      <c r="I492" t="s">
        <v>4288</v>
      </c>
      <c r="J492" t="str">
        <f t="shared" si="62"/>
        <v/>
      </c>
      <c r="K492" t="str">
        <f t="shared" si="64"/>
        <v/>
      </c>
      <c r="L492" s="69"/>
      <c r="M492">
        <f>'TMIS US'!A483</f>
        <v>9349</v>
      </c>
      <c r="N492" t="str">
        <f>T('TMIS US'!B483)</f>
        <v>Dick Van Dyke</v>
      </c>
      <c r="O492" t="s">
        <v>4288</v>
      </c>
      <c r="P492" t="str">
        <f t="shared" si="63"/>
        <v/>
      </c>
      <c r="Q492" t="str">
        <f t="shared" si="65"/>
        <v/>
      </c>
      <c r="R492" s="69"/>
      <c r="S492">
        <f>'TMIS CA'!A483</f>
        <v>9682</v>
      </c>
      <c r="T492" t="str">
        <f>T('TMIS CA'!B483)</f>
        <v>CraftsyTV</v>
      </c>
      <c r="U492" t="s">
        <v>4288</v>
      </c>
      <c r="V492" t="str">
        <f t="shared" si="67"/>
        <v/>
      </c>
      <c r="W492" t="str">
        <f t="shared" si="66"/>
        <v/>
      </c>
    </row>
    <row r="493" spans="1:23">
      <c r="A493">
        <f>'IPTV US'!A484</f>
        <v>10750</v>
      </c>
      <c r="B493" t="str">
        <f>T('IPTV US'!B484)</f>
        <v>ALF</v>
      </c>
      <c r="C493" t="s">
        <v>4288</v>
      </c>
      <c r="D493" t="str">
        <f t="shared" si="60"/>
        <v/>
      </c>
      <c r="E493" t="str">
        <f t="shared" si="61"/>
        <v/>
      </c>
      <c r="F493" s="68" t="s">
        <v>4289</v>
      </c>
      <c r="G493">
        <f>'IPTV CA'!A484</f>
        <v>11083</v>
      </c>
      <c r="H493" t="str">
        <f>T('IPTV CA'!B484)</f>
        <v>Glewed TV</v>
      </c>
      <c r="I493" t="s">
        <v>4288</v>
      </c>
      <c r="J493" t="str">
        <f t="shared" si="62"/>
        <v/>
      </c>
      <c r="K493" t="str">
        <f t="shared" si="64"/>
        <v/>
      </c>
      <c r="L493" s="69"/>
      <c r="M493">
        <f>'TMIS US'!A484</f>
        <v>9350</v>
      </c>
      <c r="N493" t="str">
        <f>T('TMIS US'!B484)</f>
        <v>ALF</v>
      </c>
      <c r="O493" t="s">
        <v>4288</v>
      </c>
      <c r="P493" t="str">
        <f t="shared" si="63"/>
        <v/>
      </c>
      <c r="Q493" t="str">
        <f t="shared" si="65"/>
        <v/>
      </c>
      <c r="R493" s="69"/>
      <c r="S493">
        <f>'TMIS CA'!A484</f>
        <v>9683</v>
      </c>
      <c r="T493" t="str">
        <f>T('TMIS CA'!B484)</f>
        <v>Glewed TV</v>
      </c>
      <c r="U493" t="s">
        <v>4288</v>
      </c>
      <c r="V493" t="str">
        <f t="shared" si="67"/>
        <v/>
      </c>
      <c r="W493" t="str">
        <f t="shared" si="66"/>
        <v/>
      </c>
    </row>
    <row r="494" spans="1:23">
      <c r="A494">
        <f>'IPTV US'!A485</f>
        <v>10751</v>
      </c>
      <c r="B494" t="str">
        <f>T('IPTV US'!B485)</f>
        <v>Shout! Factory TV Stream</v>
      </c>
      <c r="C494" t="s">
        <v>4288</v>
      </c>
      <c r="D494" t="str">
        <f t="shared" si="60"/>
        <v/>
      </c>
      <c r="E494" t="str">
        <f t="shared" si="61"/>
        <v/>
      </c>
      <c r="F494" s="68" t="s">
        <v>4289</v>
      </c>
      <c r="G494">
        <f>'IPTV CA'!A485</f>
        <v>11084</v>
      </c>
      <c r="H494" t="str">
        <f>T('IPTV CA'!B485)</f>
        <v/>
      </c>
      <c r="I494" t="s">
        <v>4290</v>
      </c>
      <c r="J494" t="str">
        <f t="shared" si="62"/>
        <v/>
      </c>
      <c r="K494" t="str">
        <f t="shared" si="64"/>
        <v/>
      </c>
      <c r="L494" s="69"/>
      <c r="M494">
        <f>'TMIS US'!A485</f>
        <v>9351</v>
      </c>
      <c r="N494" t="str">
        <f>T('TMIS US'!B485)</f>
        <v>Shout! Factory TV Stream</v>
      </c>
      <c r="O494" t="s">
        <v>4288</v>
      </c>
      <c r="P494" t="str">
        <f t="shared" si="63"/>
        <v/>
      </c>
      <c r="Q494" t="str">
        <f t="shared" si="65"/>
        <v/>
      </c>
      <c r="R494" s="69"/>
      <c r="S494">
        <f>'TMIS CA'!A485</f>
        <v>9684</v>
      </c>
      <c r="T494" t="str">
        <f>T('TMIS CA'!B485)</f>
        <v/>
      </c>
      <c r="U494" t="s">
        <v>4290</v>
      </c>
      <c r="V494" t="str">
        <f t="shared" si="67"/>
        <v/>
      </c>
      <c r="W494" t="str">
        <f t="shared" si="66"/>
        <v/>
      </c>
    </row>
    <row r="495" spans="1:23">
      <c r="A495">
        <f>'IPTV US'!A486</f>
        <v>10752</v>
      </c>
      <c r="B495" t="str">
        <f>T('IPTV US'!B486)</f>
        <v>The Ed Sullivan Show</v>
      </c>
      <c r="C495" t="s">
        <v>4288</v>
      </c>
      <c r="D495" t="str">
        <f t="shared" si="60"/>
        <v/>
      </c>
      <c r="E495" t="str">
        <f t="shared" si="61"/>
        <v/>
      </c>
      <c r="F495" s="68" t="s">
        <v>4289</v>
      </c>
      <c r="G495">
        <f>'IPTV CA'!A486</f>
        <v>11085</v>
      </c>
      <c r="H495" t="str">
        <f>T('IPTV CA'!B486)</f>
        <v>Made It Myself TV</v>
      </c>
      <c r="I495" t="s">
        <v>4288</v>
      </c>
      <c r="J495" t="str">
        <f t="shared" si="62"/>
        <v/>
      </c>
      <c r="K495" t="str">
        <f t="shared" si="64"/>
        <v/>
      </c>
      <c r="L495" s="69"/>
      <c r="M495">
        <f>'TMIS US'!A486</f>
        <v>9352</v>
      </c>
      <c r="N495" t="str">
        <f>T('TMIS US'!B486)</f>
        <v>The Ed Sullivan Show</v>
      </c>
      <c r="O495" t="s">
        <v>4288</v>
      </c>
      <c r="P495" t="str">
        <f t="shared" si="63"/>
        <v/>
      </c>
      <c r="Q495" t="str">
        <f t="shared" si="65"/>
        <v/>
      </c>
      <c r="R495" s="69"/>
      <c r="S495">
        <f>'TMIS CA'!A486</f>
        <v>9685</v>
      </c>
      <c r="T495" t="str">
        <f>T('TMIS CA'!B486)</f>
        <v>Made It Myself TV</v>
      </c>
      <c r="U495" t="s">
        <v>4288</v>
      </c>
      <c r="V495" t="str">
        <f t="shared" si="67"/>
        <v/>
      </c>
      <c r="W495" t="str">
        <f t="shared" si="66"/>
        <v/>
      </c>
    </row>
    <row r="496" spans="1:23">
      <c r="A496">
        <f>'IPTV US'!A487</f>
        <v>10753</v>
      </c>
      <c r="B496" t="str">
        <f>T('IPTV US'!B487)</f>
        <v>Johnny Carson TV</v>
      </c>
      <c r="C496" t="s">
        <v>4288</v>
      </c>
      <c r="D496" t="str">
        <f t="shared" si="60"/>
        <v/>
      </c>
      <c r="E496" t="str">
        <f t="shared" si="61"/>
        <v/>
      </c>
      <c r="F496" s="68" t="s">
        <v>4289</v>
      </c>
      <c r="G496">
        <f>'IPTV CA'!A487</f>
        <v>11086</v>
      </c>
      <c r="H496" t="str">
        <f>T('IPTV CA'!B487)</f>
        <v/>
      </c>
      <c r="I496" t="s">
        <v>4290</v>
      </c>
      <c r="J496" t="str">
        <f t="shared" si="62"/>
        <v/>
      </c>
      <c r="K496" t="str">
        <f t="shared" si="64"/>
        <v/>
      </c>
      <c r="L496" s="69"/>
      <c r="M496">
        <f>'TMIS US'!A487</f>
        <v>9353</v>
      </c>
      <c r="N496" t="str">
        <f>T('TMIS US'!B487)</f>
        <v>Johnny Carson TV</v>
      </c>
      <c r="O496" t="s">
        <v>4288</v>
      </c>
      <c r="P496" t="str">
        <f t="shared" si="63"/>
        <v/>
      </c>
      <c r="Q496" t="str">
        <f t="shared" si="65"/>
        <v/>
      </c>
      <c r="R496" s="69"/>
      <c r="S496">
        <f>'TMIS CA'!A487</f>
        <v>9686</v>
      </c>
      <c r="T496" t="str">
        <f>T('TMIS CA'!B487)</f>
        <v/>
      </c>
      <c r="U496" t="s">
        <v>4290</v>
      </c>
      <c r="V496" t="str">
        <f t="shared" si="67"/>
        <v/>
      </c>
      <c r="W496" t="str">
        <f t="shared" si="66"/>
        <v/>
      </c>
    </row>
    <row r="497" spans="1:23">
      <c r="A497">
        <f>'IPTV US'!A488</f>
        <v>10754</v>
      </c>
      <c r="B497" t="str">
        <f>T('IPTV US'!B488)</f>
        <v>The Carol Burnett Show</v>
      </c>
      <c r="C497" t="s">
        <v>4288</v>
      </c>
      <c r="D497" t="str">
        <f t="shared" si="60"/>
        <v/>
      </c>
      <c r="E497" t="str">
        <f t="shared" si="61"/>
        <v/>
      </c>
      <c r="F497" s="68" t="s">
        <v>4289</v>
      </c>
      <c r="G497">
        <f>'IPTV CA'!A488</f>
        <v>11087</v>
      </c>
      <c r="H497" t="str">
        <f>T('IPTV CA'!B488)</f>
        <v/>
      </c>
      <c r="I497" t="s">
        <v>4290</v>
      </c>
      <c r="J497" t="str">
        <f t="shared" si="62"/>
        <v/>
      </c>
      <c r="K497" t="str">
        <f t="shared" si="64"/>
        <v/>
      </c>
      <c r="L497" s="69"/>
      <c r="M497">
        <f>'TMIS US'!A488</f>
        <v>9354</v>
      </c>
      <c r="N497" t="str">
        <f>T('TMIS US'!B488)</f>
        <v>The Carol Burnett Show</v>
      </c>
      <c r="O497" t="s">
        <v>4288</v>
      </c>
      <c r="P497" t="str">
        <f t="shared" si="63"/>
        <v/>
      </c>
      <c r="Q497" t="str">
        <f t="shared" si="65"/>
        <v/>
      </c>
      <c r="R497" s="69"/>
      <c r="S497">
        <f>'TMIS CA'!A488</f>
        <v>9687</v>
      </c>
      <c r="T497" t="str">
        <f>T('TMIS CA'!B488)</f>
        <v/>
      </c>
      <c r="U497" t="s">
        <v>4290</v>
      </c>
      <c r="V497" t="str">
        <f t="shared" si="67"/>
        <v/>
      </c>
      <c r="W497" t="str">
        <f t="shared" si="66"/>
        <v/>
      </c>
    </row>
    <row r="498" spans="1:23">
      <c r="A498">
        <f>'IPTV US'!A489</f>
        <v>10755</v>
      </c>
      <c r="B498" t="str">
        <f>T('IPTV US'!B489)</f>
        <v>The Sherlock Holmes Channel</v>
      </c>
      <c r="C498" t="s">
        <v>4288</v>
      </c>
      <c r="D498" t="str">
        <f t="shared" si="60"/>
        <v/>
      </c>
      <c r="E498" t="str">
        <f t="shared" si="61"/>
        <v/>
      </c>
      <c r="F498" s="68" t="s">
        <v>4289</v>
      </c>
      <c r="G498">
        <f>'IPTV CA'!A489</f>
        <v>11088</v>
      </c>
      <c r="H498" t="str">
        <f>T('IPTV CA'!B489)</f>
        <v>The Boat Show</v>
      </c>
      <c r="I498" t="s">
        <v>4288</v>
      </c>
      <c r="J498" t="str">
        <f t="shared" si="62"/>
        <v/>
      </c>
      <c r="K498" t="str">
        <f t="shared" si="64"/>
        <v/>
      </c>
      <c r="L498" s="69"/>
      <c r="M498">
        <f>'TMIS US'!A489</f>
        <v>9355</v>
      </c>
      <c r="N498" t="str">
        <f>T('TMIS US'!B489)</f>
        <v>The Sherlock Holmes Channel</v>
      </c>
      <c r="O498" t="s">
        <v>4288</v>
      </c>
      <c r="P498" t="str">
        <f t="shared" si="63"/>
        <v/>
      </c>
      <c r="Q498" t="str">
        <f t="shared" si="65"/>
        <v/>
      </c>
      <c r="R498" s="69"/>
      <c r="S498">
        <f>'TMIS CA'!A489</f>
        <v>9688</v>
      </c>
      <c r="T498" t="str">
        <f>T('TMIS CA'!B489)</f>
        <v>The Boat Show</v>
      </c>
      <c r="U498" t="s">
        <v>4288</v>
      </c>
      <c r="V498" t="str">
        <f t="shared" si="67"/>
        <v/>
      </c>
      <c r="W498" t="str">
        <f t="shared" si="66"/>
        <v/>
      </c>
    </row>
    <row r="499" spans="1:23">
      <c r="A499">
        <f>'IPTV US'!A490</f>
        <v>10756</v>
      </c>
      <c r="B499" t="str">
        <f>T('IPTV US'!B490)</f>
        <v>The Archive</v>
      </c>
      <c r="C499" t="s">
        <v>4288</v>
      </c>
      <c r="D499" t="str">
        <f t="shared" si="60"/>
        <v/>
      </c>
      <c r="E499" t="str">
        <f t="shared" si="61"/>
        <v/>
      </c>
      <c r="F499" s="68" t="s">
        <v>4289</v>
      </c>
      <c r="G499">
        <f>'IPTV CA'!A490</f>
        <v>11089</v>
      </c>
      <c r="H499" t="str">
        <f>T('IPTV CA'!B490)</f>
        <v/>
      </c>
      <c r="I499" t="s">
        <v>4290</v>
      </c>
      <c r="J499" t="str">
        <f t="shared" si="62"/>
        <v/>
      </c>
      <c r="K499" t="str">
        <f t="shared" si="64"/>
        <v/>
      </c>
      <c r="L499" s="69"/>
      <c r="M499">
        <f>'TMIS US'!A490</f>
        <v>9356</v>
      </c>
      <c r="N499" t="str">
        <f>T('TMIS US'!B490)</f>
        <v>The Archive</v>
      </c>
      <c r="O499" t="s">
        <v>4288</v>
      </c>
      <c r="P499" t="str">
        <f t="shared" si="63"/>
        <v/>
      </c>
      <c r="Q499" t="str">
        <f t="shared" si="65"/>
        <v/>
      </c>
      <c r="R499" s="69"/>
      <c r="S499">
        <f>'TMIS CA'!A490</f>
        <v>9689</v>
      </c>
      <c r="T499" t="str">
        <f>T('TMIS CA'!B490)</f>
        <v/>
      </c>
      <c r="U499" t="s">
        <v>4290</v>
      </c>
      <c r="V499" t="str">
        <f t="shared" si="67"/>
        <v/>
      </c>
      <c r="W499" t="str">
        <f t="shared" si="66"/>
        <v/>
      </c>
    </row>
    <row r="500" spans="1:23">
      <c r="A500">
        <f>'IPTV US'!A491</f>
        <v>10757</v>
      </c>
      <c r="B500" t="str">
        <f>T('IPTV US'!B491)</f>
        <v/>
      </c>
      <c r="C500" t="s">
        <v>4290</v>
      </c>
      <c r="D500" t="str">
        <f t="shared" si="60"/>
        <v/>
      </c>
      <c r="E500" t="str">
        <f t="shared" si="61"/>
        <v/>
      </c>
      <c r="F500" s="68" t="s">
        <v>4289</v>
      </c>
      <c r="G500">
        <f>'IPTV CA'!A491</f>
        <v>11090</v>
      </c>
      <c r="H500" t="str">
        <f>T('IPTV CA'!B491)</f>
        <v/>
      </c>
      <c r="I500" t="s">
        <v>4290</v>
      </c>
      <c r="J500" t="str">
        <f t="shared" si="62"/>
        <v/>
      </c>
      <c r="K500" t="str">
        <f t="shared" si="64"/>
        <v/>
      </c>
      <c r="L500" s="69"/>
      <c r="M500">
        <f>'TMIS US'!A491</f>
        <v>9357</v>
      </c>
      <c r="N500" t="str">
        <f>T('TMIS US'!B491)</f>
        <v/>
      </c>
      <c r="O500" t="s">
        <v>4290</v>
      </c>
      <c r="P500" t="str">
        <f t="shared" si="63"/>
        <v/>
      </c>
      <c r="Q500" t="str">
        <f t="shared" si="65"/>
        <v/>
      </c>
      <c r="R500" s="69"/>
      <c r="S500">
        <f>'TMIS CA'!A491</f>
        <v>9690</v>
      </c>
      <c r="T500" t="str">
        <f>T('TMIS CA'!B491)</f>
        <v/>
      </c>
      <c r="U500" t="s">
        <v>4290</v>
      </c>
      <c r="V500" t="str">
        <f t="shared" si="67"/>
        <v/>
      </c>
      <c r="W500" t="str">
        <f t="shared" si="66"/>
        <v/>
      </c>
    </row>
    <row r="501" spans="1:23">
      <c r="A501">
        <f>'IPTV US'!A492</f>
        <v>10758</v>
      </c>
      <c r="B501" t="str">
        <f>T('IPTV US'!B492)</f>
        <v/>
      </c>
      <c r="C501" t="s">
        <v>4290</v>
      </c>
      <c r="D501" t="str">
        <f t="shared" si="60"/>
        <v/>
      </c>
      <c r="E501" t="str">
        <f t="shared" si="61"/>
        <v/>
      </c>
      <c r="F501" s="68" t="s">
        <v>4289</v>
      </c>
      <c r="G501">
        <f>'IPTV CA'!A492</f>
        <v>11091</v>
      </c>
      <c r="H501" t="str">
        <f>T('IPTV CA'!B492)</f>
        <v>BBC Travel</v>
      </c>
      <c r="I501" t="s">
        <v>4288</v>
      </c>
      <c r="J501" t="str">
        <f t="shared" si="62"/>
        <v/>
      </c>
      <c r="K501" t="str">
        <f t="shared" si="64"/>
        <v/>
      </c>
      <c r="L501" s="69"/>
      <c r="M501">
        <f>'TMIS US'!A492</f>
        <v>9358</v>
      </c>
      <c r="N501" t="str">
        <f>T('TMIS US'!B492)</f>
        <v/>
      </c>
      <c r="O501" t="s">
        <v>4290</v>
      </c>
      <c r="P501" t="str">
        <f t="shared" si="63"/>
        <v/>
      </c>
      <c r="Q501" t="str">
        <f t="shared" si="65"/>
        <v/>
      </c>
      <c r="R501" s="69"/>
      <c r="S501">
        <f>'TMIS CA'!A492</f>
        <v>9691</v>
      </c>
      <c r="T501" t="str">
        <f>T('TMIS CA'!B492)</f>
        <v>BBC Travel</v>
      </c>
      <c r="U501" t="s">
        <v>4288</v>
      </c>
      <c r="V501" t="str">
        <f t="shared" si="67"/>
        <v/>
      </c>
      <c r="W501" t="str">
        <f t="shared" si="66"/>
        <v/>
      </c>
    </row>
    <row r="502" spans="1:23">
      <c r="A502">
        <f>'IPTV US'!A493</f>
        <v>10759</v>
      </c>
      <c r="B502" t="str">
        <f>T('IPTV US'!B493)</f>
        <v/>
      </c>
      <c r="C502" t="s">
        <v>4290</v>
      </c>
      <c r="D502" t="str">
        <f t="shared" si="60"/>
        <v/>
      </c>
      <c r="E502" t="str">
        <f t="shared" si="61"/>
        <v/>
      </c>
      <c r="F502" s="68" t="s">
        <v>4289</v>
      </c>
      <c r="G502">
        <f>'IPTV CA'!A493</f>
        <v>11092</v>
      </c>
      <c r="H502" t="str">
        <f>T('IPTV CA'!B493)</f>
        <v/>
      </c>
      <c r="I502" t="s">
        <v>4290</v>
      </c>
      <c r="J502" t="str">
        <f t="shared" si="62"/>
        <v/>
      </c>
      <c r="K502" t="str">
        <f t="shared" si="64"/>
        <v/>
      </c>
      <c r="L502" s="69"/>
      <c r="M502">
        <f>'TMIS US'!A493</f>
        <v>9359</v>
      </c>
      <c r="N502" t="str">
        <f>T('TMIS US'!B493)</f>
        <v/>
      </c>
      <c r="O502" t="s">
        <v>4290</v>
      </c>
      <c r="P502" t="str">
        <f t="shared" si="63"/>
        <v/>
      </c>
      <c r="Q502" t="str">
        <f t="shared" si="65"/>
        <v/>
      </c>
      <c r="R502" s="69"/>
      <c r="S502">
        <f>'TMIS CA'!A493</f>
        <v>9692</v>
      </c>
      <c r="T502" t="str">
        <f>T('TMIS CA'!B493)</f>
        <v/>
      </c>
      <c r="U502" t="s">
        <v>4290</v>
      </c>
      <c r="V502" t="str">
        <f t="shared" si="67"/>
        <v/>
      </c>
      <c r="W502" t="str">
        <f t="shared" si="66"/>
        <v/>
      </c>
    </row>
    <row r="503" spans="1:23">
      <c r="A503">
        <f>'IPTV US'!A494</f>
        <v>10760</v>
      </c>
      <c r="B503" t="str">
        <f>T('IPTV US'!B494)</f>
        <v>Grjngo Western Movies</v>
      </c>
      <c r="C503" t="s">
        <v>4288</v>
      </c>
      <c r="D503" t="str">
        <f t="shared" si="60"/>
        <v/>
      </c>
      <c r="E503" t="str">
        <f t="shared" si="61"/>
        <v/>
      </c>
      <c r="F503" s="68" t="s">
        <v>4289</v>
      </c>
      <c r="G503">
        <f>'IPTV CA'!A494</f>
        <v>11093</v>
      </c>
      <c r="H503" t="str">
        <f>T('IPTV CA'!B494)</f>
        <v/>
      </c>
      <c r="I503" t="s">
        <v>4290</v>
      </c>
      <c r="J503" t="str">
        <f t="shared" si="62"/>
        <v/>
      </c>
      <c r="K503" t="str">
        <f t="shared" si="64"/>
        <v/>
      </c>
      <c r="L503" s="69"/>
      <c r="M503">
        <f>'TMIS US'!A494</f>
        <v>9360</v>
      </c>
      <c r="N503" t="str">
        <f>T('TMIS US'!B494)</f>
        <v>Grjngo Western Movies</v>
      </c>
      <c r="O503" t="s">
        <v>4288</v>
      </c>
      <c r="P503" t="str">
        <f t="shared" si="63"/>
        <v/>
      </c>
      <c r="Q503" t="str">
        <f t="shared" si="65"/>
        <v/>
      </c>
      <c r="R503" s="69"/>
      <c r="S503">
        <f>'TMIS CA'!A494</f>
        <v>9693</v>
      </c>
      <c r="T503" t="str">
        <f>T('TMIS CA'!B494)</f>
        <v/>
      </c>
      <c r="U503" t="s">
        <v>4290</v>
      </c>
      <c r="V503" t="str">
        <f t="shared" si="67"/>
        <v/>
      </c>
      <c r="W503" t="str">
        <f t="shared" si="66"/>
        <v/>
      </c>
    </row>
    <row r="504" spans="1:23">
      <c r="A504">
        <f>'IPTV US'!A495</f>
        <v>10761</v>
      </c>
      <c r="B504" t="str">
        <f>T('IPTV US'!B495)</f>
        <v>The Rifleman</v>
      </c>
      <c r="C504" t="s">
        <v>4288</v>
      </c>
      <c r="D504" t="str">
        <f t="shared" si="60"/>
        <v/>
      </c>
      <c r="E504" t="str">
        <f t="shared" si="61"/>
        <v/>
      </c>
      <c r="F504" s="68" t="s">
        <v>4289</v>
      </c>
      <c r="G504">
        <f>'IPTV CA'!A495</f>
        <v>11094</v>
      </c>
      <c r="H504" t="str">
        <f>T('IPTV CA'!B495)</f>
        <v>Bon Voyage</v>
      </c>
      <c r="I504" t="s">
        <v>4288</v>
      </c>
      <c r="J504" t="str">
        <f t="shared" si="62"/>
        <v/>
      </c>
      <c r="K504" t="str">
        <f t="shared" si="64"/>
        <v/>
      </c>
      <c r="L504" s="69"/>
      <c r="M504">
        <f>'TMIS US'!A495</f>
        <v>9361</v>
      </c>
      <c r="N504" t="str">
        <f>T('TMIS US'!B495)</f>
        <v>The Rifleman</v>
      </c>
      <c r="O504" t="s">
        <v>4288</v>
      </c>
      <c r="P504" t="str">
        <f t="shared" si="63"/>
        <v/>
      </c>
      <c r="Q504" t="str">
        <f t="shared" si="65"/>
        <v/>
      </c>
      <c r="R504" s="69"/>
      <c r="S504">
        <f>'TMIS CA'!A495</f>
        <v>9694</v>
      </c>
      <c r="T504" t="str">
        <f>T('TMIS CA'!B495)</f>
        <v>Bon Voyage</v>
      </c>
      <c r="U504" t="s">
        <v>4288</v>
      </c>
      <c r="V504" t="str">
        <f t="shared" si="67"/>
        <v/>
      </c>
      <c r="W504" t="str">
        <f t="shared" si="66"/>
        <v/>
      </c>
    </row>
    <row r="505" spans="1:23">
      <c r="A505">
        <f>'IPTV US'!A496</f>
        <v>10762</v>
      </c>
      <c r="B505" t="str">
        <f>T('IPTV US'!B496)</f>
        <v>Lone Star Network</v>
      </c>
      <c r="C505" t="s">
        <v>4288</v>
      </c>
      <c r="D505" t="str">
        <f t="shared" si="60"/>
        <v/>
      </c>
      <c r="E505" t="str">
        <f t="shared" si="61"/>
        <v/>
      </c>
      <c r="F505" s="68" t="s">
        <v>4289</v>
      </c>
      <c r="G505">
        <f>'IPTV CA'!A496</f>
        <v>11095</v>
      </c>
      <c r="H505" t="str">
        <f>T('IPTV CA'!B496)</f>
        <v>Travel Escapes</v>
      </c>
      <c r="I505" t="s">
        <v>4288</v>
      </c>
      <c r="J505" t="str">
        <f t="shared" si="62"/>
        <v/>
      </c>
      <c r="K505" t="str">
        <f t="shared" si="64"/>
        <v/>
      </c>
      <c r="L505" s="69"/>
      <c r="M505">
        <f>'TMIS US'!A496</f>
        <v>9362</v>
      </c>
      <c r="N505" t="str">
        <f>T('TMIS US'!B496)</f>
        <v>Lone Star Network</v>
      </c>
      <c r="O505" t="s">
        <v>4288</v>
      </c>
      <c r="P505" t="str">
        <f t="shared" si="63"/>
        <v/>
      </c>
      <c r="Q505" t="str">
        <f t="shared" si="65"/>
        <v/>
      </c>
      <c r="R505" s="69"/>
      <c r="S505">
        <f>'TMIS CA'!A496</f>
        <v>9695</v>
      </c>
      <c r="T505" t="str">
        <f>T('TMIS CA'!B496)</f>
        <v>Travel Escapes</v>
      </c>
      <c r="U505" t="s">
        <v>4288</v>
      </c>
      <c r="V505" t="str">
        <f t="shared" si="67"/>
        <v/>
      </c>
      <c r="W505" t="str">
        <f t="shared" si="66"/>
        <v/>
      </c>
    </row>
    <row r="506" spans="1:23">
      <c r="A506">
        <f>'IPTV US'!A497</f>
        <v>10763</v>
      </c>
      <c r="B506" t="str">
        <f>T('IPTV US'!B497)</f>
        <v>Outlaw</v>
      </c>
      <c r="C506" t="s">
        <v>4288</v>
      </c>
      <c r="D506" t="str">
        <f t="shared" si="60"/>
        <v/>
      </c>
      <c r="E506" t="str">
        <f t="shared" si="61"/>
        <v/>
      </c>
      <c r="F506" s="68" t="s">
        <v>4289</v>
      </c>
      <c r="G506">
        <f>'IPTV CA'!A497</f>
        <v>11096</v>
      </c>
      <c r="H506" t="str">
        <f>T('IPTV CA'!B497)</f>
        <v/>
      </c>
      <c r="I506" t="s">
        <v>4290</v>
      </c>
      <c r="J506" t="str">
        <f t="shared" si="62"/>
        <v/>
      </c>
      <c r="K506" t="str">
        <f t="shared" si="64"/>
        <v/>
      </c>
      <c r="L506" s="69"/>
      <c r="M506">
        <f>'TMIS US'!A497</f>
        <v>9363</v>
      </c>
      <c r="N506" t="str">
        <f>T('TMIS US'!B497)</f>
        <v>Outlaw</v>
      </c>
      <c r="O506" t="s">
        <v>4288</v>
      </c>
      <c r="P506" t="str">
        <f t="shared" si="63"/>
        <v/>
      </c>
      <c r="Q506" t="str">
        <f t="shared" si="65"/>
        <v/>
      </c>
      <c r="R506" s="69"/>
      <c r="S506">
        <f>'TMIS CA'!A497</f>
        <v>9696</v>
      </c>
      <c r="T506" t="str">
        <f>T('TMIS CA'!B497)</f>
        <v/>
      </c>
      <c r="U506" t="s">
        <v>4290</v>
      </c>
      <c r="V506" t="str">
        <f t="shared" si="67"/>
        <v/>
      </c>
      <c r="W506" t="str">
        <f t="shared" si="66"/>
        <v/>
      </c>
    </row>
    <row r="507" spans="1:23">
      <c r="A507">
        <f>'IPTV US'!A498</f>
        <v>10764</v>
      </c>
      <c r="B507" t="str">
        <f>T('IPTV US'!B498)</f>
        <v>FilmRise Western</v>
      </c>
      <c r="C507" t="s">
        <v>4288</v>
      </c>
      <c r="D507" t="str">
        <f t="shared" si="60"/>
        <v/>
      </c>
      <c r="E507" t="str">
        <f t="shared" si="61"/>
        <v/>
      </c>
      <c r="F507" s="68" t="s">
        <v>4289</v>
      </c>
      <c r="G507">
        <f>'IPTV CA'!A498</f>
        <v>11097</v>
      </c>
      <c r="H507" t="str">
        <f>T('IPTV CA'!B498)</f>
        <v/>
      </c>
      <c r="I507" t="s">
        <v>4290</v>
      </c>
      <c r="J507" t="str">
        <f t="shared" si="62"/>
        <v/>
      </c>
      <c r="K507" t="str">
        <f t="shared" si="64"/>
        <v/>
      </c>
      <c r="L507" s="69"/>
      <c r="M507">
        <f>'TMIS US'!A498</f>
        <v>9364</v>
      </c>
      <c r="N507" t="str">
        <f>T('TMIS US'!B498)</f>
        <v>FilmRise Western</v>
      </c>
      <c r="O507" t="s">
        <v>4288</v>
      </c>
      <c r="P507" t="str">
        <f t="shared" si="63"/>
        <v/>
      </c>
      <c r="Q507" t="str">
        <f t="shared" si="65"/>
        <v/>
      </c>
      <c r="R507" s="69"/>
      <c r="S507">
        <f>'TMIS CA'!A498</f>
        <v>9697</v>
      </c>
      <c r="T507" t="str">
        <f>T('TMIS CA'!B498)</f>
        <v/>
      </c>
      <c r="U507" t="s">
        <v>4290</v>
      </c>
      <c r="V507" t="str">
        <f t="shared" si="67"/>
        <v/>
      </c>
      <c r="W507" t="str">
        <f t="shared" si="66"/>
        <v/>
      </c>
    </row>
    <row r="508" spans="1:23">
      <c r="A508">
        <f>'IPTV US'!A499</f>
        <v>10765</v>
      </c>
      <c r="B508" t="str">
        <f>T('IPTV US'!B499)</f>
        <v>Western Bound</v>
      </c>
      <c r="C508" t="s">
        <v>4288</v>
      </c>
      <c r="D508" t="str">
        <f t="shared" si="60"/>
        <v/>
      </c>
      <c r="E508" t="str">
        <f t="shared" si="61"/>
        <v/>
      </c>
      <c r="F508" s="68" t="s">
        <v>4289</v>
      </c>
      <c r="G508">
        <f>'IPTV CA'!A499</f>
        <v>11098</v>
      </c>
      <c r="H508" t="str">
        <f>T('IPTV CA'!B499)</f>
        <v>MagellanTV NOW</v>
      </c>
      <c r="I508" t="s">
        <v>4288</v>
      </c>
      <c r="J508" t="str">
        <f t="shared" si="62"/>
        <v/>
      </c>
      <c r="K508" t="str">
        <f t="shared" si="64"/>
        <v/>
      </c>
      <c r="L508" s="69"/>
      <c r="M508">
        <f>'TMIS US'!A499</f>
        <v>9365</v>
      </c>
      <c r="N508" t="str">
        <f>T('TMIS US'!B499)</f>
        <v>Western Bound</v>
      </c>
      <c r="O508" t="s">
        <v>4288</v>
      </c>
      <c r="P508" t="str">
        <f t="shared" si="63"/>
        <v/>
      </c>
      <c r="Q508" t="str">
        <f t="shared" si="65"/>
        <v/>
      </c>
      <c r="R508" s="69"/>
      <c r="S508">
        <f>'TMIS CA'!A499</f>
        <v>9698</v>
      </c>
      <c r="T508" t="str">
        <f>T('TMIS CA'!B499)</f>
        <v>MagellanTV NOW</v>
      </c>
      <c r="U508" t="s">
        <v>4288</v>
      </c>
      <c r="V508" t="str">
        <f t="shared" si="67"/>
        <v/>
      </c>
      <c r="W508" t="str">
        <f t="shared" si="66"/>
        <v/>
      </c>
    </row>
    <row r="509" spans="1:23">
      <c r="A509">
        <f>'IPTV US'!A500</f>
        <v>10766</v>
      </c>
      <c r="B509" t="str">
        <f>T('IPTV US'!B500)</f>
        <v/>
      </c>
      <c r="C509" t="s">
        <v>4290</v>
      </c>
      <c r="D509" t="str">
        <f t="shared" si="60"/>
        <v/>
      </c>
      <c r="E509" t="str">
        <f t="shared" si="61"/>
        <v/>
      </c>
      <c r="F509" s="68" t="s">
        <v>4289</v>
      </c>
      <c r="G509">
        <f>'IPTV CA'!A500</f>
        <v>11099</v>
      </c>
      <c r="H509" t="str">
        <f>T('IPTV CA'!B500)</f>
        <v/>
      </c>
      <c r="I509" t="s">
        <v>4290</v>
      </c>
      <c r="J509" t="str">
        <f t="shared" si="62"/>
        <v/>
      </c>
      <c r="K509" t="str">
        <f t="shared" si="64"/>
        <v/>
      </c>
      <c r="L509" s="69"/>
      <c r="M509">
        <f>'TMIS US'!A500</f>
        <v>9366</v>
      </c>
      <c r="N509" t="str">
        <f>T('TMIS US'!B500)</f>
        <v/>
      </c>
      <c r="O509" t="s">
        <v>4290</v>
      </c>
      <c r="P509" t="str">
        <f t="shared" si="63"/>
        <v/>
      </c>
      <c r="Q509" t="str">
        <f t="shared" si="65"/>
        <v/>
      </c>
      <c r="R509" s="69"/>
      <c r="S509">
        <f>'TMIS CA'!A500</f>
        <v>9699</v>
      </c>
      <c r="T509" t="str">
        <f>T('TMIS CA'!B500)</f>
        <v/>
      </c>
      <c r="U509" t="s">
        <v>4290</v>
      </c>
      <c r="V509" t="str">
        <f t="shared" si="67"/>
        <v/>
      </c>
      <c r="W509" t="str">
        <f t="shared" si="66"/>
        <v/>
      </c>
    </row>
    <row r="510" spans="1:23">
      <c r="A510">
        <f>'IPTV US'!A501</f>
        <v>10767</v>
      </c>
      <c r="B510" t="str">
        <f>T('IPTV US'!B501)</f>
        <v/>
      </c>
      <c r="C510" t="s">
        <v>4290</v>
      </c>
      <c r="D510" t="str">
        <f t="shared" si="60"/>
        <v/>
      </c>
      <c r="E510" t="str">
        <f t="shared" si="61"/>
        <v/>
      </c>
      <c r="F510" s="68" t="s">
        <v>4289</v>
      </c>
      <c r="G510">
        <f>'IPTV CA'!A501</f>
        <v>11100</v>
      </c>
      <c r="H510" t="str">
        <f>T('IPTV CA'!B501)</f>
        <v/>
      </c>
      <c r="I510" t="s">
        <v>4290</v>
      </c>
      <c r="J510" t="str">
        <f t="shared" si="62"/>
        <v/>
      </c>
      <c r="K510" t="str">
        <f t="shared" si="64"/>
        <v/>
      </c>
      <c r="L510" s="69"/>
      <c r="M510">
        <f>'TMIS US'!A501</f>
        <v>9367</v>
      </c>
      <c r="N510" t="str">
        <f>T('TMIS US'!B501)</f>
        <v/>
      </c>
      <c r="O510" t="s">
        <v>4290</v>
      </c>
      <c r="P510" t="str">
        <f t="shared" si="63"/>
        <v/>
      </c>
      <c r="Q510" t="str">
        <f t="shared" si="65"/>
        <v/>
      </c>
      <c r="R510" s="69"/>
      <c r="S510">
        <f>'TMIS CA'!A501</f>
        <v>9700</v>
      </c>
      <c r="T510" t="str">
        <f>T('TMIS CA'!B501)</f>
        <v/>
      </c>
      <c r="U510" t="s">
        <v>4290</v>
      </c>
      <c r="V510" t="str">
        <f t="shared" si="67"/>
        <v/>
      </c>
      <c r="W510" t="str">
        <f t="shared" si="66"/>
        <v/>
      </c>
    </row>
    <row r="511" spans="1:23">
      <c r="A511">
        <f>'IPTV US'!A502</f>
        <v>10768</v>
      </c>
      <c r="B511" t="str">
        <f>T('IPTV US'!B502)</f>
        <v>Lawless: Crime &amp; Action</v>
      </c>
      <c r="C511" t="s">
        <v>4288</v>
      </c>
      <c r="D511" t="str">
        <f t="shared" si="60"/>
        <v/>
      </c>
      <c r="E511" t="str">
        <f t="shared" si="61"/>
        <v/>
      </c>
      <c r="F511" s="68" t="s">
        <v>4289</v>
      </c>
      <c r="G511">
        <f>'IPTV CA'!A502</f>
        <v>11101</v>
      </c>
      <c r="H511" t="str">
        <f>T('IPTV CA'!B502)</f>
        <v>Journy</v>
      </c>
      <c r="I511" t="s">
        <v>4288</v>
      </c>
      <c r="J511" t="str">
        <f t="shared" si="62"/>
        <v/>
      </c>
      <c r="K511" t="str">
        <f t="shared" si="64"/>
        <v/>
      </c>
      <c r="L511" s="69"/>
      <c r="M511">
        <f>'TMIS US'!A502</f>
        <v>9368</v>
      </c>
      <c r="N511" t="str">
        <f>T('TMIS US'!B502)</f>
        <v>Lawless: Crime &amp; Action</v>
      </c>
      <c r="O511" t="s">
        <v>4288</v>
      </c>
      <c r="P511" t="str">
        <f t="shared" si="63"/>
        <v/>
      </c>
      <c r="Q511" t="str">
        <f t="shared" si="65"/>
        <v/>
      </c>
      <c r="R511" s="69"/>
      <c r="S511">
        <f>'TMIS CA'!A502</f>
        <v>9701</v>
      </c>
      <c r="T511" t="str">
        <f>T('TMIS CA'!B502)</f>
        <v>Journy</v>
      </c>
      <c r="U511" t="s">
        <v>4288</v>
      </c>
      <c r="V511" t="str">
        <f t="shared" si="67"/>
        <v/>
      </c>
      <c r="W511" t="str">
        <f t="shared" si="66"/>
        <v/>
      </c>
    </row>
    <row r="512" spans="1:23">
      <c r="A512">
        <f>'IPTV US'!A503</f>
        <v>10769</v>
      </c>
      <c r="B512" t="str">
        <f>T('IPTV US'!B503)</f>
        <v>JAIL</v>
      </c>
      <c r="C512" t="s">
        <v>4288</v>
      </c>
      <c r="D512" t="str">
        <f t="shared" si="60"/>
        <v/>
      </c>
      <c r="E512" t="str">
        <f t="shared" si="61"/>
        <v/>
      </c>
      <c r="F512" s="68" t="s">
        <v>4289</v>
      </c>
      <c r="G512">
        <f>'IPTV CA'!A503</f>
        <v>11102</v>
      </c>
      <c r="H512" t="str">
        <f>T('IPTV CA'!B503)</f>
        <v>Wonder</v>
      </c>
      <c r="I512" t="s">
        <v>4288</v>
      </c>
      <c r="J512" t="str">
        <f t="shared" si="62"/>
        <v/>
      </c>
      <c r="K512" t="str">
        <f t="shared" si="64"/>
        <v/>
      </c>
      <c r="L512" s="69"/>
      <c r="M512">
        <f>'TMIS US'!A503</f>
        <v>9369</v>
      </c>
      <c r="N512" t="str">
        <f>T('TMIS US'!B503)</f>
        <v>JAIL</v>
      </c>
      <c r="O512" t="s">
        <v>4288</v>
      </c>
      <c r="P512" t="str">
        <f t="shared" si="63"/>
        <v/>
      </c>
      <c r="Q512" t="str">
        <f t="shared" si="65"/>
        <v/>
      </c>
      <c r="R512" s="69"/>
      <c r="S512">
        <f>'TMIS CA'!A503</f>
        <v>9702</v>
      </c>
      <c r="T512" t="str">
        <f>T('TMIS CA'!B503)</f>
        <v>Wonder</v>
      </c>
      <c r="U512" t="s">
        <v>4288</v>
      </c>
      <c r="V512" t="str">
        <f t="shared" si="67"/>
        <v/>
      </c>
      <c r="W512" t="str">
        <f t="shared" si="66"/>
        <v/>
      </c>
    </row>
    <row r="513" spans="1:23">
      <c r="A513">
        <f>'IPTV US'!A504</f>
        <v>10770</v>
      </c>
      <c r="B513" t="str">
        <f>T('IPTV US'!B504)</f>
        <v>World's Wildest Police Videos</v>
      </c>
      <c r="C513" t="s">
        <v>4288</v>
      </c>
      <c r="D513" t="str">
        <f t="shared" si="60"/>
        <v/>
      </c>
      <c r="E513" t="str">
        <f t="shared" si="61"/>
        <v/>
      </c>
      <c r="F513" s="68" t="s">
        <v>4289</v>
      </c>
      <c r="G513">
        <f>'IPTV CA'!A504</f>
        <v>11103</v>
      </c>
      <c r="H513" t="str">
        <f>T('IPTV CA'!B504)</f>
        <v>Waypoint TV</v>
      </c>
      <c r="I513" t="s">
        <v>4288</v>
      </c>
      <c r="J513" t="str">
        <f t="shared" si="62"/>
        <v/>
      </c>
      <c r="K513" t="str">
        <f t="shared" si="64"/>
        <v/>
      </c>
      <c r="L513" s="69"/>
      <c r="M513">
        <f>'TMIS US'!A504</f>
        <v>9370</v>
      </c>
      <c r="N513" t="str">
        <f>T('TMIS US'!B504)</f>
        <v>World's Wildest Police Videos</v>
      </c>
      <c r="O513" t="s">
        <v>4288</v>
      </c>
      <c r="P513" t="str">
        <f t="shared" si="63"/>
        <v/>
      </c>
      <c r="Q513" t="str">
        <f t="shared" si="65"/>
        <v/>
      </c>
      <c r="R513" s="69"/>
      <c r="S513">
        <f>'TMIS CA'!A504</f>
        <v>9703</v>
      </c>
      <c r="T513" t="str">
        <f>T('TMIS CA'!B504)</f>
        <v>Waypoint TV</v>
      </c>
      <c r="U513" t="s">
        <v>4288</v>
      </c>
      <c r="V513" t="str">
        <f t="shared" si="67"/>
        <v/>
      </c>
      <c r="W513" t="str">
        <f t="shared" si="66"/>
        <v/>
      </c>
    </row>
    <row r="514" spans="1:23">
      <c r="A514">
        <f>'IPTV US'!A505</f>
        <v>10771</v>
      </c>
      <c r="B514" t="str">
        <f>T('IPTV US'!B505)</f>
        <v>Dog the Bounty Hunter</v>
      </c>
      <c r="C514" t="s">
        <v>4288</v>
      </c>
      <c r="D514" t="str">
        <f t="shared" si="60"/>
        <v/>
      </c>
      <c r="E514" t="str">
        <f t="shared" si="61"/>
        <v/>
      </c>
      <c r="F514" s="68" t="s">
        <v>4289</v>
      </c>
      <c r="G514">
        <f>'IPTV CA'!A505</f>
        <v>11104</v>
      </c>
      <c r="H514" t="str">
        <f>T('IPTV CA'!B505)</f>
        <v/>
      </c>
      <c r="I514" t="s">
        <v>4290</v>
      </c>
      <c r="J514" t="str">
        <f t="shared" si="62"/>
        <v/>
      </c>
      <c r="K514" t="str">
        <f t="shared" si="64"/>
        <v/>
      </c>
      <c r="L514" s="69"/>
      <c r="M514">
        <f>'TMIS US'!A505</f>
        <v>9371</v>
      </c>
      <c r="N514" t="str">
        <f>T('TMIS US'!B505)</f>
        <v>Dog the Bounty Hunter</v>
      </c>
      <c r="O514" t="s">
        <v>4288</v>
      </c>
      <c r="P514" t="str">
        <f t="shared" si="63"/>
        <v/>
      </c>
      <c r="Q514" t="str">
        <f t="shared" si="65"/>
        <v/>
      </c>
      <c r="R514" s="69"/>
      <c r="S514">
        <f>'TMIS CA'!A505</f>
        <v>9704</v>
      </c>
      <c r="T514" t="str">
        <f>T('TMIS CA'!B505)</f>
        <v/>
      </c>
      <c r="U514" t="s">
        <v>4290</v>
      </c>
      <c r="V514" t="str">
        <f t="shared" si="67"/>
        <v/>
      </c>
      <c r="W514" t="str">
        <f t="shared" si="66"/>
        <v/>
      </c>
    </row>
    <row r="515" spans="1:23">
      <c r="A515">
        <f>'IPTV US'!A506</f>
        <v>10772</v>
      </c>
      <c r="B515" t="str">
        <f>T('IPTV US'!B506)</f>
        <v/>
      </c>
      <c r="C515" t="s">
        <v>4290</v>
      </c>
      <c r="D515" t="str">
        <f t="shared" si="60"/>
        <v/>
      </c>
      <c r="E515" t="str">
        <f t="shared" si="61"/>
        <v/>
      </c>
      <c r="F515" s="68" t="s">
        <v>4289</v>
      </c>
      <c r="G515">
        <f>'IPTV CA'!A506</f>
        <v>11105</v>
      </c>
      <c r="H515" t="str">
        <f>T('IPTV CA'!B506)</f>
        <v/>
      </c>
      <c r="I515" t="s">
        <v>4290</v>
      </c>
      <c r="J515" t="str">
        <f t="shared" si="62"/>
        <v/>
      </c>
      <c r="K515" t="str">
        <f t="shared" si="64"/>
        <v/>
      </c>
      <c r="L515" s="69"/>
      <c r="M515">
        <f>'TMIS US'!A506</f>
        <v>9372</v>
      </c>
      <c r="N515" t="str">
        <f>T('TMIS US'!B506)</f>
        <v/>
      </c>
      <c r="O515" t="s">
        <v>4290</v>
      </c>
      <c r="P515" t="str">
        <f t="shared" si="63"/>
        <v/>
      </c>
      <c r="Q515" t="str">
        <f t="shared" si="65"/>
        <v/>
      </c>
      <c r="R515" s="69"/>
      <c r="S515">
        <f>'TMIS CA'!A506</f>
        <v>9705</v>
      </c>
      <c r="T515" t="str">
        <f>T('TMIS CA'!B506)</f>
        <v/>
      </c>
      <c r="U515" t="s">
        <v>4290</v>
      </c>
      <c r="V515" t="str">
        <f t="shared" si="67"/>
        <v/>
      </c>
      <c r="W515" t="str">
        <f t="shared" si="66"/>
        <v/>
      </c>
    </row>
    <row r="516" spans="1:23">
      <c r="A516">
        <f>'IPTV US'!A507</f>
        <v>10773</v>
      </c>
      <c r="B516" t="str">
        <f>T('IPTV US'!B507)</f>
        <v/>
      </c>
      <c r="C516" t="s">
        <v>4290</v>
      </c>
      <c r="D516" t="str">
        <f t="shared" si="60"/>
        <v/>
      </c>
      <c r="E516" t="str">
        <f t="shared" si="61"/>
        <v/>
      </c>
      <c r="F516" s="68" t="s">
        <v>4289</v>
      </c>
      <c r="G516">
        <f>'IPTV CA'!A507</f>
        <v>11106</v>
      </c>
      <c r="H516" t="str">
        <f>T('IPTV CA'!B507)</f>
        <v>People are Awesome</v>
      </c>
      <c r="I516" t="s">
        <v>4288</v>
      </c>
      <c r="J516" t="str">
        <f t="shared" si="62"/>
        <v/>
      </c>
      <c r="K516" t="str">
        <f t="shared" si="64"/>
        <v/>
      </c>
      <c r="L516" s="69"/>
      <c r="M516">
        <f>'TMIS US'!A507</f>
        <v>9373</v>
      </c>
      <c r="N516" t="str">
        <f>T('TMIS US'!B507)</f>
        <v/>
      </c>
      <c r="O516" t="s">
        <v>4290</v>
      </c>
      <c r="P516" t="str">
        <f t="shared" si="63"/>
        <v/>
      </c>
      <c r="Q516" t="str">
        <f t="shared" si="65"/>
        <v/>
      </c>
      <c r="R516" s="69"/>
      <c r="S516">
        <f>'TMIS CA'!A507</f>
        <v>9706</v>
      </c>
      <c r="T516" t="str">
        <f>T('TMIS CA'!B507)</f>
        <v>People are Awesome</v>
      </c>
      <c r="U516" t="s">
        <v>4288</v>
      </c>
      <c r="V516" t="str">
        <f t="shared" si="67"/>
        <v/>
      </c>
      <c r="W516" t="str">
        <f t="shared" si="66"/>
        <v/>
      </c>
    </row>
    <row r="517" spans="1:23">
      <c r="A517">
        <f>'IPTV US'!A508</f>
        <v>10774</v>
      </c>
      <c r="B517" t="str">
        <f>T('IPTV US'!B508)</f>
        <v>Dateline</v>
      </c>
      <c r="C517" t="s">
        <v>4288</v>
      </c>
      <c r="D517" t="str">
        <f t="shared" si="60"/>
        <v/>
      </c>
      <c r="E517" t="str">
        <f t="shared" si="61"/>
        <v/>
      </c>
      <c r="F517" s="68" t="s">
        <v>4289</v>
      </c>
      <c r="G517">
        <f>'IPTV CA'!A508</f>
        <v>11107</v>
      </c>
      <c r="H517" t="str">
        <f>T('IPTV CA'!B508)</f>
        <v>Evolution Earth</v>
      </c>
      <c r="I517" t="s">
        <v>4288</v>
      </c>
      <c r="J517" t="str">
        <f t="shared" si="62"/>
        <v/>
      </c>
      <c r="K517" t="str">
        <f t="shared" si="64"/>
        <v/>
      </c>
      <c r="L517" s="69"/>
      <c r="M517">
        <f>'TMIS US'!A508</f>
        <v>9374</v>
      </c>
      <c r="N517" t="str">
        <f>T('TMIS US'!B508)</f>
        <v>Dateline</v>
      </c>
      <c r="O517" t="s">
        <v>4288</v>
      </c>
      <c r="P517" t="str">
        <f t="shared" si="63"/>
        <v/>
      </c>
      <c r="Q517" t="str">
        <f t="shared" si="65"/>
        <v/>
      </c>
      <c r="R517" s="69"/>
      <c r="S517">
        <f>'TMIS CA'!A508</f>
        <v>9707</v>
      </c>
      <c r="T517" t="str">
        <f>T('TMIS CA'!B508)</f>
        <v>Evolution Earth</v>
      </c>
      <c r="U517" t="s">
        <v>4288</v>
      </c>
      <c r="V517" t="str">
        <f t="shared" si="67"/>
        <v/>
      </c>
      <c r="W517" t="str">
        <f t="shared" si="66"/>
        <v/>
      </c>
    </row>
    <row r="518" spans="1:23">
      <c r="A518">
        <f>'IPTV US'!A509</f>
        <v>10775</v>
      </c>
      <c r="B518" t="str">
        <f>T('IPTV US'!B509)</f>
        <v>TruBlu</v>
      </c>
      <c r="C518" t="s">
        <v>4288</v>
      </c>
      <c r="D518" t="str">
        <f t="shared" si="60"/>
        <v/>
      </c>
      <c r="E518" t="str">
        <f t="shared" si="61"/>
        <v/>
      </c>
      <c r="F518" s="68" t="s">
        <v>4289</v>
      </c>
      <c r="G518">
        <f>'IPTV CA'!A509</f>
        <v>11108</v>
      </c>
      <c r="H518" t="str">
        <f>T('IPTV CA'!B509)</f>
        <v>WeatherSpy</v>
      </c>
      <c r="I518" t="s">
        <v>4288</v>
      </c>
      <c r="J518" t="str">
        <f t="shared" si="62"/>
        <v/>
      </c>
      <c r="K518" t="str">
        <f t="shared" si="64"/>
        <v/>
      </c>
      <c r="L518" s="69"/>
      <c r="M518">
        <f>'TMIS US'!A509</f>
        <v>9375</v>
      </c>
      <c r="N518" t="str">
        <f>T('TMIS US'!B509)</f>
        <v>TruBlu</v>
      </c>
      <c r="O518" t="s">
        <v>4288</v>
      </c>
      <c r="P518" t="str">
        <f t="shared" si="63"/>
        <v/>
      </c>
      <c r="Q518" t="str">
        <f t="shared" si="65"/>
        <v/>
      </c>
      <c r="R518" s="69"/>
      <c r="S518">
        <f>'TMIS CA'!A509</f>
        <v>9708</v>
      </c>
      <c r="T518" t="str">
        <f>T('TMIS CA'!B509)</f>
        <v>WeatherSpy</v>
      </c>
      <c r="U518" t="s">
        <v>4288</v>
      </c>
      <c r="V518" t="str">
        <f t="shared" si="67"/>
        <v/>
      </c>
      <c r="W518" t="str">
        <f t="shared" si="66"/>
        <v/>
      </c>
    </row>
    <row r="519" spans="1:23">
      <c r="A519">
        <f>'IPTV US'!A510</f>
        <v>10776</v>
      </c>
      <c r="B519" t="str">
        <f>T('IPTV US'!B510)</f>
        <v>True Crime Now</v>
      </c>
      <c r="C519" t="s">
        <v>4288</v>
      </c>
      <c r="D519" t="str">
        <f t="shared" si="60"/>
        <v/>
      </c>
      <c r="E519" t="str">
        <f t="shared" si="61"/>
        <v/>
      </c>
      <c r="F519" s="68" t="s">
        <v>4289</v>
      </c>
      <c r="G519">
        <f>'IPTV CA'!A510</f>
        <v>11109</v>
      </c>
      <c r="H519" t="str">
        <f>T('IPTV CA'!B510)</f>
        <v>GoUSA TV</v>
      </c>
      <c r="I519" t="s">
        <v>4288</v>
      </c>
      <c r="J519" t="str">
        <f t="shared" si="62"/>
        <v/>
      </c>
      <c r="K519" t="str">
        <f t="shared" si="64"/>
        <v/>
      </c>
      <c r="L519" s="69"/>
      <c r="M519">
        <f>'TMIS US'!A510</f>
        <v>9376</v>
      </c>
      <c r="N519" t="str">
        <f>T('TMIS US'!B510)</f>
        <v>True Crime Now</v>
      </c>
      <c r="O519" t="s">
        <v>4288</v>
      </c>
      <c r="P519" t="str">
        <f t="shared" si="63"/>
        <v/>
      </c>
      <c r="Q519" t="str">
        <f t="shared" si="65"/>
        <v/>
      </c>
      <c r="R519" s="69"/>
      <c r="S519">
        <f>'TMIS CA'!A510</f>
        <v>9709</v>
      </c>
      <c r="T519" t="str">
        <f>T('TMIS CA'!B510)</f>
        <v>GoUSA TV</v>
      </c>
      <c r="U519" t="s">
        <v>4288</v>
      </c>
      <c r="V519" t="str">
        <f t="shared" si="67"/>
        <v/>
      </c>
      <c r="W519" t="str">
        <f t="shared" si="66"/>
        <v/>
      </c>
    </row>
    <row r="520" spans="1:23">
      <c r="A520">
        <f>'IPTV US'!A511</f>
        <v>10777</v>
      </c>
      <c r="B520" t="str">
        <f>T('IPTV US'!B511)</f>
        <v>Crime &amp; Justice</v>
      </c>
      <c r="C520" t="s">
        <v>4288</v>
      </c>
      <c r="D520" t="str">
        <f t="shared" si="60"/>
        <v/>
      </c>
      <c r="E520" t="str">
        <f t="shared" si="61"/>
        <v/>
      </c>
      <c r="F520" s="68" t="s">
        <v>4289</v>
      </c>
      <c r="G520">
        <f>'IPTV CA'!A511</f>
        <v>11110</v>
      </c>
      <c r="H520" t="str">
        <f>T('IPTV CA'!B511)</f>
        <v/>
      </c>
      <c r="I520" t="s">
        <v>4290</v>
      </c>
      <c r="J520" t="str">
        <f t="shared" si="62"/>
        <v/>
      </c>
      <c r="K520" t="str">
        <f t="shared" si="64"/>
        <v/>
      </c>
      <c r="L520" s="69"/>
      <c r="M520">
        <f>'TMIS US'!A511</f>
        <v>9377</v>
      </c>
      <c r="N520" t="str">
        <f>T('TMIS US'!B511)</f>
        <v>Crime &amp; Justice</v>
      </c>
      <c r="O520" t="s">
        <v>4288</v>
      </c>
      <c r="P520" t="str">
        <f t="shared" si="63"/>
        <v/>
      </c>
      <c r="Q520" t="str">
        <f t="shared" si="65"/>
        <v/>
      </c>
      <c r="R520" s="69"/>
      <c r="S520">
        <f>'TMIS CA'!A511</f>
        <v>9710</v>
      </c>
      <c r="T520" t="str">
        <f>T('TMIS CA'!B511)</f>
        <v/>
      </c>
      <c r="U520" t="s">
        <v>4290</v>
      </c>
      <c r="V520" t="str">
        <f t="shared" si="67"/>
        <v/>
      </c>
      <c r="W520" t="str">
        <f t="shared" si="66"/>
        <v/>
      </c>
    </row>
    <row r="521" spans="1:23">
      <c r="A521">
        <f>'IPTV US'!A512</f>
        <v>10778</v>
      </c>
      <c r="B521" t="str">
        <f>T('IPTV US'!B512)</f>
        <v>Crime Scenes</v>
      </c>
      <c r="C521" t="s">
        <v>4288</v>
      </c>
      <c r="D521" t="str">
        <f t="shared" si="60"/>
        <v/>
      </c>
      <c r="E521" t="str">
        <f t="shared" si="61"/>
        <v/>
      </c>
      <c r="F521" s="68" t="s">
        <v>4289</v>
      </c>
      <c r="G521">
        <f>'IPTV CA'!A512</f>
        <v>11111</v>
      </c>
      <c r="H521" t="str">
        <f>T('IPTV CA'!B512)</f>
        <v/>
      </c>
      <c r="I521" t="s">
        <v>4290</v>
      </c>
      <c r="J521" t="str">
        <f t="shared" si="62"/>
        <v/>
      </c>
      <c r="K521" t="str">
        <f t="shared" si="64"/>
        <v/>
      </c>
      <c r="L521" s="69"/>
      <c r="M521">
        <f>'TMIS US'!A512</f>
        <v>9378</v>
      </c>
      <c r="N521" t="str">
        <f>T('TMIS US'!B512)</f>
        <v>Crime Scenes</v>
      </c>
      <c r="O521" t="s">
        <v>4288</v>
      </c>
      <c r="P521" t="str">
        <f t="shared" si="63"/>
        <v/>
      </c>
      <c r="Q521" t="str">
        <f t="shared" si="65"/>
        <v/>
      </c>
      <c r="R521" s="69"/>
      <c r="S521">
        <f>'TMIS CA'!A512</f>
        <v>9711</v>
      </c>
      <c r="T521" t="str">
        <f>T('TMIS CA'!B512)</f>
        <v/>
      </c>
      <c r="U521" t="s">
        <v>4290</v>
      </c>
      <c r="V521" t="str">
        <f t="shared" si="67"/>
        <v/>
      </c>
      <c r="W521" t="str">
        <f t="shared" si="66"/>
        <v/>
      </c>
    </row>
    <row r="522" spans="1:23">
      <c r="A522">
        <f>'IPTV US'!A513</f>
        <v>10779</v>
      </c>
      <c r="B522" t="str">
        <f>T('IPTV US'!B513)</f>
        <v>FilmRise True Crime</v>
      </c>
      <c r="C522" t="s">
        <v>4288</v>
      </c>
      <c r="D522" t="str">
        <f t="shared" si="60"/>
        <v/>
      </c>
      <c r="E522" t="str">
        <f t="shared" si="61"/>
        <v/>
      </c>
      <c r="F522" s="68" t="s">
        <v>4289</v>
      </c>
      <c r="G522">
        <f>'IPTV CA'!A513</f>
        <v>11112</v>
      </c>
      <c r="H522" t="str">
        <f>T('IPTV CA'!B513)</f>
        <v>The Pet Collective</v>
      </c>
      <c r="I522" t="s">
        <v>4288</v>
      </c>
      <c r="J522" t="str">
        <f t="shared" si="62"/>
        <v/>
      </c>
      <c r="K522" t="str">
        <f t="shared" si="64"/>
        <v/>
      </c>
      <c r="L522" s="69"/>
      <c r="M522">
        <f>'TMIS US'!A513</f>
        <v>9379</v>
      </c>
      <c r="N522" t="str">
        <f>T('TMIS US'!B513)</f>
        <v>FilmRise True Crime</v>
      </c>
      <c r="O522" t="s">
        <v>4288</v>
      </c>
      <c r="P522" t="str">
        <f t="shared" si="63"/>
        <v/>
      </c>
      <c r="Q522" t="str">
        <f t="shared" si="65"/>
        <v/>
      </c>
      <c r="R522" s="69"/>
      <c r="S522">
        <f>'TMIS CA'!A513</f>
        <v>9712</v>
      </c>
      <c r="T522" t="str">
        <f>T('TMIS CA'!B513)</f>
        <v>The Pet Collective</v>
      </c>
      <c r="U522" t="s">
        <v>4288</v>
      </c>
      <c r="V522" t="str">
        <f t="shared" si="67"/>
        <v/>
      </c>
      <c r="W522" t="str">
        <f t="shared" si="66"/>
        <v/>
      </c>
    </row>
    <row r="523" spans="1:23">
      <c r="A523">
        <f>'IPTV US'!A514</f>
        <v>10780</v>
      </c>
      <c r="B523" t="str">
        <f>T('IPTV US'!B514)</f>
        <v>Oxygen True Crime Archives</v>
      </c>
      <c r="C523" t="s">
        <v>4288</v>
      </c>
      <c r="D523" t="str">
        <f t="shared" ref="D523:D586" si="68">IF(C523="Active",IF(B523="","Please Notify - Channel Removed",""),"")</f>
        <v/>
      </c>
      <c r="E523" t="str">
        <f t="shared" ref="E523:E586" si="69">IF(C523="Vacant",IF(B523="","","Please Notify - Channel Added"),"")</f>
        <v/>
      </c>
      <c r="F523" s="68" t="s">
        <v>4289</v>
      </c>
      <c r="G523">
        <f>'IPTV CA'!A514</f>
        <v>11113</v>
      </c>
      <c r="H523" t="str">
        <f>T('IPTV CA'!B514)</f>
        <v/>
      </c>
      <c r="I523" t="s">
        <v>4290</v>
      </c>
      <c r="J523" t="str">
        <f t="shared" ref="J523:J586" si="70">IF(I523="Active",IF(H523="","Please Notify - Channel Removed",""),"")</f>
        <v/>
      </c>
      <c r="K523" t="str">
        <f t="shared" si="64"/>
        <v/>
      </c>
      <c r="L523" s="69"/>
      <c r="M523">
        <f>'TMIS US'!A514</f>
        <v>9380</v>
      </c>
      <c r="N523" t="str">
        <f>T('TMIS US'!B514)</f>
        <v>Oxygen True Crime Archives</v>
      </c>
      <c r="O523" t="s">
        <v>4288</v>
      </c>
      <c r="P523" t="str">
        <f t="shared" ref="P523:P586" si="71">IF(O523="Active",IF(N523="","Please Notify - Channel Removed",""),"")</f>
        <v/>
      </c>
      <c r="Q523" t="str">
        <f t="shared" si="65"/>
        <v/>
      </c>
      <c r="R523" s="69"/>
      <c r="S523">
        <f>'TMIS CA'!A514</f>
        <v>9713</v>
      </c>
      <c r="T523" t="str">
        <f>T('TMIS CA'!B514)</f>
        <v/>
      </c>
      <c r="U523" t="s">
        <v>4290</v>
      </c>
      <c r="V523" t="str">
        <f t="shared" si="67"/>
        <v/>
      </c>
      <c r="W523" t="str">
        <f t="shared" si="66"/>
        <v/>
      </c>
    </row>
    <row r="524" spans="1:23">
      <c r="A524">
        <f>'IPTV US'!A515</f>
        <v>10781</v>
      </c>
      <c r="B524" t="str">
        <f>T('IPTV US'!B515)</f>
        <v>World's Most Evil Killers</v>
      </c>
      <c r="C524" t="s">
        <v>4288</v>
      </c>
      <c r="D524" t="str">
        <f t="shared" si="68"/>
        <v/>
      </c>
      <c r="E524" t="str">
        <f t="shared" si="69"/>
        <v/>
      </c>
      <c r="F524" s="68" t="s">
        <v>4289</v>
      </c>
      <c r="G524">
        <f>'IPTV CA'!A515</f>
        <v>11114</v>
      </c>
      <c r="H524" t="str">
        <f>T('IPTV CA'!B515)</f>
        <v/>
      </c>
      <c r="I524" t="s">
        <v>4290</v>
      </c>
      <c r="J524" t="str">
        <f t="shared" si="70"/>
        <v/>
      </c>
      <c r="K524" t="str">
        <f t="shared" ref="K524:K587" si="72">IF(I524="Vacant",IF(H524="","","Please Notify - Channel Added"),"")</f>
        <v/>
      </c>
      <c r="L524" s="69"/>
      <c r="M524">
        <f>'TMIS US'!A515</f>
        <v>9381</v>
      </c>
      <c r="N524" t="str">
        <f>T('TMIS US'!B515)</f>
        <v>World's Most Evil Killers</v>
      </c>
      <c r="O524" t="s">
        <v>4288</v>
      </c>
      <c r="P524" t="str">
        <f t="shared" si="71"/>
        <v/>
      </c>
      <c r="Q524" t="str">
        <f t="shared" ref="Q524:Q587" si="73">IF(O524="Vacant",IF(N524="","","Please Notify - Channel Added"),"")</f>
        <v/>
      </c>
      <c r="R524" s="69"/>
      <c r="S524">
        <f>'TMIS CA'!A515</f>
        <v>9714</v>
      </c>
      <c r="T524" t="str">
        <f>T('TMIS CA'!B515)</f>
        <v/>
      </c>
      <c r="U524" t="s">
        <v>4290</v>
      </c>
      <c r="V524" t="str">
        <f t="shared" si="67"/>
        <v/>
      </c>
      <c r="W524" t="str">
        <f t="shared" ref="W524:W587" si="74">IF(U524="Vacant",IF(T524="","","Please Notify - Channel Added"),"")</f>
        <v/>
      </c>
    </row>
    <row r="525" spans="1:23">
      <c r="A525">
        <f>'IPTV US'!A516</f>
        <v>10782</v>
      </c>
      <c r="B525" t="str">
        <f>T('IPTV US'!B516)</f>
        <v>Crimes Cults Killers</v>
      </c>
      <c r="C525" t="s">
        <v>4288</v>
      </c>
      <c r="D525" t="str">
        <f t="shared" si="68"/>
        <v/>
      </c>
      <c r="E525" t="str">
        <f t="shared" si="69"/>
        <v/>
      </c>
      <c r="F525" s="68" t="s">
        <v>4289</v>
      </c>
      <c r="G525">
        <f>'IPTV CA'!A516</f>
        <v>11115</v>
      </c>
      <c r="H525" t="str">
        <f>T('IPTV CA'!B516)</f>
        <v/>
      </c>
      <c r="I525" t="s">
        <v>4290</v>
      </c>
      <c r="J525" t="str">
        <f t="shared" si="70"/>
        <v/>
      </c>
      <c r="K525" t="str">
        <f t="shared" si="72"/>
        <v/>
      </c>
      <c r="L525" s="69"/>
      <c r="M525">
        <f>'TMIS US'!A516</f>
        <v>9382</v>
      </c>
      <c r="N525" t="str">
        <f>T('TMIS US'!B516)</f>
        <v>Crimes Cults Killers</v>
      </c>
      <c r="O525" t="s">
        <v>4288</v>
      </c>
      <c r="P525" t="str">
        <f t="shared" si="71"/>
        <v/>
      </c>
      <c r="Q525" t="str">
        <f t="shared" si="73"/>
        <v/>
      </c>
      <c r="R525" s="69"/>
      <c r="S525">
        <f>'TMIS CA'!A516</f>
        <v>9715</v>
      </c>
      <c r="T525" t="str">
        <f>T('TMIS CA'!B516)</f>
        <v/>
      </c>
      <c r="U525" t="s">
        <v>4290</v>
      </c>
      <c r="V525" t="str">
        <f t="shared" si="67"/>
        <v/>
      </c>
      <c r="W525" t="str">
        <f t="shared" si="74"/>
        <v/>
      </c>
    </row>
    <row r="526" spans="1:23">
      <c r="A526">
        <f>'IPTV US'!A517</f>
        <v>10783</v>
      </c>
      <c r="B526" t="str">
        <f>T('IPTV US'!B517)</f>
        <v>American Crimes</v>
      </c>
      <c r="C526" t="s">
        <v>4288</v>
      </c>
      <c r="D526" t="str">
        <f t="shared" si="68"/>
        <v/>
      </c>
      <c r="E526" t="str">
        <f t="shared" si="69"/>
        <v/>
      </c>
      <c r="F526" s="68" t="s">
        <v>4289</v>
      </c>
      <c r="G526">
        <f>'IPTV CA'!A517</f>
        <v>11116</v>
      </c>
      <c r="H526" t="str">
        <f>T('IPTV CA'!B517)</f>
        <v>Real Wild</v>
      </c>
      <c r="I526" t="s">
        <v>4288</v>
      </c>
      <c r="J526" t="str">
        <f t="shared" si="70"/>
        <v/>
      </c>
      <c r="K526" t="str">
        <f t="shared" si="72"/>
        <v/>
      </c>
      <c r="L526" s="69"/>
      <c r="M526">
        <f>'TMIS US'!A517</f>
        <v>9383</v>
      </c>
      <c r="N526" t="str">
        <f>T('TMIS US'!B517)</f>
        <v>American Crimes</v>
      </c>
      <c r="O526" t="s">
        <v>4288</v>
      </c>
      <c r="P526" t="str">
        <f t="shared" si="71"/>
        <v/>
      </c>
      <c r="Q526" t="str">
        <f t="shared" si="73"/>
        <v/>
      </c>
      <c r="R526" s="69"/>
      <c r="S526">
        <f>'TMIS CA'!A517</f>
        <v>9716</v>
      </c>
      <c r="T526" t="str">
        <f>T('TMIS CA'!B517)</f>
        <v>Real Wild</v>
      </c>
      <c r="U526" t="s">
        <v>4288</v>
      </c>
      <c r="V526" t="str">
        <f t="shared" ref="V526:V589" si="75">IF(U526="Active",IF(T526="","Please Notify - Channel Removed",""),"")</f>
        <v/>
      </c>
      <c r="W526" t="str">
        <f t="shared" si="74"/>
        <v/>
      </c>
    </row>
    <row r="527" spans="1:23">
      <c r="A527">
        <f>'IPTV US'!A518</f>
        <v>10784</v>
      </c>
      <c r="B527" t="str">
        <f>T('IPTV US'!B518)</f>
        <v>Mysteria</v>
      </c>
      <c r="C527" t="s">
        <v>4288</v>
      </c>
      <c r="D527" t="str">
        <f t="shared" si="68"/>
        <v/>
      </c>
      <c r="E527" t="str">
        <f t="shared" si="69"/>
        <v/>
      </c>
      <c r="F527" s="68" t="s">
        <v>4289</v>
      </c>
      <c r="G527">
        <f>'IPTV CA'!A518</f>
        <v>11117</v>
      </c>
      <c r="H527" t="str">
        <f>T('IPTV CA'!B518)</f>
        <v>WildEarth</v>
      </c>
      <c r="I527" t="s">
        <v>4288</v>
      </c>
      <c r="J527" t="str">
        <f t="shared" si="70"/>
        <v/>
      </c>
      <c r="K527" t="str">
        <f t="shared" si="72"/>
        <v/>
      </c>
      <c r="L527" s="69"/>
      <c r="M527">
        <f>'TMIS US'!A518</f>
        <v>9384</v>
      </c>
      <c r="N527" t="str">
        <f>T('TMIS US'!B518)</f>
        <v>Mysteria</v>
      </c>
      <c r="O527" t="s">
        <v>4288</v>
      </c>
      <c r="P527" t="str">
        <f t="shared" si="71"/>
        <v/>
      </c>
      <c r="Q527" t="str">
        <f t="shared" si="73"/>
        <v/>
      </c>
      <c r="R527" s="69"/>
      <c r="S527">
        <f>'TMIS CA'!A518</f>
        <v>9717</v>
      </c>
      <c r="T527" t="str">
        <f>T('TMIS CA'!B518)</f>
        <v>WildEarth</v>
      </c>
      <c r="U527" t="s">
        <v>4288</v>
      </c>
      <c r="V527" t="str">
        <f t="shared" si="75"/>
        <v/>
      </c>
      <c r="W527" t="str">
        <f t="shared" si="74"/>
        <v/>
      </c>
    </row>
    <row r="528" spans="1:23">
      <c r="A528">
        <f>'IPTV US'!A519</f>
        <v>10785</v>
      </c>
      <c r="B528" t="str">
        <f>T('IPTV US'!B519)</f>
        <v>TV One Crime &amp; Justice</v>
      </c>
      <c r="C528" t="s">
        <v>4288</v>
      </c>
      <c r="D528" t="str">
        <f t="shared" si="68"/>
        <v/>
      </c>
      <c r="E528" t="str">
        <f t="shared" si="69"/>
        <v/>
      </c>
      <c r="F528" s="68" t="s">
        <v>4289</v>
      </c>
      <c r="G528">
        <f>'IPTV CA'!A519</f>
        <v>11118</v>
      </c>
      <c r="H528" t="str">
        <f>T('IPTV CA'!B519)</f>
        <v>Go Wild</v>
      </c>
      <c r="I528" t="s">
        <v>4288</v>
      </c>
      <c r="J528" t="str">
        <f t="shared" si="70"/>
        <v/>
      </c>
      <c r="K528" t="str">
        <f t="shared" si="72"/>
        <v/>
      </c>
      <c r="L528" s="69"/>
      <c r="M528">
        <f>'TMIS US'!A519</f>
        <v>9385</v>
      </c>
      <c r="N528" t="str">
        <f>T('TMIS US'!B519)</f>
        <v>TV One Crime &amp; Justice</v>
      </c>
      <c r="O528" t="s">
        <v>4288</v>
      </c>
      <c r="P528" t="str">
        <f t="shared" si="71"/>
        <v/>
      </c>
      <c r="Q528" t="str">
        <f t="shared" si="73"/>
        <v/>
      </c>
      <c r="R528" s="69"/>
      <c r="S528">
        <f>'TMIS CA'!A519</f>
        <v>9718</v>
      </c>
      <c r="T528" t="str">
        <f>T('TMIS CA'!B519)</f>
        <v>Go Wild</v>
      </c>
      <c r="U528" t="s">
        <v>4288</v>
      </c>
      <c r="V528" t="str">
        <f t="shared" si="75"/>
        <v/>
      </c>
      <c r="W528" t="str">
        <f t="shared" si="74"/>
        <v/>
      </c>
    </row>
    <row r="529" spans="1:23">
      <c r="A529">
        <f>'IPTV US'!A520</f>
        <v>10786</v>
      </c>
      <c r="B529" t="str">
        <f>T('IPTV US'!B520)</f>
        <v>Designated Survivor</v>
      </c>
      <c r="C529" t="s">
        <v>4288</v>
      </c>
      <c r="D529" t="str">
        <f t="shared" si="68"/>
        <v/>
      </c>
      <c r="E529" t="str">
        <f t="shared" si="69"/>
        <v/>
      </c>
      <c r="F529" s="68" t="s">
        <v>4289</v>
      </c>
      <c r="G529">
        <f>'IPTV CA'!A520</f>
        <v>11119</v>
      </c>
      <c r="H529" t="str">
        <f>T('IPTV CA'!B520)</f>
        <v/>
      </c>
      <c r="I529" t="s">
        <v>4290</v>
      </c>
      <c r="J529" t="str">
        <f t="shared" si="70"/>
        <v/>
      </c>
      <c r="K529" t="str">
        <f t="shared" si="72"/>
        <v/>
      </c>
      <c r="L529" s="69"/>
      <c r="M529">
        <f>'TMIS US'!A520</f>
        <v>9386</v>
      </c>
      <c r="N529" t="str">
        <f>T('TMIS US'!B520)</f>
        <v>Designated Survivor</v>
      </c>
      <c r="O529" t="s">
        <v>4288</v>
      </c>
      <c r="P529" t="str">
        <f t="shared" si="71"/>
        <v/>
      </c>
      <c r="Q529" t="str">
        <f t="shared" si="73"/>
        <v/>
      </c>
      <c r="R529" s="69"/>
      <c r="S529">
        <f>'TMIS CA'!A520</f>
        <v>9719</v>
      </c>
      <c r="T529" t="str">
        <f>T('TMIS CA'!B520)</f>
        <v/>
      </c>
      <c r="U529" t="s">
        <v>4290</v>
      </c>
      <c r="V529" t="str">
        <f t="shared" si="75"/>
        <v/>
      </c>
      <c r="W529" t="str">
        <f t="shared" si="74"/>
        <v/>
      </c>
    </row>
    <row r="530" spans="1:23">
      <c r="A530">
        <f>'IPTV US'!A521</f>
        <v>10787</v>
      </c>
      <c r="B530" t="str">
        <f>T('IPTV US'!B521)</f>
        <v/>
      </c>
      <c r="C530" t="s">
        <v>4290</v>
      </c>
      <c r="D530" t="str">
        <f t="shared" si="68"/>
        <v/>
      </c>
      <c r="E530" t="str">
        <f t="shared" si="69"/>
        <v/>
      </c>
      <c r="F530" s="68" t="s">
        <v>4289</v>
      </c>
      <c r="G530">
        <f>'IPTV CA'!A521</f>
        <v>11120</v>
      </c>
      <c r="H530" t="str">
        <f>T('IPTV CA'!B521)</f>
        <v/>
      </c>
      <c r="I530" t="s">
        <v>4290</v>
      </c>
      <c r="J530" t="str">
        <f t="shared" si="70"/>
        <v/>
      </c>
      <c r="K530" t="str">
        <f t="shared" si="72"/>
        <v/>
      </c>
      <c r="L530" s="69"/>
      <c r="M530">
        <f>'TMIS US'!A521</f>
        <v>9387</v>
      </c>
      <c r="N530" t="str">
        <f>T('TMIS US'!B521)</f>
        <v/>
      </c>
      <c r="O530" t="s">
        <v>4290</v>
      </c>
      <c r="P530" t="str">
        <f t="shared" si="71"/>
        <v/>
      </c>
      <c r="Q530" t="str">
        <f t="shared" si="73"/>
        <v/>
      </c>
      <c r="R530" s="69"/>
      <c r="S530">
        <f>'TMIS CA'!A521</f>
        <v>9720</v>
      </c>
      <c r="T530" t="str">
        <f>T('TMIS CA'!B521)</f>
        <v/>
      </c>
      <c r="U530" t="s">
        <v>4290</v>
      </c>
      <c r="V530" t="str">
        <f t="shared" si="75"/>
        <v/>
      </c>
      <c r="W530" t="str">
        <f t="shared" si="74"/>
        <v/>
      </c>
    </row>
    <row r="531" spans="1:23">
      <c r="A531">
        <f>'IPTV US'!A522</f>
        <v>10788</v>
      </c>
      <c r="B531" t="str">
        <f>T('IPTV US'!B522)</f>
        <v/>
      </c>
      <c r="C531" t="s">
        <v>4290</v>
      </c>
      <c r="D531" t="str">
        <f t="shared" si="68"/>
        <v/>
      </c>
      <c r="E531" t="str">
        <f t="shared" si="69"/>
        <v/>
      </c>
      <c r="F531" s="68" t="s">
        <v>4289</v>
      </c>
      <c r="G531">
        <f>'IPTV CA'!A522</f>
        <v>11121</v>
      </c>
      <c r="H531" t="str">
        <f>T('IPTV CA'!B522)</f>
        <v>Top Gear</v>
      </c>
      <c r="I531" t="s">
        <v>4288</v>
      </c>
      <c r="J531" t="str">
        <f t="shared" si="70"/>
        <v/>
      </c>
      <c r="K531" t="str">
        <f t="shared" si="72"/>
        <v/>
      </c>
      <c r="L531" s="69"/>
      <c r="M531">
        <f>'TMIS US'!A522</f>
        <v>9388</v>
      </c>
      <c r="N531" t="str">
        <f>T('TMIS US'!B522)</f>
        <v/>
      </c>
      <c r="O531" t="s">
        <v>4290</v>
      </c>
      <c r="P531" t="str">
        <f t="shared" si="71"/>
        <v/>
      </c>
      <c r="Q531" t="str">
        <f t="shared" si="73"/>
        <v/>
      </c>
      <c r="R531" s="69"/>
      <c r="S531">
        <f>'TMIS CA'!A522</f>
        <v>9721</v>
      </c>
      <c r="T531" t="str">
        <f>T('TMIS CA'!B522)</f>
        <v>Top Gear</v>
      </c>
      <c r="U531" t="s">
        <v>4288</v>
      </c>
      <c r="V531" t="str">
        <f t="shared" si="75"/>
        <v/>
      </c>
      <c r="W531" t="str">
        <f t="shared" si="74"/>
        <v/>
      </c>
    </row>
    <row r="532" spans="1:23">
      <c r="A532">
        <f>'IPTV US'!A523</f>
        <v>10789</v>
      </c>
      <c r="B532" t="str">
        <f>T('IPTV US'!B523)</f>
        <v>CW Forever</v>
      </c>
      <c r="C532" t="s">
        <v>4288</v>
      </c>
      <c r="D532" t="str">
        <f t="shared" si="68"/>
        <v/>
      </c>
      <c r="E532" t="str">
        <f t="shared" si="69"/>
        <v/>
      </c>
      <c r="F532" s="68" t="s">
        <v>4289</v>
      </c>
      <c r="G532">
        <f>'IPTV CA'!A523</f>
        <v>11122</v>
      </c>
      <c r="H532" t="str">
        <f>T('IPTV CA'!B523)</f>
        <v/>
      </c>
      <c r="I532" t="s">
        <v>4290</v>
      </c>
      <c r="J532" t="str">
        <f t="shared" si="70"/>
        <v/>
      </c>
      <c r="K532" t="str">
        <f t="shared" si="72"/>
        <v/>
      </c>
      <c r="L532" s="69"/>
      <c r="M532">
        <f>'TMIS US'!A523</f>
        <v>9389</v>
      </c>
      <c r="N532" t="str">
        <f>T('TMIS US'!B523)</f>
        <v>CW Forever</v>
      </c>
      <c r="O532" t="s">
        <v>4288</v>
      </c>
      <c r="P532" t="str">
        <f t="shared" si="71"/>
        <v/>
      </c>
      <c r="Q532" t="str">
        <f t="shared" si="73"/>
        <v/>
      </c>
      <c r="R532" s="69"/>
      <c r="S532">
        <f>'TMIS CA'!A523</f>
        <v>9722</v>
      </c>
      <c r="T532" t="str">
        <f>T('TMIS CA'!B523)</f>
        <v/>
      </c>
      <c r="U532" t="s">
        <v>4290</v>
      </c>
      <c r="V532" t="str">
        <f t="shared" si="75"/>
        <v/>
      </c>
      <c r="W532" t="str">
        <f t="shared" si="74"/>
        <v/>
      </c>
    </row>
    <row r="533" spans="1:23">
      <c r="A533">
        <f>'IPTV US'!A524</f>
        <v>10790</v>
      </c>
      <c r="B533" t="str">
        <f>T('IPTV US'!B524)</f>
        <v>CW Gold</v>
      </c>
      <c r="C533" t="s">
        <v>4288</v>
      </c>
      <c r="D533" t="str">
        <f t="shared" si="68"/>
        <v/>
      </c>
      <c r="E533" t="str">
        <f t="shared" si="69"/>
        <v/>
      </c>
      <c r="F533" s="68" t="s">
        <v>4289</v>
      </c>
      <c r="G533">
        <f>'IPTV CA'!A524</f>
        <v>11123</v>
      </c>
      <c r="H533" t="str">
        <f>T('IPTV CA'!B524)</f>
        <v/>
      </c>
      <c r="I533" t="s">
        <v>4290</v>
      </c>
      <c r="J533" t="str">
        <f t="shared" si="70"/>
        <v/>
      </c>
      <c r="K533" t="str">
        <f t="shared" si="72"/>
        <v/>
      </c>
      <c r="L533" s="69"/>
      <c r="M533">
        <f>'TMIS US'!A524</f>
        <v>9390</v>
      </c>
      <c r="N533" t="str">
        <f>T('TMIS US'!B524)</f>
        <v>CW Gold</v>
      </c>
      <c r="O533" t="s">
        <v>4288</v>
      </c>
      <c r="P533" t="str">
        <f t="shared" si="71"/>
        <v/>
      </c>
      <c r="Q533" t="str">
        <f t="shared" si="73"/>
        <v/>
      </c>
      <c r="R533" s="69"/>
      <c r="S533">
        <f>'TMIS CA'!A524</f>
        <v>9723</v>
      </c>
      <c r="T533" t="str">
        <f>T('TMIS CA'!B524)</f>
        <v/>
      </c>
      <c r="U533" t="s">
        <v>4290</v>
      </c>
      <c r="V533" t="str">
        <f t="shared" si="75"/>
        <v/>
      </c>
      <c r="W533" t="str">
        <f t="shared" si="74"/>
        <v/>
      </c>
    </row>
    <row r="534" spans="1:23">
      <c r="A534">
        <f>'IPTV US'!A525</f>
        <v>10791</v>
      </c>
      <c r="B534" t="str">
        <f>T('IPTV US'!B525)</f>
        <v>Weeds</v>
      </c>
      <c r="C534" t="s">
        <v>4288</v>
      </c>
      <c r="D534" t="str">
        <f t="shared" si="68"/>
        <v/>
      </c>
      <c r="E534" t="str">
        <f t="shared" si="69"/>
        <v/>
      </c>
      <c r="F534" s="68" t="s">
        <v>4289</v>
      </c>
      <c r="G534">
        <f>'IPTV CA'!A525</f>
        <v>11124</v>
      </c>
      <c r="H534" t="str">
        <f>T('IPTV CA'!B525)</f>
        <v>Motorvision TV</v>
      </c>
      <c r="I534" t="s">
        <v>4288</v>
      </c>
      <c r="J534" t="str">
        <f t="shared" si="70"/>
        <v/>
      </c>
      <c r="K534" t="str">
        <f t="shared" si="72"/>
        <v/>
      </c>
      <c r="L534" s="69"/>
      <c r="M534">
        <f>'TMIS US'!A525</f>
        <v>9391</v>
      </c>
      <c r="N534" t="str">
        <f>T('TMIS US'!B525)</f>
        <v>Weeds</v>
      </c>
      <c r="O534" t="s">
        <v>4288</v>
      </c>
      <c r="P534" t="str">
        <f t="shared" si="71"/>
        <v/>
      </c>
      <c r="Q534" t="str">
        <f t="shared" si="73"/>
        <v/>
      </c>
      <c r="R534" s="69"/>
      <c r="S534">
        <f>'TMIS CA'!A525</f>
        <v>9724</v>
      </c>
      <c r="T534" t="str">
        <f>T('TMIS CA'!B525)</f>
        <v>Motorvision TV</v>
      </c>
      <c r="U534" t="s">
        <v>4288</v>
      </c>
      <c r="V534" t="str">
        <f t="shared" si="75"/>
        <v/>
      </c>
      <c r="W534" t="str">
        <f t="shared" si="74"/>
        <v/>
      </c>
    </row>
    <row r="535" spans="1:23">
      <c r="A535">
        <f>'IPTV US'!A526</f>
        <v>10792</v>
      </c>
      <c r="B535" t="str">
        <f>T('IPTV US'!B526)</f>
        <v/>
      </c>
      <c r="C535" t="s">
        <v>4290</v>
      </c>
      <c r="D535" t="str">
        <f t="shared" si="68"/>
        <v/>
      </c>
      <c r="E535" t="str">
        <f t="shared" si="69"/>
        <v/>
      </c>
      <c r="F535" s="68" t="s">
        <v>4289</v>
      </c>
      <c r="G535">
        <f>'IPTV CA'!A526</f>
        <v>11125</v>
      </c>
      <c r="H535" t="str">
        <f>T('IPTV CA'!B526)</f>
        <v>Motorsport.tv</v>
      </c>
      <c r="I535" t="s">
        <v>4288</v>
      </c>
      <c r="J535" t="str">
        <f t="shared" si="70"/>
        <v/>
      </c>
      <c r="K535" t="str">
        <f t="shared" si="72"/>
        <v/>
      </c>
      <c r="L535" s="69"/>
      <c r="M535">
        <f>'TMIS US'!A526</f>
        <v>9392</v>
      </c>
      <c r="N535" t="str">
        <f>T('TMIS US'!B526)</f>
        <v/>
      </c>
      <c r="O535" t="s">
        <v>4290</v>
      </c>
      <c r="P535" t="str">
        <f t="shared" si="71"/>
        <v/>
      </c>
      <c r="Q535" t="str">
        <f t="shared" si="73"/>
        <v/>
      </c>
      <c r="R535" s="69"/>
      <c r="S535">
        <f>'TMIS CA'!A526</f>
        <v>9725</v>
      </c>
      <c r="T535" t="str">
        <f>T('TMIS CA'!B526)</f>
        <v>=HYPERLINK("http://motorsport.tv/";"Motorsport.tv")</v>
      </c>
      <c r="U535" t="s">
        <v>4288</v>
      </c>
      <c r="V535" t="str">
        <f t="shared" si="75"/>
        <v/>
      </c>
      <c r="W535" t="str">
        <f t="shared" si="74"/>
        <v/>
      </c>
    </row>
    <row r="536" spans="1:23">
      <c r="A536">
        <f>'IPTV US'!A527</f>
        <v>10793</v>
      </c>
      <c r="B536" t="str">
        <f>T('IPTV US'!B527)</f>
        <v/>
      </c>
      <c r="C536" t="s">
        <v>4290</v>
      </c>
      <c r="D536" t="str">
        <f t="shared" si="68"/>
        <v/>
      </c>
      <c r="E536" t="str">
        <f t="shared" si="69"/>
        <v/>
      </c>
      <c r="F536" s="68" t="s">
        <v>4289</v>
      </c>
      <c r="G536">
        <f>'IPTV CA'!A527</f>
        <v>11126</v>
      </c>
      <c r="H536" t="str">
        <f>T('IPTV CA'!B527)</f>
        <v>Fifth Gear (UK)</v>
      </c>
      <c r="I536" t="s">
        <v>4288</v>
      </c>
      <c r="J536" t="str">
        <f t="shared" si="70"/>
        <v/>
      </c>
      <c r="K536" t="str">
        <f t="shared" si="72"/>
        <v/>
      </c>
      <c r="L536" s="69"/>
      <c r="M536">
        <f>'TMIS US'!A527</f>
        <v>9393</v>
      </c>
      <c r="N536" t="str">
        <f>T('TMIS US'!B527)</f>
        <v/>
      </c>
      <c r="O536" t="s">
        <v>4290</v>
      </c>
      <c r="P536" t="str">
        <f t="shared" si="71"/>
        <v/>
      </c>
      <c r="Q536" t="str">
        <f t="shared" si="73"/>
        <v/>
      </c>
      <c r="R536" s="69"/>
      <c r="S536">
        <f>'TMIS CA'!A527</f>
        <v>9726</v>
      </c>
      <c r="T536" t="str">
        <f>T('TMIS CA'!B527)</f>
        <v>Fifth Gear (UK)</v>
      </c>
      <c r="U536" t="s">
        <v>4288</v>
      </c>
      <c r="V536" t="str">
        <f t="shared" si="75"/>
        <v/>
      </c>
      <c r="W536" t="str">
        <f t="shared" si="74"/>
        <v/>
      </c>
    </row>
    <row r="537" spans="1:23">
      <c r="A537">
        <f>'IPTV US'!A528</f>
        <v>10794</v>
      </c>
      <c r="B537" t="str">
        <f>T('IPTV US'!B528)</f>
        <v>Britbox Mysteries</v>
      </c>
      <c r="C537" t="s">
        <v>4288</v>
      </c>
      <c r="D537" t="str">
        <f t="shared" si="68"/>
        <v/>
      </c>
      <c r="E537" t="str">
        <f t="shared" si="69"/>
        <v/>
      </c>
      <c r="F537" s="68" t="s">
        <v>4289</v>
      </c>
      <c r="G537">
        <f>'IPTV CA'!A528</f>
        <v>11127</v>
      </c>
      <c r="H537" t="str">
        <f>T('IPTV CA'!B528)</f>
        <v>SPEEDVISION</v>
      </c>
      <c r="I537" t="s">
        <v>4288</v>
      </c>
      <c r="J537" t="str">
        <f t="shared" si="70"/>
        <v/>
      </c>
      <c r="K537" t="str">
        <f t="shared" si="72"/>
        <v/>
      </c>
      <c r="L537" s="69"/>
      <c r="M537">
        <f>'TMIS US'!A528</f>
        <v>9394</v>
      </c>
      <c r="N537" t="str">
        <f>T('TMIS US'!B528)</f>
        <v>Britbox Mysteries</v>
      </c>
      <c r="O537" t="s">
        <v>4288</v>
      </c>
      <c r="P537" t="str">
        <f t="shared" si="71"/>
        <v/>
      </c>
      <c r="Q537" t="str">
        <f t="shared" si="73"/>
        <v/>
      </c>
      <c r="R537" s="69"/>
      <c r="S537">
        <f>'TMIS CA'!A528</f>
        <v>9727</v>
      </c>
      <c r="T537" t="str">
        <f>T('TMIS CA'!B528)</f>
        <v>SPEEDVISION</v>
      </c>
      <c r="U537" t="s">
        <v>4288</v>
      </c>
      <c r="V537" t="str">
        <f t="shared" si="75"/>
        <v/>
      </c>
      <c r="W537" t="str">
        <f t="shared" si="74"/>
        <v/>
      </c>
    </row>
    <row r="538" spans="1:23">
      <c r="A538">
        <f>'IPTV US'!A529</f>
        <v>10795</v>
      </c>
      <c r="B538" t="str">
        <f>T('IPTV US'!B529)</f>
        <v>A Touch of Frost</v>
      </c>
      <c r="C538" t="s">
        <v>4288</v>
      </c>
      <c r="D538" t="str">
        <f t="shared" si="68"/>
        <v/>
      </c>
      <c r="E538" t="str">
        <f t="shared" si="69"/>
        <v/>
      </c>
      <c r="F538" s="68" t="s">
        <v>4289</v>
      </c>
      <c r="G538">
        <f>'IPTV CA'!A529</f>
        <v>11128</v>
      </c>
      <c r="H538" t="str">
        <f>T('IPTV CA'!B529)</f>
        <v>Monster Jam</v>
      </c>
      <c r="I538" t="s">
        <v>4288</v>
      </c>
      <c r="J538" t="str">
        <f t="shared" si="70"/>
        <v/>
      </c>
      <c r="K538" t="str">
        <f t="shared" si="72"/>
        <v/>
      </c>
      <c r="L538" s="69"/>
      <c r="M538">
        <f>'TMIS US'!A529</f>
        <v>9395</v>
      </c>
      <c r="N538" t="str">
        <f>T('TMIS US'!B529)</f>
        <v>A Touch of Frost</v>
      </c>
      <c r="O538" t="s">
        <v>4288</v>
      </c>
      <c r="P538" t="str">
        <f t="shared" si="71"/>
        <v/>
      </c>
      <c r="Q538" t="str">
        <f t="shared" si="73"/>
        <v/>
      </c>
      <c r="R538" s="69"/>
      <c r="S538">
        <f>'TMIS CA'!A529</f>
        <v>9728</v>
      </c>
      <c r="T538" t="str">
        <f>T('TMIS CA'!B529)</f>
        <v>Monster Jam</v>
      </c>
      <c r="U538" t="s">
        <v>4288</v>
      </c>
      <c r="V538" t="str">
        <f t="shared" si="75"/>
        <v/>
      </c>
      <c r="W538" t="str">
        <f t="shared" si="74"/>
        <v/>
      </c>
    </row>
    <row r="539" spans="1:23">
      <c r="A539">
        <f>'IPTV US'!A530</f>
        <v>10796</v>
      </c>
      <c r="B539" t="str">
        <f>T('IPTV US'!B530)</f>
        <v>The Doctor Blake Mysteries</v>
      </c>
      <c r="C539" t="s">
        <v>4288</v>
      </c>
      <c r="D539" t="str">
        <f t="shared" si="68"/>
        <v/>
      </c>
      <c r="E539" t="str">
        <f t="shared" si="69"/>
        <v/>
      </c>
      <c r="F539" s="68" t="s">
        <v>4289</v>
      </c>
      <c r="G539">
        <f>'IPTV CA'!A530</f>
        <v>11129</v>
      </c>
      <c r="H539" t="str">
        <f>T('IPTV CA'!B530)</f>
        <v/>
      </c>
      <c r="I539" t="s">
        <v>4290</v>
      </c>
      <c r="J539" t="str">
        <f t="shared" si="70"/>
        <v/>
      </c>
      <c r="K539" t="str">
        <f t="shared" si="72"/>
        <v/>
      </c>
      <c r="L539" s="69"/>
      <c r="M539">
        <f>'TMIS US'!A530</f>
        <v>9396</v>
      </c>
      <c r="N539" t="str">
        <f>T('TMIS US'!B530)</f>
        <v>The Doctor Blake Mysteries</v>
      </c>
      <c r="O539" t="s">
        <v>4288</v>
      </c>
      <c r="P539" t="str">
        <f t="shared" si="71"/>
        <v/>
      </c>
      <c r="Q539" t="str">
        <f t="shared" si="73"/>
        <v/>
      </c>
      <c r="R539" s="69"/>
      <c r="S539">
        <f>'TMIS CA'!A530</f>
        <v>9729</v>
      </c>
      <c r="T539" t="str">
        <f>T('TMIS CA'!B530)</f>
        <v/>
      </c>
      <c r="U539" t="s">
        <v>4290</v>
      </c>
      <c r="V539" t="str">
        <f t="shared" si="75"/>
        <v/>
      </c>
      <c r="W539" t="str">
        <f t="shared" si="74"/>
        <v/>
      </c>
    </row>
    <row r="540" spans="1:23">
      <c r="A540">
        <f>'IPTV US'!A531</f>
        <v>10797</v>
      </c>
      <c r="B540" t="str">
        <f>T('IPTV US'!B531)</f>
        <v>Prime Suspect</v>
      </c>
      <c r="C540" t="s">
        <v>4288</v>
      </c>
      <c r="D540" t="str">
        <f t="shared" si="68"/>
        <v/>
      </c>
      <c r="E540" t="str">
        <f t="shared" si="69"/>
        <v/>
      </c>
      <c r="F540" s="68" t="s">
        <v>4289</v>
      </c>
      <c r="G540">
        <f>'IPTV CA'!A531</f>
        <v>11130</v>
      </c>
      <c r="H540" t="str">
        <f>T('IPTV CA'!B531)</f>
        <v/>
      </c>
      <c r="I540" t="s">
        <v>4290</v>
      </c>
      <c r="J540" t="str">
        <f t="shared" si="70"/>
        <v/>
      </c>
      <c r="K540" t="str">
        <f t="shared" si="72"/>
        <v/>
      </c>
      <c r="L540" s="69"/>
      <c r="M540">
        <f>'TMIS US'!A531</f>
        <v>9397</v>
      </c>
      <c r="N540" t="str">
        <f>T('TMIS US'!B531)</f>
        <v>Prime Suspect</v>
      </c>
      <c r="O540" t="s">
        <v>4288</v>
      </c>
      <c r="P540" t="str">
        <f t="shared" si="71"/>
        <v/>
      </c>
      <c r="Q540" t="str">
        <f t="shared" si="73"/>
        <v/>
      </c>
      <c r="R540" s="69"/>
      <c r="S540">
        <f>'TMIS CA'!A531</f>
        <v>9730</v>
      </c>
      <c r="T540" t="str">
        <f>T('TMIS CA'!B531)</f>
        <v/>
      </c>
      <c r="U540" t="s">
        <v>4290</v>
      </c>
      <c r="V540" t="str">
        <f t="shared" si="75"/>
        <v/>
      </c>
      <c r="W540" t="str">
        <f t="shared" si="74"/>
        <v/>
      </c>
    </row>
    <row r="541" spans="1:23">
      <c r="A541">
        <f>'IPTV US'!A532</f>
        <v>10798</v>
      </c>
      <c r="B541" t="str">
        <f>T('IPTV US'!B532)</f>
        <v>Crime ThrillHer</v>
      </c>
      <c r="C541" t="s">
        <v>4288</v>
      </c>
      <c r="D541" t="str">
        <f t="shared" si="68"/>
        <v/>
      </c>
      <c r="E541" t="str">
        <f t="shared" si="69"/>
        <v/>
      </c>
      <c r="F541" s="68" t="s">
        <v>4289</v>
      </c>
      <c r="G541">
        <f>'IPTV CA'!A532</f>
        <v>11131</v>
      </c>
      <c r="H541" t="str">
        <f>T('IPTV CA'!B532)</f>
        <v>Racing America</v>
      </c>
      <c r="I541" t="s">
        <v>4288</v>
      </c>
      <c r="J541" t="str">
        <f t="shared" si="70"/>
        <v/>
      </c>
      <c r="K541" t="str">
        <f t="shared" si="72"/>
        <v/>
      </c>
      <c r="L541" s="69"/>
      <c r="M541">
        <f>'TMIS US'!A532</f>
        <v>9398</v>
      </c>
      <c r="N541" t="str">
        <f>T('TMIS US'!B532)</f>
        <v>Crime ThrillHer</v>
      </c>
      <c r="O541" t="s">
        <v>4288</v>
      </c>
      <c r="P541" t="str">
        <f t="shared" si="71"/>
        <v/>
      </c>
      <c r="Q541" t="str">
        <f t="shared" si="73"/>
        <v/>
      </c>
      <c r="R541" s="69"/>
      <c r="S541">
        <f>'TMIS CA'!A532</f>
        <v>9731</v>
      </c>
      <c r="T541" t="str">
        <f>T('TMIS CA'!B532)</f>
        <v>Racing America</v>
      </c>
      <c r="U541" t="s">
        <v>4288</v>
      </c>
      <c r="V541" t="str">
        <f t="shared" si="75"/>
        <v/>
      </c>
      <c r="W541" t="str">
        <f t="shared" si="74"/>
        <v/>
      </c>
    </row>
    <row r="542" spans="1:23">
      <c r="A542">
        <f>'IPTV US'!A533</f>
        <v>10799</v>
      </c>
      <c r="B542" t="str">
        <f>T('IPTV US'!B533)</f>
        <v>FilmRise British TV</v>
      </c>
      <c r="C542" t="s">
        <v>4288</v>
      </c>
      <c r="D542" t="str">
        <f t="shared" si="68"/>
        <v/>
      </c>
      <c r="E542" t="str">
        <f t="shared" si="69"/>
        <v/>
      </c>
      <c r="F542" s="68" t="s">
        <v>4289</v>
      </c>
      <c r="G542">
        <f>'IPTV CA'!A533</f>
        <v>11132</v>
      </c>
      <c r="H542" t="str">
        <f>T('IPTV CA'!B533)</f>
        <v>MAVTV Select</v>
      </c>
      <c r="I542" t="s">
        <v>4288</v>
      </c>
      <c r="J542" t="str">
        <f t="shared" si="70"/>
        <v/>
      </c>
      <c r="K542" t="str">
        <f t="shared" si="72"/>
        <v/>
      </c>
      <c r="L542" s="69"/>
      <c r="M542">
        <f>'TMIS US'!A533</f>
        <v>9399</v>
      </c>
      <c r="N542" t="str">
        <f>T('TMIS US'!B533)</f>
        <v>FilmRise British TV</v>
      </c>
      <c r="O542" t="s">
        <v>4288</v>
      </c>
      <c r="P542" t="str">
        <f t="shared" si="71"/>
        <v/>
      </c>
      <c r="Q542" t="str">
        <f t="shared" si="73"/>
        <v/>
      </c>
      <c r="R542" s="69"/>
      <c r="S542">
        <f>'TMIS CA'!A533</f>
        <v>9732</v>
      </c>
      <c r="T542" t="str">
        <f>T('TMIS CA'!B533)</f>
        <v>MAVTV Select</v>
      </c>
      <c r="U542" t="s">
        <v>4288</v>
      </c>
      <c r="V542" t="str">
        <f t="shared" si="75"/>
        <v/>
      </c>
      <c r="W542" t="str">
        <f t="shared" si="74"/>
        <v/>
      </c>
    </row>
    <row r="543" spans="1:23">
      <c r="A543">
        <f>'IPTV US'!A534</f>
        <v>10800</v>
      </c>
      <c r="B543" t="str">
        <f>T('IPTV US'!B534)</f>
        <v/>
      </c>
      <c r="C543" t="s">
        <v>4290</v>
      </c>
      <c r="D543" t="str">
        <f t="shared" si="68"/>
        <v/>
      </c>
      <c r="E543" t="str">
        <f t="shared" si="69"/>
        <v/>
      </c>
      <c r="F543" s="68" t="s">
        <v>4289</v>
      </c>
      <c r="G543">
        <f>'IPTV CA'!A534</f>
        <v>11133</v>
      </c>
      <c r="H543" t="str">
        <f>T('IPTV CA'!B534)</f>
        <v>Choppertown</v>
      </c>
      <c r="I543" t="s">
        <v>4288</v>
      </c>
      <c r="J543" t="str">
        <f t="shared" si="70"/>
        <v/>
      </c>
      <c r="K543" t="str">
        <f t="shared" si="72"/>
        <v/>
      </c>
      <c r="L543" s="69"/>
      <c r="M543">
        <f>'TMIS US'!A534</f>
        <v>9400</v>
      </c>
      <c r="N543" t="str">
        <f>T('TMIS US'!B534)</f>
        <v/>
      </c>
      <c r="O543" t="s">
        <v>4290</v>
      </c>
      <c r="P543" t="str">
        <f t="shared" si="71"/>
        <v/>
      </c>
      <c r="Q543" t="str">
        <f t="shared" si="73"/>
        <v/>
      </c>
      <c r="R543" s="69"/>
      <c r="S543">
        <f>'TMIS CA'!A534</f>
        <v>9733</v>
      </c>
      <c r="T543" t="str">
        <f>T('TMIS CA'!B534)</f>
        <v>Choppertown</v>
      </c>
      <c r="U543" t="s">
        <v>4288</v>
      </c>
      <c r="V543" t="str">
        <f t="shared" si="75"/>
        <v/>
      </c>
      <c r="W543" t="str">
        <f t="shared" si="74"/>
        <v/>
      </c>
    </row>
    <row r="544" spans="1:23">
      <c r="A544">
        <f>'IPTV US'!A535</f>
        <v>10801</v>
      </c>
      <c r="B544" t="str">
        <f>T('IPTV US'!B535)</f>
        <v/>
      </c>
      <c r="C544" t="s">
        <v>4290</v>
      </c>
      <c r="D544" t="str">
        <f t="shared" si="68"/>
        <v/>
      </c>
      <c r="E544" t="str">
        <f t="shared" si="69"/>
        <v/>
      </c>
      <c r="F544" s="68" t="s">
        <v>4289</v>
      </c>
      <c r="G544">
        <f>'IPTV CA'!A535</f>
        <v>11134</v>
      </c>
      <c r="H544" t="str">
        <f>T('IPTV CA'!B535)</f>
        <v>NHRA TV</v>
      </c>
      <c r="I544" t="s">
        <v>4288</v>
      </c>
      <c r="J544" t="str">
        <f t="shared" si="70"/>
        <v/>
      </c>
      <c r="K544" t="str">
        <f t="shared" si="72"/>
        <v/>
      </c>
      <c r="L544" s="69"/>
      <c r="M544">
        <f>'TMIS US'!A535</f>
        <v>9401</v>
      </c>
      <c r="N544" t="str">
        <f>T('TMIS US'!B535)</f>
        <v/>
      </c>
      <c r="O544" t="s">
        <v>4290</v>
      </c>
      <c r="P544" t="str">
        <f t="shared" si="71"/>
        <v/>
      </c>
      <c r="Q544" t="str">
        <f t="shared" si="73"/>
        <v/>
      </c>
      <c r="R544" s="69"/>
      <c r="S544">
        <f>'TMIS CA'!A535</f>
        <v>9734</v>
      </c>
      <c r="T544" t="str">
        <f>T('TMIS CA'!B535)</f>
        <v>NHRA TV</v>
      </c>
      <c r="U544" t="s">
        <v>4288</v>
      </c>
      <c r="V544" t="str">
        <f t="shared" si="75"/>
        <v/>
      </c>
      <c r="W544" t="str">
        <f t="shared" si="74"/>
        <v/>
      </c>
    </row>
    <row r="545" spans="1:23">
      <c r="A545">
        <f>'IPTV US'!A536</f>
        <v>10802</v>
      </c>
      <c r="B545" t="str">
        <f>T('IPTV US'!B536)</f>
        <v>Horror Stories</v>
      </c>
      <c r="C545" t="s">
        <v>4288</v>
      </c>
      <c r="D545" t="str">
        <f t="shared" si="68"/>
        <v/>
      </c>
      <c r="E545" t="str">
        <f t="shared" si="69"/>
        <v/>
      </c>
      <c r="F545" s="68" t="s">
        <v>4289</v>
      </c>
      <c r="G545">
        <f>'IPTV CA'!A536</f>
        <v>11135</v>
      </c>
      <c r="H545" t="str">
        <f>T('IPTV CA'!B536)</f>
        <v/>
      </c>
      <c r="I545" t="s">
        <v>4290</v>
      </c>
      <c r="J545" t="str">
        <f t="shared" si="70"/>
        <v/>
      </c>
      <c r="K545" t="str">
        <f t="shared" si="72"/>
        <v/>
      </c>
      <c r="L545" s="69"/>
      <c r="M545">
        <f>'TMIS US'!A536</f>
        <v>9402</v>
      </c>
      <c r="N545" t="str">
        <f>T('TMIS US'!B536)</f>
        <v>Horror Stories</v>
      </c>
      <c r="O545" t="s">
        <v>4288</v>
      </c>
      <c r="P545" t="str">
        <f t="shared" si="71"/>
        <v/>
      </c>
      <c r="Q545" t="str">
        <f t="shared" si="73"/>
        <v/>
      </c>
      <c r="R545" s="69"/>
      <c r="S545">
        <f>'TMIS CA'!A536</f>
        <v>9735</v>
      </c>
      <c r="T545" t="str">
        <f>T('TMIS CA'!B536)</f>
        <v/>
      </c>
      <c r="U545" t="s">
        <v>4290</v>
      </c>
      <c r="V545" t="str">
        <f t="shared" si="75"/>
        <v/>
      </c>
      <c r="W545" t="str">
        <f t="shared" si="74"/>
        <v/>
      </c>
    </row>
    <row r="546" spans="1:23">
      <c r="A546">
        <f>'IPTV US'!A537</f>
        <v>10803</v>
      </c>
      <c r="B546" t="str">
        <f>T('IPTV US'!B537)</f>
        <v>Scream Factory TV</v>
      </c>
      <c r="C546" t="s">
        <v>4288</v>
      </c>
      <c r="D546" t="str">
        <f t="shared" si="68"/>
        <v/>
      </c>
      <c r="E546" t="str">
        <f t="shared" si="69"/>
        <v/>
      </c>
      <c r="F546" s="68" t="s">
        <v>4289</v>
      </c>
      <c r="G546">
        <f>'IPTV CA'!A537</f>
        <v>11136</v>
      </c>
      <c r="H546" t="str">
        <f>T('IPTV CA'!B537)</f>
        <v/>
      </c>
      <c r="I546" t="s">
        <v>4290</v>
      </c>
      <c r="J546" t="str">
        <f t="shared" si="70"/>
        <v/>
      </c>
      <c r="K546" t="str">
        <f t="shared" si="72"/>
        <v/>
      </c>
      <c r="L546" s="69"/>
      <c r="M546">
        <f>'TMIS US'!A537</f>
        <v>9403</v>
      </c>
      <c r="N546" t="str">
        <f>T('TMIS US'!B537)</f>
        <v>Scream Factory TV</v>
      </c>
      <c r="O546" t="s">
        <v>4288</v>
      </c>
      <c r="P546" t="str">
        <f t="shared" si="71"/>
        <v/>
      </c>
      <c r="Q546" t="str">
        <f t="shared" si="73"/>
        <v/>
      </c>
      <c r="R546" s="69"/>
      <c r="S546">
        <f>'TMIS CA'!A537</f>
        <v>9736</v>
      </c>
      <c r="T546" t="str">
        <f>T('TMIS CA'!B537)</f>
        <v/>
      </c>
      <c r="U546" t="s">
        <v>4290</v>
      </c>
      <c r="V546" t="str">
        <f t="shared" si="75"/>
        <v/>
      </c>
      <c r="W546" t="str">
        <f t="shared" si="74"/>
        <v/>
      </c>
    </row>
    <row r="547" spans="1:23">
      <c r="A547">
        <f>'IPTV US'!A538</f>
        <v>10804</v>
      </c>
      <c r="B547" t="str">
        <f>T('IPTV US'!B538)</f>
        <v>Screambox TV</v>
      </c>
      <c r="C547" t="s">
        <v>4288</v>
      </c>
      <c r="D547" t="str">
        <f t="shared" si="68"/>
        <v/>
      </c>
      <c r="E547" t="str">
        <f t="shared" si="69"/>
        <v/>
      </c>
      <c r="F547" s="68" t="s">
        <v>4289</v>
      </c>
      <c r="G547">
        <f>'IPTV CA'!A538</f>
        <v>11137</v>
      </c>
      <c r="H547" t="str">
        <f>T('IPTV CA'!B538)</f>
        <v/>
      </c>
      <c r="I547" t="s">
        <v>4290</v>
      </c>
      <c r="J547" t="str">
        <f t="shared" si="70"/>
        <v/>
      </c>
      <c r="K547" t="str">
        <f t="shared" si="72"/>
        <v/>
      </c>
      <c r="L547" s="69"/>
      <c r="M547">
        <f>'TMIS US'!A538</f>
        <v>9404</v>
      </c>
      <c r="N547" t="str">
        <f>T('TMIS US'!B538)</f>
        <v>Screambox TV</v>
      </c>
      <c r="O547" t="s">
        <v>4288</v>
      </c>
      <c r="P547" t="str">
        <f t="shared" si="71"/>
        <v/>
      </c>
      <c r="Q547" t="str">
        <f t="shared" si="73"/>
        <v/>
      </c>
      <c r="R547" s="69"/>
      <c r="S547">
        <f>'TMIS CA'!A538</f>
        <v>9737</v>
      </c>
      <c r="T547" t="str">
        <f>T('TMIS CA'!B538)</f>
        <v/>
      </c>
      <c r="U547" t="s">
        <v>4290</v>
      </c>
      <c r="V547" t="str">
        <f t="shared" si="75"/>
        <v/>
      </c>
      <c r="W547" t="str">
        <f t="shared" si="74"/>
        <v/>
      </c>
    </row>
    <row r="548" spans="1:23">
      <c r="A548">
        <f>'IPTV US'!A539</f>
        <v>10805</v>
      </c>
      <c r="B548" t="str">
        <f>T('IPTV US'!B539)</f>
        <v/>
      </c>
      <c r="C548" t="s">
        <v>4290</v>
      </c>
      <c r="D548" t="str">
        <f t="shared" si="68"/>
        <v/>
      </c>
      <c r="E548" t="str">
        <f t="shared" si="69"/>
        <v/>
      </c>
      <c r="F548" s="68" t="s">
        <v>4289</v>
      </c>
      <c r="G548">
        <f>'IPTV CA'!A539</f>
        <v>11138</v>
      </c>
      <c r="H548" t="str">
        <f>T('IPTV CA'!B539)</f>
        <v/>
      </c>
      <c r="I548" t="s">
        <v>4290</v>
      </c>
      <c r="J548" t="str">
        <f t="shared" si="70"/>
        <v/>
      </c>
      <c r="K548" t="str">
        <f t="shared" si="72"/>
        <v/>
      </c>
      <c r="L548" s="69"/>
      <c r="M548">
        <f>'TMIS US'!A539</f>
        <v>9405</v>
      </c>
      <c r="N548" t="str">
        <f>T('TMIS US'!B539)</f>
        <v/>
      </c>
      <c r="O548" t="s">
        <v>4290</v>
      </c>
      <c r="P548" t="str">
        <f t="shared" si="71"/>
        <v/>
      </c>
      <c r="Q548" t="str">
        <f t="shared" si="73"/>
        <v/>
      </c>
      <c r="R548" s="69"/>
      <c r="S548">
        <f>'TMIS CA'!A539</f>
        <v>9738</v>
      </c>
      <c r="T548" t="str">
        <f>T('TMIS CA'!B539)</f>
        <v/>
      </c>
      <c r="U548" t="s">
        <v>4290</v>
      </c>
      <c r="V548" t="str">
        <f t="shared" si="75"/>
        <v/>
      </c>
      <c r="W548" t="str">
        <f t="shared" si="74"/>
        <v/>
      </c>
    </row>
    <row r="549" spans="1:23">
      <c r="A549">
        <f>'IPTV US'!A540</f>
        <v>10806</v>
      </c>
      <c r="B549" t="str">
        <f>T('IPTV US'!B540)</f>
        <v>DREAD TV</v>
      </c>
      <c r="C549" t="s">
        <v>4288</v>
      </c>
      <c r="D549" t="str">
        <f t="shared" si="68"/>
        <v/>
      </c>
      <c r="E549" t="str">
        <f t="shared" si="69"/>
        <v/>
      </c>
      <c r="F549" s="68" t="s">
        <v>4289</v>
      </c>
      <c r="G549">
        <f>'IPTV CA'!A540</f>
        <v>11139</v>
      </c>
      <c r="H549" t="str">
        <f>T('IPTV CA'!B540)</f>
        <v>FIFA+</v>
      </c>
      <c r="I549" t="s">
        <v>4288</v>
      </c>
      <c r="J549" t="str">
        <f t="shared" si="70"/>
        <v/>
      </c>
      <c r="K549" t="str">
        <f t="shared" si="72"/>
        <v/>
      </c>
      <c r="L549" s="69"/>
      <c r="M549">
        <f>'TMIS US'!A540</f>
        <v>9406</v>
      </c>
      <c r="N549" t="str">
        <f>T('TMIS US'!B540)</f>
        <v>DREAD TV</v>
      </c>
      <c r="O549" t="s">
        <v>4288</v>
      </c>
      <c r="P549" t="str">
        <f t="shared" si="71"/>
        <v/>
      </c>
      <c r="Q549" t="str">
        <f t="shared" si="73"/>
        <v/>
      </c>
      <c r="R549" s="69"/>
      <c r="S549">
        <f>'TMIS CA'!A540</f>
        <v>9739</v>
      </c>
      <c r="T549" t="str">
        <f>T('TMIS CA'!B540)</f>
        <v>FIFA+</v>
      </c>
      <c r="U549" t="s">
        <v>4288</v>
      </c>
      <c r="V549" t="str">
        <f t="shared" si="75"/>
        <v/>
      </c>
      <c r="W549" t="str">
        <f t="shared" si="74"/>
        <v/>
      </c>
    </row>
    <row r="550" spans="1:23">
      <c r="A550">
        <f>'IPTV US'!A541</f>
        <v>10807</v>
      </c>
      <c r="B550" t="str">
        <f>T('IPTV US'!B541)</f>
        <v>Horror by ALTER</v>
      </c>
      <c r="C550" t="s">
        <v>4288</v>
      </c>
      <c r="D550" t="str">
        <f t="shared" si="68"/>
        <v/>
      </c>
      <c r="E550" t="str">
        <f t="shared" si="69"/>
        <v/>
      </c>
      <c r="F550" s="68" t="s">
        <v>4289</v>
      </c>
      <c r="G550">
        <f>'IPTV CA'!A541</f>
        <v>11140</v>
      </c>
      <c r="H550" t="str">
        <f>T('IPTV CA'!B541)</f>
        <v>Billiard TV</v>
      </c>
      <c r="I550" t="s">
        <v>4288</v>
      </c>
      <c r="J550" t="str">
        <f t="shared" si="70"/>
        <v/>
      </c>
      <c r="K550" t="str">
        <f t="shared" si="72"/>
        <v/>
      </c>
      <c r="L550" s="69"/>
      <c r="M550">
        <f>'TMIS US'!A541</f>
        <v>9407</v>
      </c>
      <c r="N550" t="str">
        <f>T('TMIS US'!B541)</f>
        <v>Horror by ALTER</v>
      </c>
      <c r="O550" t="s">
        <v>4288</v>
      </c>
      <c r="P550" t="str">
        <f t="shared" si="71"/>
        <v/>
      </c>
      <c r="Q550" t="str">
        <f t="shared" si="73"/>
        <v/>
      </c>
      <c r="R550" s="69"/>
      <c r="S550">
        <f>'TMIS CA'!A541</f>
        <v>9740</v>
      </c>
      <c r="T550" t="str">
        <f>T('TMIS CA'!B541)</f>
        <v>Billiard TV</v>
      </c>
      <c r="U550" t="s">
        <v>4288</v>
      </c>
      <c r="V550" t="str">
        <f t="shared" si="75"/>
        <v/>
      </c>
      <c r="W550" t="str">
        <f t="shared" si="74"/>
        <v/>
      </c>
    </row>
    <row r="551" spans="1:23">
      <c r="A551">
        <f>'IPTV US'!A542</f>
        <v>10808</v>
      </c>
      <c r="B551" t="str">
        <f>T('IPTV US'!B542)</f>
        <v>FilmRise Horror</v>
      </c>
      <c r="C551" t="s">
        <v>4288</v>
      </c>
      <c r="D551" t="str">
        <f t="shared" si="68"/>
        <v/>
      </c>
      <c r="E551" t="str">
        <f t="shared" si="69"/>
        <v/>
      </c>
      <c r="F551" s="68" t="s">
        <v>4289</v>
      </c>
      <c r="G551">
        <f>'IPTV CA'!A542</f>
        <v>11141</v>
      </c>
      <c r="H551" t="str">
        <f>T('IPTV CA'!B542)</f>
        <v>The World Poker Tour</v>
      </c>
      <c r="I551" t="s">
        <v>4288</v>
      </c>
      <c r="J551" t="str">
        <f t="shared" si="70"/>
        <v/>
      </c>
      <c r="K551" t="str">
        <f t="shared" si="72"/>
        <v/>
      </c>
      <c r="L551" s="69"/>
      <c r="M551">
        <f>'TMIS US'!A542</f>
        <v>9408</v>
      </c>
      <c r="N551" t="str">
        <f>T('TMIS US'!B542)</f>
        <v>FilmRise Horror</v>
      </c>
      <c r="O551" t="s">
        <v>4288</v>
      </c>
      <c r="P551" t="str">
        <f t="shared" si="71"/>
        <v/>
      </c>
      <c r="Q551" t="str">
        <f t="shared" si="73"/>
        <v/>
      </c>
      <c r="R551" s="69"/>
      <c r="S551">
        <f>'TMIS CA'!A542</f>
        <v>9741</v>
      </c>
      <c r="T551" t="str">
        <f>T('TMIS CA'!B542)</f>
        <v>The World Poker Tour</v>
      </c>
      <c r="U551" t="s">
        <v>4288</v>
      </c>
      <c r="V551" t="str">
        <f t="shared" si="75"/>
        <v/>
      </c>
      <c r="W551" t="str">
        <f t="shared" si="74"/>
        <v/>
      </c>
    </row>
    <row r="552" spans="1:23">
      <c r="A552">
        <f>'IPTV US'!A543</f>
        <v>10809</v>
      </c>
      <c r="B552" t="str">
        <f>T('IPTV US'!B543)</f>
        <v>FrightFlix</v>
      </c>
      <c r="C552" t="s">
        <v>4288</v>
      </c>
      <c r="D552" t="str">
        <f t="shared" si="68"/>
        <v/>
      </c>
      <c r="E552" t="str">
        <f t="shared" si="69"/>
        <v/>
      </c>
      <c r="F552" s="68" t="s">
        <v>4289</v>
      </c>
      <c r="G552">
        <f>'IPTV CA'!A543</f>
        <v>11142</v>
      </c>
      <c r="H552" t="str">
        <f>T('IPTV CA'!B543)</f>
        <v/>
      </c>
      <c r="I552" t="s">
        <v>4290</v>
      </c>
      <c r="J552" t="str">
        <f t="shared" si="70"/>
        <v/>
      </c>
      <c r="K552" t="str">
        <f t="shared" si="72"/>
        <v/>
      </c>
      <c r="L552" s="69"/>
      <c r="M552">
        <f>'TMIS US'!A543</f>
        <v>9409</v>
      </c>
      <c r="N552" t="str">
        <f>T('TMIS US'!B543)</f>
        <v>FrightFlix</v>
      </c>
      <c r="O552" t="s">
        <v>4288</v>
      </c>
      <c r="P552" t="str">
        <f t="shared" si="71"/>
        <v/>
      </c>
      <c r="Q552" t="str">
        <f t="shared" si="73"/>
        <v/>
      </c>
      <c r="R552" s="69"/>
      <c r="S552">
        <f>'TMIS CA'!A543</f>
        <v>9742</v>
      </c>
      <c r="T552" t="str">
        <f>T('TMIS CA'!B543)</f>
        <v/>
      </c>
      <c r="U552" t="s">
        <v>4290</v>
      </c>
      <c r="V552" t="str">
        <f t="shared" si="75"/>
        <v/>
      </c>
      <c r="W552" t="str">
        <f t="shared" si="74"/>
        <v/>
      </c>
    </row>
    <row r="553" spans="1:23">
      <c r="A553">
        <f>'IPTV US'!A544</f>
        <v>10810</v>
      </c>
      <c r="B553" t="str">
        <f>T('IPTV US'!B544)</f>
        <v>Watch It Scream</v>
      </c>
      <c r="C553" t="s">
        <v>4288</v>
      </c>
      <c r="D553" t="str">
        <f t="shared" si="68"/>
        <v/>
      </c>
      <c r="E553" t="str">
        <f t="shared" si="69"/>
        <v/>
      </c>
      <c r="F553" s="68" t="s">
        <v>4289</v>
      </c>
      <c r="G553">
        <f>'IPTV CA'!A544</f>
        <v>11143</v>
      </c>
      <c r="H553" t="str">
        <f>T('IPTV CA'!B544)</f>
        <v/>
      </c>
      <c r="I553" t="s">
        <v>4290</v>
      </c>
      <c r="J553" t="str">
        <f t="shared" si="70"/>
        <v/>
      </c>
      <c r="K553" t="str">
        <f t="shared" si="72"/>
        <v/>
      </c>
      <c r="L553" s="69"/>
      <c r="M553">
        <f>'TMIS US'!A544</f>
        <v>9410</v>
      </c>
      <c r="N553" t="str">
        <f>T('TMIS US'!B544)</f>
        <v>Watch It Scream</v>
      </c>
      <c r="O553" t="s">
        <v>4288</v>
      </c>
      <c r="P553" t="str">
        <f t="shared" si="71"/>
        <v/>
      </c>
      <c r="Q553" t="str">
        <f t="shared" si="73"/>
        <v/>
      </c>
      <c r="R553" s="69"/>
      <c r="S553">
        <f>'TMIS CA'!A544</f>
        <v>9743</v>
      </c>
      <c r="T553" t="str">
        <f>T('TMIS CA'!B544)</f>
        <v/>
      </c>
      <c r="U553" t="s">
        <v>4290</v>
      </c>
      <c r="V553" t="str">
        <f t="shared" si="75"/>
        <v/>
      </c>
      <c r="W553" t="str">
        <f t="shared" si="74"/>
        <v/>
      </c>
    </row>
    <row r="554" spans="1:23">
      <c r="A554">
        <f>'IPTV US'!A545</f>
        <v>10811</v>
      </c>
      <c r="B554" t="str">
        <f>T('IPTV US'!B545)</f>
        <v/>
      </c>
      <c r="C554" t="s">
        <v>4290</v>
      </c>
      <c r="D554" t="str">
        <f t="shared" si="68"/>
        <v/>
      </c>
      <c r="E554" t="str">
        <f t="shared" si="69"/>
        <v/>
      </c>
      <c r="F554" s="68" t="s">
        <v>4289</v>
      </c>
      <c r="G554">
        <f>'IPTV CA'!A545</f>
        <v>11144</v>
      </c>
      <c r="H554" t="str">
        <f>T('IPTV CA'!B545)</f>
        <v/>
      </c>
      <c r="I554" t="s">
        <v>4290</v>
      </c>
      <c r="J554" t="str">
        <f t="shared" si="70"/>
        <v/>
      </c>
      <c r="K554" t="str">
        <f t="shared" si="72"/>
        <v/>
      </c>
      <c r="L554" s="69"/>
      <c r="M554">
        <f>'TMIS US'!A545</f>
        <v>9411</v>
      </c>
      <c r="N554" t="str">
        <f>T('TMIS US'!B545)</f>
        <v/>
      </c>
      <c r="O554" t="s">
        <v>4290</v>
      </c>
      <c r="P554" t="str">
        <f t="shared" si="71"/>
        <v/>
      </c>
      <c r="Q554" t="str">
        <f t="shared" si="73"/>
        <v/>
      </c>
      <c r="R554" s="69"/>
      <c r="S554">
        <f>'TMIS CA'!A545</f>
        <v>9744</v>
      </c>
      <c r="T554" t="str">
        <f>T('TMIS CA'!B545)</f>
        <v/>
      </c>
      <c r="U554" t="s">
        <v>4290</v>
      </c>
      <c r="V554" t="str">
        <f t="shared" si="75"/>
        <v/>
      </c>
      <c r="W554" t="str">
        <f t="shared" si="74"/>
        <v/>
      </c>
    </row>
    <row r="555" spans="1:23">
      <c r="A555">
        <f>'IPTV US'!A546</f>
        <v>10812</v>
      </c>
      <c r="B555" t="str">
        <f>T('IPTV US'!B546)</f>
        <v/>
      </c>
      <c r="C555" t="s">
        <v>4290</v>
      </c>
      <c r="D555" t="str">
        <f t="shared" si="68"/>
        <v/>
      </c>
      <c r="E555" t="str">
        <f t="shared" si="69"/>
        <v/>
      </c>
      <c r="F555" s="68" t="s">
        <v>4289</v>
      </c>
      <c r="G555">
        <f>'IPTV CA'!A546</f>
        <v>11145</v>
      </c>
      <c r="H555" t="str">
        <f>T('IPTV CA'!B546)</f>
        <v>Tennis+</v>
      </c>
      <c r="I555" t="s">
        <v>4288</v>
      </c>
      <c r="J555" t="str">
        <f t="shared" si="70"/>
        <v/>
      </c>
      <c r="K555" t="str">
        <f t="shared" si="72"/>
        <v/>
      </c>
      <c r="L555" s="69"/>
      <c r="M555">
        <f>'TMIS US'!A546</f>
        <v>9412</v>
      </c>
      <c r="N555" t="str">
        <f>T('TMIS US'!B546)</f>
        <v/>
      </c>
      <c r="O555" t="s">
        <v>4290</v>
      </c>
      <c r="P555" t="str">
        <f t="shared" si="71"/>
        <v/>
      </c>
      <c r="Q555" t="str">
        <f t="shared" si="73"/>
        <v/>
      </c>
      <c r="R555" s="69"/>
      <c r="S555">
        <f>'TMIS CA'!A546</f>
        <v>9745</v>
      </c>
      <c r="T555" t="str">
        <f>T('TMIS CA'!B546)</f>
        <v>Tennis+</v>
      </c>
      <c r="U555" t="s">
        <v>4288</v>
      </c>
      <c r="V555" t="str">
        <f t="shared" si="75"/>
        <v/>
      </c>
      <c r="W555" t="str">
        <f t="shared" si="74"/>
        <v/>
      </c>
    </row>
    <row r="556" spans="1:23">
      <c r="A556">
        <f>'IPTV US'!A547</f>
        <v>10813</v>
      </c>
      <c r="B556" t="str">
        <f>T('IPTV US'!B547)</f>
        <v>The Outpost</v>
      </c>
      <c r="C556" t="s">
        <v>4288</v>
      </c>
      <c r="D556" t="str">
        <f t="shared" si="68"/>
        <v/>
      </c>
      <c r="E556" t="str">
        <f t="shared" si="69"/>
        <v/>
      </c>
      <c r="F556" s="68" t="s">
        <v>4289</v>
      </c>
      <c r="G556">
        <f>'IPTV CA'!A547</f>
        <v>11146</v>
      </c>
      <c r="H556" t="str">
        <f>T('IPTV CA'!B547)</f>
        <v>PickleTV</v>
      </c>
      <c r="I556" t="s">
        <v>4288</v>
      </c>
      <c r="J556" t="str">
        <f t="shared" si="70"/>
        <v/>
      </c>
      <c r="K556" t="str">
        <f t="shared" si="72"/>
        <v/>
      </c>
      <c r="L556" s="69"/>
      <c r="M556">
        <f>'TMIS US'!A547</f>
        <v>9413</v>
      </c>
      <c r="N556" t="str">
        <f>T('TMIS US'!B547)</f>
        <v>The Outpost</v>
      </c>
      <c r="O556" t="s">
        <v>4288</v>
      </c>
      <c r="P556" t="str">
        <f t="shared" si="71"/>
        <v/>
      </c>
      <c r="Q556" t="str">
        <f t="shared" si="73"/>
        <v/>
      </c>
      <c r="R556" s="69"/>
      <c r="S556">
        <f>'TMIS CA'!A547</f>
        <v>9746</v>
      </c>
      <c r="T556" t="str">
        <f>T('TMIS CA'!B547)</f>
        <v>PickleTV</v>
      </c>
      <c r="U556" t="s">
        <v>4288</v>
      </c>
      <c r="V556" t="str">
        <f t="shared" si="75"/>
        <v/>
      </c>
      <c r="W556" t="str">
        <f t="shared" si="74"/>
        <v/>
      </c>
    </row>
    <row r="557" spans="1:23">
      <c r="A557">
        <f>'IPTV US'!A548</f>
        <v>10814</v>
      </c>
      <c r="B557" t="str">
        <f>T('IPTV US'!B548)</f>
        <v>The Librarians</v>
      </c>
      <c r="C557" t="s">
        <v>4288</v>
      </c>
      <c r="D557" t="str">
        <f t="shared" si="68"/>
        <v/>
      </c>
      <c r="E557" t="str">
        <f t="shared" si="69"/>
        <v/>
      </c>
      <c r="F557" s="68" t="s">
        <v>4289</v>
      </c>
      <c r="G557">
        <f>'IPTV CA'!A548</f>
        <v>11147</v>
      </c>
      <c r="H557" t="str">
        <f>T('IPTV CA'!B548)</f>
        <v>Women's Sports Network</v>
      </c>
      <c r="I557" t="s">
        <v>4288</v>
      </c>
      <c r="J557" t="str">
        <f t="shared" si="70"/>
        <v/>
      </c>
      <c r="K557" t="str">
        <f t="shared" si="72"/>
        <v/>
      </c>
      <c r="L557" s="69"/>
      <c r="M557">
        <f>'TMIS US'!A548</f>
        <v>9414</v>
      </c>
      <c r="N557" t="str">
        <f>T('TMIS US'!B548)</f>
        <v>The Librarians</v>
      </c>
      <c r="O557" t="s">
        <v>4288</v>
      </c>
      <c r="P557" t="str">
        <f t="shared" si="71"/>
        <v/>
      </c>
      <c r="Q557" t="str">
        <f t="shared" si="73"/>
        <v/>
      </c>
      <c r="R557" s="69"/>
      <c r="S557">
        <f>'TMIS CA'!A548</f>
        <v>9747</v>
      </c>
      <c r="T557" t="str">
        <f>T('TMIS CA'!B548)</f>
        <v>Women's Sports Network</v>
      </c>
      <c r="U557" t="s">
        <v>4288</v>
      </c>
      <c r="V557" t="str">
        <f t="shared" si="75"/>
        <v/>
      </c>
      <c r="W557" t="str">
        <f t="shared" si="74"/>
        <v/>
      </c>
    </row>
    <row r="558" spans="1:23">
      <c r="A558">
        <f>'IPTV US'!A549</f>
        <v>10815</v>
      </c>
      <c r="B558" t="str">
        <f>T('IPTV US'!B549)</f>
        <v>Farscape</v>
      </c>
      <c r="C558" t="s">
        <v>4288</v>
      </c>
      <c r="D558" t="str">
        <f t="shared" si="68"/>
        <v/>
      </c>
      <c r="E558" t="str">
        <f t="shared" si="69"/>
        <v/>
      </c>
      <c r="F558" s="68" t="s">
        <v>4289</v>
      </c>
      <c r="G558">
        <f>'IPTV CA'!A549</f>
        <v>11148</v>
      </c>
      <c r="H558" t="str">
        <f>T('IPTV CA'!B549)</f>
        <v>DP World Tour</v>
      </c>
      <c r="I558" t="s">
        <v>4288</v>
      </c>
      <c r="J558" t="str">
        <f t="shared" si="70"/>
        <v/>
      </c>
      <c r="K558" t="str">
        <f t="shared" si="72"/>
        <v/>
      </c>
      <c r="L558" s="69"/>
      <c r="M558">
        <f>'TMIS US'!A549</f>
        <v>9415</v>
      </c>
      <c r="N558" t="str">
        <f>T('TMIS US'!B549)</f>
        <v>Farscape</v>
      </c>
      <c r="O558" t="s">
        <v>4288</v>
      </c>
      <c r="P558" t="str">
        <f t="shared" si="71"/>
        <v/>
      </c>
      <c r="Q558" t="str">
        <f t="shared" si="73"/>
        <v/>
      </c>
      <c r="R558" s="69"/>
      <c r="S558">
        <f>'TMIS CA'!A549</f>
        <v>9748</v>
      </c>
      <c r="T558" t="str">
        <f>T('TMIS CA'!B549)</f>
        <v>DP World Tour</v>
      </c>
      <c r="U558" t="s">
        <v>4288</v>
      </c>
      <c r="V558" t="str">
        <f t="shared" si="75"/>
        <v/>
      </c>
      <c r="W558" t="str">
        <f t="shared" si="74"/>
        <v/>
      </c>
    </row>
    <row r="559" spans="1:23">
      <c r="A559">
        <f>'IPTV US'!A550</f>
        <v>10816</v>
      </c>
      <c r="B559" t="str">
        <f>T('IPTV US'!B550)</f>
        <v/>
      </c>
      <c r="C559" t="s">
        <v>4290</v>
      </c>
      <c r="D559" t="str">
        <f t="shared" si="68"/>
        <v/>
      </c>
      <c r="E559" t="str">
        <f t="shared" si="69"/>
        <v/>
      </c>
      <c r="F559" s="68" t="s">
        <v>4289</v>
      </c>
      <c r="G559">
        <f>'IPTV CA'!A550</f>
        <v>11149</v>
      </c>
      <c r="H559" t="str">
        <f>T('IPTV CA'!B550)</f>
        <v/>
      </c>
      <c r="I559" t="s">
        <v>4290</v>
      </c>
      <c r="J559" t="str">
        <f t="shared" si="70"/>
        <v/>
      </c>
      <c r="K559" t="str">
        <f t="shared" si="72"/>
        <v/>
      </c>
      <c r="L559" s="69"/>
      <c r="M559">
        <f>'TMIS US'!A550</f>
        <v>9416</v>
      </c>
      <c r="N559" t="str">
        <f>T('TMIS US'!B550)</f>
        <v/>
      </c>
      <c r="O559" t="s">
        <v>4290</v>
      </c>
      <c r="P559" t="str">
        <f t="shared" si="71"/>
        <v/>
      </c>
      <c r="Q559" t="str">
        <f t="shared" si="73"/>
        <v/>
      </c>
      <c r="R559" s="69"/>
      <c r="S559">
        <f>'TMIS CA'!A550</f>
        <v>9749</v>
      </c>
      <c r="T559" t="str">
        <f>T('TMIS CA'!B550)</f>
        <v/>
      </c>
      <c r="U559" t="s">
        <v>4290</v>
      </c>
      <c r="V559" t="str">
        <f t="shared" si="75"/>
        <v/>
      </c>
      <c r="W559" t="str">
        <f t="shared" si="74"/>
        <v/>
      </c>
    </row>
    <row r="560" spans="1:23">
      <c r="A560">
        <f>'IPTV US'!A551</f>
        <v>10817</v>
      </c>
      <c r="B560" t="str">
        <f>T('IPTV US'!B551)</f>
        <v/>
      </c>
      <c r="C560" t="s">
        <v>4290</v>
      </c>
      <c r="D560" t="str">
        <f t="shared" si="68"/>
        <v/>
      </c>
      <c r="E560" t="str">
        <f t="shared" si="69"/>
        <v/>
      </c>
      <c r="F560" s="68" t="s">
        <v>4289</v>
      </c>
      <c r="G560">
        <f>'IPTV CA'!A551</f>
        <v>11150</v>
      </c>
      <c r="H560" t="str">
        <f>T('IPTV CA'!B551)</f>
        <v>PokerGO</v>
      </c>
      <c r="I560" t="s">
        <v>4288</v>
      </c>
      <c r="J560" t="str">
        <f t="shared" si="70"/>
        <v/>
      </c>
      <c r="K560" t="str">
        <f t="shared" si="72"/>
        <v/>
      </c>
      <c r="L560" s="69"/>
      <c r="M560">
        <f>'TMIS US'!A551</f>
        <v>9417</v>
      </c>
      <c r="N560" t="str">
        <f>T('TMIS US'!B551)</f>
        <v/>
      </c>
      <c r="O560" t="s">
        <v>4290</v>
      </c>
      <c r="P560" t="str">
        <f t="shared" si="71"/>
        <v/>
      </c>
      <c r="Q560" t="str">
        <f t="shared" si="73"/>
        <v/>
      </c>
      <c r="R560" s="69"/>
      <c r="S560">
        <f>'TMIS CA'!A551</f>
        <v>9750</v>
      </c>
      <c r="T560" t="str">
        <f>T('TMIS CA'!B551)</f>
        <v>PokerGO</v>
      </c>
      <c r="U560" t="s">
        <v>4288</v>
      </c>
      <c r="V560" t="str">
        <f t="shared" si="75"/>
        <v/>
      </c>
      <c r="W560" t="str">
        <f t="shared" si="74"/>
        <v/>
      </c>
    </row>
    <row r="561" spans="1:23">
      <c r="A561">
        <f>'IPTV US'!A552</f>
        <v>10818</v>
      </c>
      <c r="B561" t="str">
        <f>T('IPTV US'!B552)</f>
        <v>BBC Sci-Fi</v>
      </c>
      <c r="C561" t="s">
        <v>4288</v>
      </c>
      <c r="D561" t="str">
        <f t="shared" si="68"/>
        <v/>
      </c>
      <c r="E561" t="str">
        <f t="shared" si="69"/>
        <v/>
      </c>
      <c r="F561" s="68" t="s">
        <v>4289</v>
      </c>
      <c r="G561">
        <f>'IPTV CA'!A552</f>
        <v>11151</v>
      </c>
      <c r="H561" t="str">
        <f>T('IPTV CA'!B552)</f>
        <v>Poker Night TV</v>
      </c>
      <c r="I561" t="s">
        <v>4288</v>
      </c>
      <c r="J561" t="str">
        <f t="shared" si="70"/>
        <v/>
      </c>
      <c r="K561" t="str">
        <f t="shared" si="72"/>
        <v/>
      </c>
      <c r="L561" s="69"/>
      <c r="M561">
        <f>'TMIS US'!A552</f>
        <v>9418</v>
      </c>
      <c r="N561" t="str">
        <f>T('TMIS US'!B552)</f>
        <v>BBC Sci-Fi</v>
      </c>
      <c r="O561" t="s">
        <v>4288</v>
      </c>
      <c r="P561" t="str">
        <f t="shared" si="71"/>
        <v/>
      </c>
      <c r="Q561" t="str">
        <f t="shared" si="73"/>
        <v/>
      </c>
      <c r="R561" s="69"/>
      <c r="S561">
        <f>'TMIS CA'!A552</f>
        <v>9751</v>
      </c>
      <c r="T561" t="str">
        <f>T('TMIS CA'!B552)</f>
        <v>Poker Night TV</v>
      </c>
      <c r="U561" t="s">
        <v>4288</v>
      </c>
      <c r="V561" t="str">
        <f t="shared" si="75"/>
        <v/>
      </c>
      <c r="W561" t="str">
        <f t="shared" si="74"/>
        <v/>
      </c>
    </row>
    <row r="562" spans="1:23">
      <c r="A562">
        <f>'IPTV US'!A553</f>
        <v>10819</v>
      </c>
      <c r="B562" t="str">
        <f>T('IPTV US'!B553)</f>
        <v>FilmRise Sci-Fi</v>
      </c>
      <c r="C562" t="s">
        <v>4288</v>
      </c>
      <c r="D562" t="str">
        <f t="shared" si="68"/>
        <v/>
      </c>
      <c r="E562" t="str">
        <f t="shared" si="69"/>
        <v/>
      </c>
      <c r="F562" s="68" t="s">
        <v>4289</v>
      </c>
      <c r="G562">
        <f>'IPTV CA'!A553</f>
        <v>11152</v>
      </c>
      <c r="H562" t="str">
        <f>T('IPTV CA'!B553)</f>
        <v/>
      </c>
      <c r="I562" t="s">
        <v>4290</v>
      </c>
      <c r="J562" t="str">
        <f t="shared" si="70"/>
        <v/>
      </c>
      <c r="K562" t="str">
        <f t="shared" si="72"/>
        <v/>
      </c>
      <c r="L562" s="69"/>
      <c r="M562">
        <f>'TMIS US'!A553</f>
        <v>9419</v>
      </c>
      <c r="N562" t="str">
        <f>T('TMIS US'!B553)</f>
        <v>FilmRise Sci-Fi</v>
      </c>
      <c r="O562" t="s">
        <v>4288</v>
      </c>
      <c r="P562" t="str">
        <f t="shared" si="71"/>
        <v/>
      </c>
      <c r="Q562" t="str">
        <f t="shared" si="73"/>
        <v/>
      </c>
      <c r="R562" s="69"/>
      <c r="S562">
        <f>'TMIS CA'!A553</f>
        <v>9752</v>
      </c>
      <c r="T562" t="str">
        <f>T('TMIS CA'!B553)</f>
        <v/>
      </c>
      <c r="U562" t="s">
        <v>4290</v>
      </c>
      <c r="V562" t="str">
        <f t="shared" si="75"/>
        <v/>
      </c>
      <c r="W562" t="str">
        <f t="shared" si="74"/>
        <v/>
      </c>
    </row>
    <row r="563" spans="1:23">
      <c r="A563">
        <f>'IPTV US'!A554</f>
        <v>10820</v>
      </c>
      <c r="B563" t="str">
        <f>T('IPTV US'!B554)</f>
        <v>Beyond Belief: Fact or Fiction</v>
      </c>
      <c r="C563" t="s">
        <v>4288</v>
      </c>
      <c r="D563" t="str">
        <f t="shared" si="68"/>
        <v/>
      </c>
      <c r="E563" t="str">
        <f t="shared" si="69"/>
        <v/>
      </c>
      <c r="F563" s="68" t="s">
        <v>4289</v>
      </c>
      <c r="G563">
        <f>'IPTV CA'!A554</f>
        <v>11153</v>
      </c>
      <c r="H563" t="str">
        <f>T('IPTV CA'!B554)</f>
        <v/>
      </c>
      <c r="I563" t="s">
        <v>4290</v>
      </c>
      <c r="J563" t="str">
        <f t="shared" si="70"/>
        <v/>
      </c>
      <c r="K563" t="str">
        <f t="shared" si="72"/>
        <v/>
      </c>
      <c r="L563" s="69"/>
      <c r="M563">
        <f>'TMIS US'!A554</f>
        <v>9420</v>
      </c>
      <c r="N563" t="str">
        <f>T('TMIS US'!B554)</f>
        <v>Beyond Belief: Fact or Fiction</v>
      </c>
      <c r="O563" t="s">
        <v>4288</v>
      </c>
      <c r="P563" t="str">
        <f t="shared" si="71"/>
        <v/>
      </c>
      <c r="Q563" t="str">
        <f t="shared" si="73"/>
        <v/>
      </c>
      <c r="R563" s="69"/>
      <c r="S563">
        <f>'TMIS CA'!A554</f>
        <v>9753</v>
      </c>
      <c r="T563" t="str">
        <f>T('TMIS CA'!B554)</f>
        <v/>
      </c>
      <c r="U563" t="s">
        <v>4290</v>
      </c>
      <c r="V563" t="str">
        <f t="shared" si="75"/>
        <v/>
      </c>
      <c r="W563" t="str">
        <f t="shared" si="74"/>
        <v/>
      </c>
    </row>
    <row r="564" spans="1:23">
      <c r="A564">
        <f>'IPTV US'!A555</f>
        <v>10821</v>
      </c>
      <c r="B564" t="str">
        <f>T('IPTV US'!B555)</f>
        <v>UnXplained Zone</v>
      </c>
      <c r="C564" t="s">
        <v>4288</v>
      </c>
      <c r="D564" t="str">
        <f t="shared" si="68"/>
        <v/>
      </c>
      <c r="E564" t="str">
        <f t="shared" si="69"/>
        <v/>
      </c>
      <c r="F564" s="68" t="s">
        <v>4289</v>
      </c>
      <c r="G564">
        <f>'IPTV CA'!A555</f>
        <v>11154</v>
      </c>
      <c r="H564" t="str">
        <f>T('IPTV CA'!B555)</f>
        <v>SportsGrid</v>
      </c>
      <c r="I564" t="s">
        <v>4288</v>
      </c>
      <c r="J564" t="str">
        <f t="shared" si="70"/>
        <v/>
      </c>
      <c r="K564" t="str">
        <f t="shared" si="72"/>
        <v/>
      </c>
      <c r="L564" s="69"/>
      <c r="M564">
        <f>'TMIS US'!A555</f>
        <v>9421</v>
      </c>
      <c r="N564" t="str">
        <f>T('TMIS US'!B555)</f>
        <v>UnXplained Zone</v>
      </c>
      <c r="O564" t="s">
        <v>4288</v>
      </c>
      <c r="P564" t="str">
        <f t="shared" si="71"/>
        <v/>
      </c>
      <c r="Q564" t="str">
        <f t="shared" si="73"/>
        <v/>
      </c>
      <c r="R564" s="69"/>
      <c r="S564">
        <f>'TMIS CA'!A555</f>
        <v>9754</v>
      </c>
      <c r="T564" t="str">
        <f>T('TMIS CA'!B555)</f>
        <v>SportsGrid</v>
      </c>
      <c r="U564" t="s">
        <v>4288</v>
      </c>
      <c r="V564" t="str">
        <f t="shared" si="75"/>
        <v/>
      </c>
      <c r="W564" t="str">
        <f t="shared" si="74"/>
        <v/>
      </c>
    </row>
    <row r="565" spans="1:23">
      <c r="A565">
        <f>'IPTV US'!A556</f>
        <v>10822</v>
      </c>
      <c r="B565" t="str">
        <f>T('IPTV US'!B556)</f>
        <v>Unidentified</v>
      </c>
      <c r="C565" t="s">
        <v>4288</v>
      </c>
      <c r="D565" t="str">
        <f t="shared" si="68"/>
        <v/>
      </c>
      <c r="E565" t="str">
        <f t="shared" si="69"/>
        <v/>
      </c>
      <c r="F565" s="68" t="s">
        <v>4289</v>
      </c>
      <c r="G565">
        <f>'IPTV CA'!A556</f>
        <v>11155</v>
      </c>
      <c r="H565" t="str">
        <f>T('IPTV CA'!B556)</f>
        <v>Wired2Fish</v>
      </c>
      <c r="I565" t="s">
        <v>4288</v>
      </c>
      <c r="J565" t="str">
        <f t="shared" si="70"/>
        <v/>
      </c>
      <c r="K565" t="str">
        <f t="shared" si="72"/>
        <v/>
      </c>
      <c r="L565" s="69"/>
      <c r="M565">
        <f>'TMIS US'!A556</f>
        <v>9422</v>
      </c>
      <c r="N565" t="str">
        <f>T('TMIS US'!B556)</f>
        <v>Unidentified</v>
      </c>
      <c r="O565" t="s">
        <v>4288</v>
      </c>
      <c r="P565" t="str">
        <f t="shared" si="71"/>
        <v/>
      </c>
      <c r="Q565" t="str">
        <f t="shared" si="73"/>
        <v/>
      </c>
      <c r="R565" s="69"/>
      <c r="S565">
        <f>'TMIS CA'!A556</f>
        <v>9755</v>
      </c>
      <c r="T565" t="str">
        <f>T('TMIS CA'!B556)</f>
        <v>Wired2Fish</v>
      </c>
      <c r="U565" t="s">
        <v>4288</v>
      </c>
      <c r="V565" t="str">
        <f t="shared" si="75"/>
        <v/>
      </c>
      <c r="W565" t="str">
        <f t="shared" si="74"/>
        <v/>
      </c>
    </row>
    <row r="566" spans="1:23">
      <c r="A566">
        <f>'IPTV US'!A557</f>
        <v>10823</v>
      </c>
      <c r="B566" t="str">
        <f>T('IPTV US'!B557)</f>
        <v>Unexplained</v>
      </c>
      <c r="C566" t="s">
        <v>4288</v>
      </c>
      <c r="D566" t="str">
        <f t="shared" si="68"/>
        <v/>
      </c>
      <c r="E566" t="str">
        <f t="shared" si="69"/>
        <v/>
      </c>
      <c r="F566" s="68" t="s">
        <v>4289</v>
      </c>
      <c r="G566">
        <f>'IPTV CA'!A557</f>
        <v>11156</v>
      </c>
      <c r="H566" t="str">
        <f>T('IPTV CA'!B557)</f>
        <v>TSN The Ocho</v>
      </c>
      <c r="I566" t="s">
        <v>4288</v>
      </c>
      <c r="J566" t="str">
        <f t="shared" si="70"/>
        <v/>
      </c>
      <c r="K566" t="str">
        <f t="shared" si="72"/>
        <v/>
      </c>
      <c r="L566" s="69"/>
      <c r="M566">
        <f>'TMIS US'!A557</f>
        <v>9423</v>
      </c>
      <c r="N566" t="str">
        <f>T('TMIS US'!B557)</f>
        <v/>
      </c>
      <c r="O566" t="s">
        <v>4290</v>
      </c>
      <c r="P566" t="str">
        <f t="shared" si="71"/>
        <v/>
      </c>
      <c r="Q566" t="str">
        <f t="shared" si="73"/>
        <v/>
      </c>
      <c r="R566" s="69"/>
      <c r="S566">
        <f>'TMIS CA'!A557</f>
        <v>9756</v>
      </c>
      <c r="T566" t="str">
        <f>T('TMIS CA'!B557)</f>
        <v>TSN The Ocho</v>
      </c>
      <c r="U566" t="s">
        <v>4288</v>
      </c>
      <c r="V566" t="str">
        <f t="shared" si="75"/>
        <v/>
      </c>
      <c r="W566" t="str">
        <f t="shared" si="74"/>
        <v/>
      </c>
    </row>
    <row r="567" spans="1:23">
      <c r="A567">
        <f>'IPTV US'!A558</f>
        <v>10824</v>
      </c>
      <c r="B567" t="str">
        <f>T('IPTV US'!B558)</f>
        <v>Ghosts Are Real</v>
      </c>
      <c r="C567" t="s">
        <v>4288</v>
      </c>
      <c r="D567" t="str">
        <f t="shared" si="68"/>
        <v/>
      </c>
      <c r="E567" t="str">
        <f t="shared" si="69"/>
        <v/>
      </c>
      <c r="F567" s="68" t="s">
        <v>4289</v>
      </c>
      <c r="G567">
        <f>'IPTV CA'!A558</f>
        <v>11157</v>
      </c>
      <c r="H567" t="str">
        <f>T('IPTV CA'!B558)</f>
        <v>Court Sports Network</v>
      </c>
      <c r="I567" t="s">
        <v>4288</v>
      </c>
      <c r="J567" t="str">
        <f t="shared" si="70"/>
        <v/>
      </c>
      <c r="K567" t="str">
        <f t="shared" si="72"/>
        <v/>
      </c>
      <c r="L567" s="69"/>
      <c r="M567">
        <f>'TMIS US'!A558</f>
        <v>9424</v>
      </c>
      <c r="N567" t="str">
        <f>T('TMIS US'!B558)</f>
        <v>Ghosts Are Real</v>
      </c>
      <c r="O567" t="s">
        <v>4288</v>
      </c>
      <c r="P567" t="str">
        <f t="shared" si="71"/>
        <v/>
      </c>
      <c r="Q567" t="str">
        <f t="shared" si="73"/>
        <v/>
      </c>
      <c r="R567" s="69"/>
      <c r="S567">
        <f>'TMIS CA'!A558</f>
        <v>9757</v>
      </c>
      <c r="T567" t="str">
        <f>T('TMIS CA'!B558)</f>
        <v>Court Sports Network</v>
      </c>
      <c r="U567" t="s">
        <v>4288</v>
      </c>
      <c r="V567" t="str">
        <f t="shared" si="75"/>
        <v/>
      </c>
      <c r="W567" t="str">
        <f t="shared" si="74"/>
        <v/>
      </c>
    </row>
    <row r="568" spans="1:23">
      <c r="A568">
        <f>'IPTV US'!A559</f>
        <v>10825</v>
      </c>
      <c r="B568" t="str">
        <f>T('IPTV US'!B559)</f>
        <v/>
      </c>
      <c r="C568" t="s">
        <v>4290</v>
      </c>
      <c r="D568" t="str">
        <f t="shared" si="68"/>
        <v/>
      </c>
      <c r="E568" t="str">
        <f t="shared" si="69"/>
        <v/>
      </c>
      <c r="F568" s="68" t="s">
        <v>4289</v>
      </c>
      <c r="G568">
        <f>'IPTV CA'!A559</f>
        <v>11158</v>
      </c>
      <c r="H568" t="str">
        <f>T('IPTV CA'!B559)</f>
        <v/>
      </c>
      <c r="I568" t="s">
        <v>4290</v>
      </c>
      <c r="J568" t="str">
        <f t="shared" si="70"/>
        <v/>
      </c>
      <c r="K568" t="str">
        <f t="shared" si="72"/>
        <v/>
      </c>
      <c r="L568" s="69"/>
      <c r="M568">
        <f>'TMIS US'!A559</f>
        <v>9425</v>
      </c>
      <c r="N568" t="str">
        <f>T('TMIS US'!B559)</f>
        <v/>
      </c>
      <c r="O568" t="s">
        <v>4290</v>
      </c>
      <c r="P568" t="str">
        <f t="shared" si="71"/>
        <v/>
      </c>
      <c r="Q568" t="str">
        <f t="shared" si="73"/>
        <v/>
      </c>
      <c r="R568" s="69"/>
      <c r="S568">
        <f>'TMIS CA'!A559</f>
        <v>9758</v>
      </c>
      <c r="T568" t="str">
        <f>T('TMIS CA'!B559)</f>
        <v/>
      </c>
      <c r="U568" t="s">
        <v>4290</v>
      </c>
      <c r="V568" t="str">
        <f t="shared" si="75"/>
        <v/>
      </c>
      <c r="W568" t="str">
        <f t="shared" si="74"/>
        <v/>
      </c>
    </row>
    <row r="569" spans="1:23">
      <c r="A569">
        <f>'IPTV US'!A560</f>
        <v>10826</v>
      </c>
      <c r="B569" t="str">
        <f>T('IPTV US'!B560)</f>
        <v/>
      </c>
      <c r="C569" t="s">
        <v>4290</v>
      </c>
      <c r="D569" t="str">
        <f t="shared" si="68"/>
        <v/>
      </c>
      <c r="E569" t="str">
        <f t="shared" si="69"/>
        <v/>
      </c>
      <c r="F569" s="68" t="s">
        <v>4289</v>
      </c>
      <c r="G569">
        <f>'IPTV CA'!A560</f>
        <v>11159</v>
      </c>
      <c r="H569" t="str">
        <f>T('IPTV CA'!B560)</f>
        <v/>
      </c>
      <c r="I569" t="s">
        <v>4290</v>
      </c>
      <c r="J569" t="str">
        <f t="shared" si="70"/>
        <v/>
      </c>
      <c r="K569" t="str">
        <f t="shared" si="72"/>
        <v/>
      </c>
      <c r="L569" s="69"/>
      <c r="M569">
        <f>'TMIS US'!A560</f>
        <v>9426</v>
      </c>
      <c r="N569" t="str">
        <f>T('TMIS US'!B560)</f>
        <v/>
      </c>
      <c r="O569" t="s">
        <v>4290</v>
      </c>
      <c r="P569" t="str">
        <f t="shared" si="71"/>
        <v/>
      </c>
      <c r="Q569" t="str">
        <f t="shared" si="73"/>
        <v/>
      </c>
      <c r="R569" s="69"/>
      <c r="S569">
        <f>'TMIS CA'!A560</f>
        <v>9759</v>
      </c>
      <c r="T569" t="str">
        <f>T('TMIS CA'!B560)</f>
        <v/>
      </c>
      <c r="U569" t="s">
        <v>4290</v>
      </c>
      <c r="V569" t="str">
        <f t="shared" si="75"/>
        <v/>
      </c>
      <c r="W569" t="str">
        <f t="shared" si="74"/>
        <v/>
      </c>
    </row>
    <row r="570" spans="1:23">
      <c r="A570">
        <f>'IPTV US'!A561</f>
        <v>10827</v>
      </c>
      <c r="B570" t="str">
        <f>T('IPTV US'!B561)</f>
        <v>SNL Vault</v>
      </c>
      <c r="C570" t="s">
        <v>4288</v>
      </c>
      <c r="D570" t="str">
        <f t="shared" si="68"/>
        <v/>
      </c>
      <c r="E570" t="str">
        <f t="shared" si="69"/>
        <v/>
      </c>
      <c r="F570" s="68" t="s">
        <v>4289</v>
      </c>
      <c r="G570">
        <f>'IPTV CA'!A561</f>
        <v>11160</v>
      </c>
      <c r="H570" t="str">
        <f>T('IPTV CA'!B561)</f>
        <v>UFC</v>
      </c>
      <c r="I570" t="s">
        <v>4288</v>
      </c>
      <c r="J570" t="str">
        <f t="shared" si="70"/>
        <v/>
      </c>
      <c r="K570" t="str">
        <f t="shared" si="72"/>
        <v/>
      </c>
      <c r="L570" s="69"/>
      <c r="M570">
        <f>'TMIS US'!A561</f>
        <v>9427</v>
      </c>
      <c r="N570" t="str">
        <f>T('TMIS US'!B561)</f>
        <v>SNL Vault</v>
      </c>
      <c r="O570" t="s">
        <v>4288</v>
      </c>
      <c r="P570" t="str">
        <f t="shared" si="71"/>
        <v/>
      </c>
      <c r="Q570" t="str">
        <f t="shared" si="73"/>
        <v/>
      </c>
      <c r="R570" s="69"/>
      <c r="S570">
        <f>'TMIS CA'!A561</f>
        <v>9760</v>
      </c>
      <c r="T570" t="str">
        <f>T('TMIS CA'!B561)</f>
        <v>UFC</v>
      </c>
      <c r="U570" t="s">
        <v>4288</v>
      </c>
      <c r="V570" t="str">
        <f t="shared" si="75"/>
        <v/>
      </c>
      <c r="W570" t="str">
        <f t="shared" si="74"/>
        <v/>
      </c>
    </row>
    <row r="571" spans="1:23">
      <c r="A571">
        <f>'IPTV US'!A562</f>
        <v>10828</v>
      </c>
      <c r="B571" t="str">
        <f>T('IPTV US'!B562)</f>
        <v>Kim's Convenience</v>
      </c>
      <c r="C571" t="s">
        <v>4288</v>
      </c>
      <c r="D571" t="str">
        <f t="shared" si="68"/>
        <v/>
      </c>
      <c r="E571" t="str">
        <f t="shared" si="69"/>
        <v/>
      </c>
      <c r="F571" s="68" t="s">
        <v>4289</v>
      </c>
      <c r="G571">
        <f>'IPTV CA'!A562</f>
        <v>11161</v>
      </c>
      <c r="H571" t="str">
        <f>T('IPTV CA'!B562)</f>
        <v>PFL MMA</v>
      </c>
      <c r="I571" t="s">
        <v>4288</v>
      </c>
      <c r="J571" t="str">
        <f t="shared" si="70"/>
        <v/>
      </c>
      <c r="K571" t="str">
        <f t="shared" si="72"/>
        <v/>
      </c>
      <c r="L571" s="69"/>
      <c r="M571">
        <f>'TMIS US'!A562</f>
        <v>9428</v>
      </c>
      <c r="N571" t="str">
        <f>T('TMIS US'!B562)</f>
        <v>Kim's Convenience</v>
      </c>
      <c r="O571" t="s">
        <v>4288</v>
      </c>
      <c r="P571" t="str">
        <f t="shared" si="71"/>
        <v/>
      </c>
      <c r="Q571" t="str">
        <f t="shared" si="73"/>
        <v/>
      </c>
      <c r="R571" s="69"/>
      <c r="S571">
        <f>'TMIS CA'!A562</f>
        <v>9761</v>
      </c>
      <c r="T571" t="str">
        <f>T('TMIS CA'!B562)</f>
        <v>PFL MMA</v>
      </c>
      <c r="U571" t="s">
        <v>4288</v>
      </c>
      <c r="V571" t="str">
        <f t="shared" si="75"/>
        <v/>
      </c>
      <c r="W571" t="str">
        <f t="shared" si="74"/>
        <v/>
      </c>
    </row>
    <row r="572" spans="1:23">
      <c r="A572">
        <f>'IPTV US'!A563</f>
        <v>10829</v>
      </c>
      <c r="B572" t="str">
        <f>T('IPTV US'!B563)</f>
        <v/>
      </c>
      <c r="C572" t="s">
        <v>4290</v>
      </c>
      <c r="D572" t="str">
        <f t="shared" si="68"/>
        <v/>
      </c>
      <c r="E572" t="str">
        <f t="shared" si="69"/>
        <v/>
      </c>
      <c r="F572" s="68" t="s">
        <v>4289</v>
      </c>
      <c r="G572">
        <f>'IPTV CA'!A563</f>
        <v>11162</v>
      </c>
      <c r="H572" t="str">
        <f>T('IPTV CA'!B563)</f>
        <v/>
      </c>
      <c r="I572" t="s">
        <v>4290</v>
      </c>
      <c r="J572" t="str">
        <f t="shared" si="70"/>
        <v/>
      </c>
      <c r="K572" t="str">
        <f t="shared" si="72"/>
        <v/>
      </c>
      <c r="L572" s="69"/>
      <c r="M572">
        <f>'TMIS US'!A563</f>
        <v>9429</v>
      </c>
      <c r="N572" t="str">
        <f>T('TMIS US'!B563)</f>
        <v/>
      </c>
      <c r="O572" t="s">
        <v>4290</v>
      </c>
      <c r="P572" t="str">
        <f t="shared" si="71"/>
        <v/>
      </c>
      <c r="Q572" t="str">
        <f t="shared" si="73"/>
        <v/>
      </c>
      <c r="R572" s="69"/>
      <c r="S572">
        <f>'TMIS CA'!A563</f>
        <v>9762</v>
      </c>
      <c r="T572" t="str">
        <f>T('TMIS CA'!B563)</f>
        <v/>
      </c>
      <c r="U572" t="s">
        <v>4290</v>
      </c>
      <c r="V572" t="str">
        <f t="shared" si="75"/>
        <v/>
      </c>
      <c r="W572" t="str">
        <f t="shared" si="74"/>
        <v/>
      </c>
    </row>
    <row r="573" spans="1:23">
      <c r="A573">
        <f>'IPTV US'!A564</f>
        <v>10830</v>
      </c>
      <c r="B573" t="str">
        <f>T('IPTV US'!B564)</f>
        <v/>
      </c>
      <c r="C573" t="s">
        <v>4290</v>
      </c>
      <c r="D573" t="str">
        <f t="shared" si="68"/>
        <v/>
      </c>
      <c r="E573" t="str">
        <f t="shared" si="69"/>
        <v/>
      </c>
      <c r="F573" s="68" t="s">
        <v>4289</v>
      </c>
      <c r="G573">
        <f>'IPTV CA'!A564</f>
        <v>11163</v>
      </c>
      <c r="H573" t="str">
        <f>T('IPTV CA'!B564)</f>
        <v/>
      </c>
      <c r="I573" t="s">
        <v>4290</v>
      </c>
      <c r="J573" t="str">
        <f t="shared" si="70"/>
        <v/>
      </c>
      <c r="K573" t="str">
        <f t="shared" si="72"/>
        <v/>
      </c>
      <c r="L573" s="69"/>
      <c r="M573">
        <f>'TMIS US'!A564</f>
        <v>9430</v>
      </c>
      <c r="N573" t="str">
        <f>T('TMIS US'!B564)</f>
        <v/>
      </c>
      <c r="O573" t="s">
        <v>4290</v>
      </c>
      <c r="P573" t="str">
        <f t="shared" si="71"/>
        <v/>
      </c>
      <c r="Q573" t="str">
        <f t="shared" si="73"/>
        <v/>
      </c>
      <c r="R573" s="69"/>
      <c r="S573">
        <f>'TMIS CA'!A564</f>
        <v>9763</v>
      </c>
      <c r="T573" t="str">
        <f>T('TMIS CA'!B564)</f>
        <v/>
      </c>
      <c r="U573" t="s">
        <v>4290</v>
      </c>
      <c r="V573" t="str">
        <f t="shared" si="75"/>
        <v/>
      </c>
      <c r="W573" t="str">
        <f t="shared" si="74"/>
        <v/>
      </c>
    </row>
    <row r="574" spans="1:23">
      <c r="A574">
        <f>'IPTV US'!A565</f>
        <v>10831</v>
      </c>
      <c r="B574" t="str">
        <f>T('IPTV US'!B565)</f>
        <v>Corner Gas</v>
      </c>
      <c r="C574" t="s">
        <v>4288</v>
      </c>
      <c r="D574" t="str">
        <f t="shared" si="68"/>
        <v/>
      </c>
      <c r="E574" t="str">
        <f t="shared" si="69"/>
        <v/>
      </c>
      <c r="F574" s="68" t="s">
        <v>4289</v>
      </c>
      <c r="G574">
        <f>'IPTV CA'!A565</f>
        <v>11164</v>
      </c>
      <c r="H574" t="str">
        <f>T('IPTV CA'!B565)</f>
        <v>Fite 24/7</v>
      </c>
      <c r="I574" t="s">
        <v>4288</v>
      </c>
      <c r="J574" t="str">
        <f t="shared" si="70"/>
        <v/>
      </c>
      <c r="K574" t="str">
        <f t="shared" si="72"/>
        <v/>
      </c>
      <c r="L574" s="69"/>
      <c r="M574">
        <f>'TMIS US'!A565</f>
        <v>9431</v>
      </c>
      <c r="N574" t="str">
        <f>T('TMIS US'!B565)</f>
        <v>Corner Gas</v>
      </c>
      <c r="O574" t="s">
        <v>4288</v>
      </c>
      <c r="P574" t="str">
        <f t="shared" si="71"/>
        <v/>
      </c>
      <c r="Q574" t="str">
        <f t="shared" si="73"/>
        <v/>
      </c>
      <c r="R574" s="69"/>
      <c r="S574">
        <f>'TMIS CA'!A565</f>
        <v>9764</v>
      </c>
      <c r="T574" t="str">
        <f>T('TMIS CA'!B565)</f>
        <v>Fite 24/7</v>
      </c>
      <c r="U574" t="s">
        <v>4288</v>
      </c>
      <c r="V574" t="str">
        <f t="shared" si="75"/>
        <v/>
      </c>
      <c r="W574" t="str">
        <f t="shared" si="74"/>
        <v/>
      </c>
    </row>
    <row r="575" spans="1:23">
      <c r="A575">
        <f>'IPTV US'!A566</f>
        <v>10832</v>
      </c>
      <c r="B575" t="str">
        <f>T('IPTV US'!B566)</f>
        <v>Trailer Park Boys: The SwearNet Show</v>
      </c>
      <c r="C575" t="s">
        <v>4288</v>
      </c>
      <c r="D575" t="str">
        <f t="shared" si="68"/>
        <v/>
      </c>
      <c r="E575" t="str">
        <f t="shared" si="69"/>
        <v/>
      </c>
      <c r="F575" s="68" t="s">
        <v>4289</v>
      </c>
      <c r="G575">
        <f>'IPTV CA'!A566</f>
        <v>11165</v>
      </c>
      <c r="H575" t="str">
        <f>T('IPTV CA'!B566)</f>
        <v>CombaTV</v>
      </c>
      <c r="I575" t="s">
        <v>4288</v>
      </c>
      <c r="J575" t="str">
        <f t="shared" si="70"/>
        <v/>
      </c>
      <c r="K575" t="str">
        <f t="shared" si="72"/>
        <v/>
      </c>
      <c r="L575" s="69"/>
      <c r="M575">
        <f>'TMIS US'!A566</f>
        <v>9432</v>
      </c>
      <c r="N575" t="str">
        <f>T('TMIS US'!B566)</f>
        <v>Trailer Park Boys: The SwearNet Show</v>
      </c>
      <c r="O575" t="s">
        <v>4288</v>
      </c>
      <c r="P575" t="str">
        <f t="shared" si="71"/>
        <v/>
      </c>
      <c r="Q575" t="str">
        <f t="shared" si="73"/>
        <v/>
      </c>
      <c r="R575" s="69"/>
      <c r="S575">
        <f>'TMIS CA'!A566</f>
        <v>9765</v>
      </c>
      <c r="T575" t="str">
        <f>T('TMIS CA'!B566)</f>
        <v>CombaTV</v>
      </c>
      <c r="U575" t="s">
        <v>4288</v>
      </c>
      <c r="V575" t="str">
        <f t="shared" si="75"/>
        <v/>
      </c>
      <c r="W575" t="str">
        <f t="shared" si="74"/>
        <v/>
      </c>
    </row>
    <row r="576" spans="1:23">
      <c r="A576">
        <f>'IPTV US'!A567</f>
        <v>10833</v>
      </c>
      <c r="B576" t="str">
        <f>T('IPTV US'!B567)</f>
        <v>Hot Ones</v>
      </c>
      <c r="C576" t="s">
        <v>4288</v>
      </c>
      <c r="D576" t="str">
        <f t="shared" si="68"/>
        <v/>
      </c>
      <c r="E576" t="str">
        <f t="shared" si="69"/>
        <v/>
      </c>
      <c r="F576" s="68" t="s">
        <v>4289</v>
      </c>
      <c r="G576">
        <f>'IPTV CA'!A567</f>
        <v>11166</v>
      </c>
      <c r="H576" t="str">
        <f>T('IPTV CA'!B567)</f>
        <v>GLORY Kickboxing</v>
      </c>
      <c r="I576" t="s">
        <v>4288</v>
      </c>
      <c r="J576" t="str">
        <f t="shared" si="70"/>
        <v/>
      </c>
      <c r="K576" t="str">
        <f t="shared" si="72"/>
        <v/>
      </c>
      <c r="L576" s="69"/>
      <c r="M576">
        <f>'TMIS US'!A567</f>
        <v>9433</v>
      </c>
      <c r="N576" t="str">
        <f>T('TMIS US'!B567)</f>
        <v>Hot Ones</v>
      </c>
      <c r="O576" t="s">
        <v>4288</v>
      </c>
      <c r="P576" t="str">
        <f t="shared" si="71"/>
        <v/>
      </c>
      <c r="Q576" t="str">
        <f t="shared" si="73"/>
        <v/>
      </c>
      <c r="R576" s="69"/>
      <c r="S576">
        <f>'TMIS CA'!A567</f>
        <v>9766</v>
      </c>
      <c r="T576" t="str">
        <f>T('TMIS CA'!B567)</f>
        <v>GLORY Kickboxing</v>
      </c>
      <c r="U576" t="s">
        <v>4288</v>
      </c>
      <c r="V576" t="str">
        <f t="shared" si="75"/>
        <v/>
      </c>
      <c r="W576" t="str">
        <f t="shared" si="74"/>
        <v/>
      </c>
    </row>
    <row r="577" spans="1:23">
      <c r="A577">
        <f>'IPTV US'!A568</f>
        <v>10834</v>
      </c>
      <c r="B577" t="str">
        <f>T('IPTV US'!B568)</f>
        <v/>
      </c>
      <c r="C577" t="s">
        <v>4290</v>
      </c>
      <c r="D577" t="str">
        <f t="shared" si="68"/>
        <v/>
      </c>
      <c r="E577" t="str">
        <f t="shared" si="69"/>
        <v/>
      </c>
      <c r="F577" s="68" t="s">
        <v>4289</v>
      </c>
      <c r="G577">
        <f>'IPTV CA'!A568</f>
        <v>11167</v>
      </c>
      <c r="H577" t="str">
        <f>T('IPTV CA'!B568)</f>
        <v/>
      </c>
      <c r="I577" t="s">
        <v>4290</v>
      </c>
      <c r="J577" t="str">
        <f t="shared" si="70"/>
        <v/>
      </c>
      <c r="K577" t="str">
        <f t="shared" si="72"/>
        <v/>
      </c>
      <c r="L577" s="69"/>
      <c r="M577">
        <f>'TMIS US'!A568</f>
        <v>9434</v>
      </c>
      <c r="N577" t="str">
        <f>T('TMIS US'!B568)</f>
        <v/>
      </c>
      <c r="O577" t="s">
        <v>4290</v>
      </c>
      <c r="P577" t="str">
        <f t="shared" si="71"/>
        <v/>
      </c>
      <c r="Q577" t="str">
        <f t="shared" si="73"/>
        <v/>
      </c>
      <c r="R577" s="69"/>
      <c r="S577">
        <f>'TMIS CA'!A568</f>
        <v>9767</v>
      </c>
      <c r="T577" t="str">
        <f>T('TMIS CA'!B568)</f>
        <v/>
      </c>
      <c r="U577" t="s">
        <v>4290</v>
      </c>
      <c r="V577" t="str">
        <f t="shared" si="75"/>
        <v/>
      </c>
      <c r="W577" t="str">
        <f t="shared" si="74"/>
        <v/>
      </c>
    </row>
    <row r="578" spans="1:23">
      <c r="A578">
        <f>'IPTV US'!A569</f>
        <v>10835</v>
      </c>
      <c r="B578" t="str">
        <f>T('IPTV US'!B569)</f>
        <v/>
      </c>
      <c r="C578" t="s">
        <v>4290</v>
      </c>
      <c r="D578" t="str">
        <f t="shared" si="68"/>
        <v/>
      </c>
      <c r="E578" t="str">
        <f t="shared" si="69"/>
        <v/>
      </c>
      <c r="F578" s="68" t="s">
        <v>4289</v>
      </c>
      <c r="G578">
        <f>'IPTV CA'!A569</f>
        <v>11168</v>
      </c>
      <c r="H578" t="str">
        <f>T('IPTV CA'!B569)</f>
        <v/>
      </c>
      <c r="I578" t="s">
        <v>4290</v>
      </c>
      <c r="J578" t="str">
        <f t="shared" si="70"/>
        <v/>
      </c>
      <c r="K578" t="str">
        <f t="shared" si="72"/>
        <v/>
      </c>
      <c r="L578" s="69"/>
      <c r="M578">
        <f>'TMIS US'!A569</f>
        <v>9435</v>
      </c>
      <c r="N578" t="str">
        <f>T('TMIS US'!B569)</f>
        <v/>
      </c>
      <c r="O578" t="s">
        <v>4290</v>
      </c>
      <c r="P578" t="str">
        <f t="shared" si="71"/>
        <v/>
      </c>
      <c r="Q578" t="str">
        <f t="shared" si="73"/>
        <v/>
      </c>
      <c r="R578" s="69"/>
      <c r="S578">
        <f>'TMIS CA'!A569</f>
        <v>9768</v>
      </c>
      <c r="T578" t="str">
        <f>T('TMIS CA'!B569)</f>
        <v/>
      </c>
      <c r="U578" t="s">
        <v>4290</v>
      </c>
      <c r="V578" t="str">
        <f t="shared" si="75"/>
        <v/>
      </c>
      <c r="W578" t="str">
        <f t="shared" si="74"/>
        <v/>
      </c>
    </row>
    <row r="579" spans="1:23">
      <c r="A579">
        <f>'IPTV US'!A570</f>
        <v>10836</v>
      </c>
      <c r="B579" t="str">
        <f>T('IPTV US'!B570)</f>
        <v>BBC Comedy</v>
      </c>
      <c r="C579" t="s">
        <v>4288</v>
      </c>
      <c r="D579" t="str">
        <f t="shared" si="68"/>
        <v/>
      </c>
      <c r="E579" t="str">
        <f t="shared" si="69"/>
        <v/>
      </c>
      <c r="F579" s="68" t="s">
        <v>4289</v>
      </c>
      <c r="G579">
        <f>'IPTV CA'!A570</f>
        <v>11169</v>
      </c>
      <c r="H579" t="str">
        <f>T('IPTV CA'!B570)</f>
        <v>Hard Knocks</v>
      </c>
      <c r="I579" t="s">
        <v>4288</v>
      </c>
      <c r="J579" t="str">
        <f t="shared" si="70"/>
        <v/>
      </c>
      <c r="K579" t="str">
        <f t="shared" si="72"/>
        <v/>
      </c>
      <c r="L579" s="69"/>
      <c r="M579">
        <f>'TMIS US'!A570</f>
        <v>9436</v>
      </c>
      <c r="N579" t="str">
        <f>T('TMIS US'!B570)</f>
        <v>BBC Comedy</v>
      </c>
      <c r="O579" t="s">
        <v>4288</v>
      </c>
      <c r="P579" t="str">
        <f t="shared" si="71"/>
        <v/>
      </c>
      <c r="Q579" t="str">
        <f t="shared" si="73"/>
        <v/>
      </c>
      <c r="R579" s="69"/>
      <c r="S579">
        <f>'TMIS CA'!A570</f>
        <v>9769</v>
      </c>
      <c r="T579" t="str">
        <f>T('TMIS CA'!B570)</f>
        <v>Hard Knocks</v>
      </c>
      <c r="U579" t="s">
        <v>4288</v>
      </c>
      <c r="V579" t="str">
        <f t="shared" si="75"/>
        <v/>
      </c>
      <c r="W579" t="str">
        <f t="shared" si="74"/>
        <v/>
      </c>
    </row>
    <row r="580" spans="1:23">
      <c r="A580">
        <f>'IPTV US'!A571</f>
        <v>10837</v>
      </c>
      <c r="B580" t="str">
        <f>T('IPTV US'!B571)</f>
        <v>LOL! Stand Up</v>
      </c>
      <c r="C580" t="s">
        <v>4288</v>
      </c>
      <c r="D580" t="str">
        <f t="shared" si="68"/>
        <v/>
      </c>
      <c r="E580" t="str">
        <f t="shared" si="69"/>
        <v/>
      </c>
      <c r="F580" s="68" t="s">
        <v>4289</v>
      </c>
      <c r="G580">
        <f>'IPTV CA'!A571</f>
        <v>11170</v>
      </c>
      <c r="H580" t="str">
        <f>T('IPTV CA'!B571)</f>
        <v>ONE Championship TV</v>
      </c>
      <c r="I580" t="s">
        <v>4288</v>
      </c>
      <c r="J580" t="str">
        <f t="shared" si="70"/>
        <v/>
      </c>
      <c r="K580" t="str">
        <f t="shared" si="72"/>
        <v/>
      </c>
      <c r="L580" s="69"/>
      <c r="M580">
        <f>'TMIS US'!A571</f>
        <v>9437</v>
      </c>
      <c r="N580" t="str">
        <f>T('TMIS US'!B571)</f>
        <v>LOL! Stand Up</v>
      </c>
      <c r="O580" t="s">
        <v>4288</v>
      </c>
      <c r="P580" t="str">
        <f t="shared" si="71"/>
        <v/>
      </c>
      <c r="Q580" t="str">
        <f t="shared" si="73"/>
        <v/>
      </c>
      <c r="R580" s="69"/>
      <c r="S580">
        <f>'TMIS CA'!A571</f>
        <v>9770</v>
      </c>
      <c r="T580" t="str">
        <f>T('TMIS CA'!B571)</f>
        <v>ONE Championship TV</v>
      </c>
      <c r="U580" t="s">
        <v>4288</v>
      </c>
      <c r="V580" t="str">
        <f t="shared" si="75"/>
        <v/>
      </c>
      <c r="W580" t="str">
        <f t="shared" si="74"/>
        <v/>
      </c>
    </row>
    <row r="581" spans="1:23">
      <c r="A581">
        <f>'IPTV US'!A572</f>
        <v>10838</v>
      </c>
      <c r="B581" t="str">
        <f>T('IPTV US'!B572)</f>
        <v>Comedy Dynamics</v>
      </c>
      <c r="C581" t="s">
        <v>4288</v>
      </c>
      <c r="D581" t="str">
        <f t="shared" si="68"/>
        <v/>
      </c>
      <c r="E581" t="str">
        <f t="shared" si="69"/>
        <v/>
      </c>
      <c r="F581" s="68" t="s">
        <v>4289</v>
      </c>
      <c r="G581">
        <f>'IPTV CA'!A572</f>
        <v>11171</v>
      </c>
      <c r="H581" t="str">
        <f>T('IPTV CA'!B572)</f>
        <v>Cricket Gold</v>
      </c>
      <c r="I581" t="s">
        <v>4288</v>
      </c>
      <c r="J581" t="str">
        <f t="shared" si="70"/>
        <v/>
      </c>
      <c r="K581" t="str">
        <f t="shared" si="72"/>
        <v/>
      </c>
      <c r="L581" s="69"/>
      <c r="M581">
        <f>'TMIS US'!A572</f>
        <v>9438</v>
      </c>
      <c r="N581" t="str">
        <f>T('TMIS US'!B572)</f>
        <v>Comedy Dynamics</v>
      </c>
      <c r="O581" t="s">
        <v>4288</v>
      </c>
      <c r="P581" t="str">
        <f t="shared" si="71"/>
        <v/>
      </c>
      <c r="Q581" t="str">
        <f t="shared" si="73"/>
        <v/>
      </c>
      <c r="R581" s="69"/>
      <c r="S581">
        <f>'TMIS CA'!A572</f>
        <v>9771</v>
      </c>
      <c r="T581" t="str">
        <f>T('TMIS CA'!B572)</f>
        <v>Cricket Gold</v>
      </c>
      <c r="U581" t="s">
        <v>4288</v>
      </c>
      <c r="V581" t="str">
        <f t="shared" si="75"/>
        <v/>
      </c>
      <c r="W581" t="str">
        <f t="shared" si="74"/>
        <v/>
      </c>
    </row>
    <row r="582" spans="1:23">
      <c r="A582">
        <f>'IPTV US'!A573</f>
        <v>10839</v>
      </c>
      <c r="B582" t="str">
        <f>T('IPTV US'!B573)</f>
        <v>Always Funny</v>
      </c>
      <c r="C582" t="s">
        <v>4288</v>
      </c>
      <c r="D582" t="str">
        <f t="shared" si="68"/>
        <v/>
      </c>
      <c r="E582" t="str">
        <f t="shared" si="69"/>
        <v/>
      </c>
      <c r="F582" s="68" t="s">
        <v>4289</v>
      </c>
      <c r="G582">
        <f>'IPTV CA'!A573</f>
        <v>11172</v>
      </c>
      <c r="H582" t="str">
        <f>T('IPTV CA'!B573)</f>
        <v>Willow Sports</v>
      </c>
      <c r="I582" t="s">
        <v>4288</v>
      </c>
      <c r="J582" t="str">
        <f t="shared" si="70"/>
        <v/>
      </c>
      <c r="K582" t="str">
        <f t="shared" si="72"/>
        <v/>
      </c>
      <c r="L582" s="69"/>
      <c r="M582">
        <f>'TMIS US'!A573</f>
        <v>9439</v>
      </c>
      <c r="N582" t="str">
        <f>T('TMIS US'!B573)</f>
        <v>Always Funny</v>
      </c>
      <c r="O582" t="s">
        <v>4288</v>
      </c>
      <c r="P582" t="str">
        <f t="shared" si="71"/>
        <v/>
      </c>
      <c r="Q582" t="str">
        <f t="shared" si="73"/>
        <v/>
      </c>
      <c r="R582" s="69"/>
      <c r="S582">
        <f>'TMIS CA'!A573</f>
        <v>9772</v>
      </c>
      <c r="T582" t="str">
        <f>T('TMIS CA'!B573)</f>
        <v>Willow Sports</v>
      </c>
      <c r="U582" t="s">
        <v>4288</v>
      </c>
      <c r="V582" t="str">
        <f t="shared" si="75"/>
        <v/>
      </c>
      <c r="W582" t="str">
        <f t="shared" si="74"/>
        <v/>
      </c>
    </row>
    <row r="583" spans="1:23">
      <c r="A583">
        <f>'IPTV US'!A574</f>
        <v>10840</v>
      </c>
      <c r="B583" t="str">
        <f>T('IPTV US'!B574)</f>
        <v>Humor Mill</v>
      </c>
      <c r="C583" t="s">
        <v>4288</v>
      </c>
      <c r="D583" t="str">
        <f t="shared" si="68"/>
        <v/>
      </c>
      <c r="E583" t="str">
        <f t="shared" si="69"/>
        <v/>
      </c>
      <c r="F583" s="68" t="s">
        <v>4289</v>
      </c>
      <c r="G583">
        <f>'IPTV CA'!A574</f>
        <v>11173</v>
      </c>
      <c r="H583" t="str">
        <f>T('IPTV CA'!B574)</f>
        <v/>
      </c>
      <c r="I583" t="s">
        <v>4290</v>
      </c>
      <c r="J583" t="str">
        <f t="shared" si="70"/>
        <v/>
      </c>
      <c r="K583" t="str">
        <f t="shared" si="72"/>
        <v/>
      </c>
      <c r="L583" s="69"/>
      <c r="M583">
        <f>'TMIS US'!A574</f>
        <v>9440</v>
      </c>
      <c r="N583" t="str">
        <f>T('TMIS US'!B574)</f>
        <v>Humor Mill</v>
      </c>
      <c r="O583" t="s">
        <v>4288</v>
      </c>
      <c r="P583" t="str">
        <f t="shared" si="71"/>
        <v/>
      </c>
      <c r="Q583" t="str">
        <f t="shared" si="73"/>
        <v/>
      </c>
      <c r="R583" s="69"/>
      <c r="S583">
        <f>'TMIS CA'!A574</f>
        <v>9773</v>
      </c>
      <c r="T583" t="str">
        <f>T('TMIS CA'!B574)</f>
        <v/>
      </c>
      <c r="U583" t="s">
        <v>4290</v>
      </c>
      <c r="V583" t="str">
        <f t="shared" si="75"/>
        <v/>
      </c>
      <c r="W583" t="str">
        <f t="shared" si="74"/>
        <v/>
      </c>
    </row>
    <row r="584" spans="1:23">
      <c r="A584">
        <f>'IPTV US'!A575</f>
        <v>10841</v>
      </c>
      <c r="B584" t="str">
        <f>T('IPTV US'!B575)</f>
        <v>BET x Tyler Perry Drama</v>
      </c>
      <c r="C584" t="s">
        <v>4288</v>
      </c>
      <c r="D584" t="str">
        <f t="shared" si="68"/>
        <v/>
      </c>
      <c r="E584" t="str">
        <f t="shared" si="69"/>
        <v/>
      </c>
      <c r="F584" s="68" t="s">
        <v>4289</v>
      </c>
      <c r="G584">
        <f>'IPTV CA'!A575</f>
        <v>11174</v>
      </c>
      <c r="H584" t="str">
        <f>T('IPTV CA'!B575)</f>
        <v/>
      </c>
      <c r="I584" t="s">
        <v>4290</v>
      </c>
      <c r="J584" t="str">
        <f t="shared" si="70"/>
        <v/>
      </c>
      <c r="K584" t="str">
        <f t="shared" si="72"/>
        <v/>
      </c>
      <c r="L584" s="69"/>
      <c r="M584">
        <f>'TMIS US'!A575</f>
        <v>9441</v>
      </c>
      <c r="N584" t="str">
        <f>T('TMIS US'!B575)</f>
        <v>BET x Tyler Perry Drama</v>
      </c>
      <c r="O584" t="s">
        <v>4288</v>
      </c>
      <c r="P584" t="str">
        <f t="shared" si="71"/>
        <v/>
      </c>
      <c r="Q584" t="str">
        <f t="shared" si="73"/>
        <v/>
      </c>
      <c r="R584" s="69"/>
      <c r="S584">
        <f>'TMIS CA'!A575</f>
        <v>9774</v>
      </c>
      <c r="T584" t="str">
        <f>T('TMIS CA'!B575)</f>
        <v/>
      </c>
      <c r="U584" t="s">
        <v>4290</v>
      </c>
      <c r="V584" t="str">
        <f t="shared" si="75"/>
        <v/>
      </c>
      <c r="W584" t="str">
        <f t="shared" si="74"/>
        <v/>
      </c>
    </row>
    <row r="585" spans="1:23">
      <c r="A585">
        <f>'IPTV US'!A576</f>
        <v>10842</v>
      </c>
      <c r="B585" t="str">
        <f>T('IPTV US'!B576)</f>
        <v>BET x Tyler Perry Comedy</v>
      </c>
      <c r="C585" t="s">
        <v>4288</v>
      </c>
      <c r="D585" t="str">
        <f t="shared" si="68"/>
        <v/>
      </c>
      <c r="E585" t="str">
        <f t="shared" si="69"/>
        <v/>
      </c>
      <c r="F585" s="68" t="s">
        <v>4289</v>
      </c>
      <c r="G585">
        <f>'IPTV CA'!A576</f>
        <v>11175</v>
      </c>
      <c r="H585" t="str">
        <f>T('IPTV CA'!B576)</f>
        <v>TNA Wrestling Channel</v>
      </c>
      <c r="I585" t="s">
        <v>4288</v>
      </c>
      <c r="J585" t="str">
        <f t="shared" si="70"/>
        <v/>
      </c>
      <c r="K585" t="str">
        <f t="shared" si="72"/>
        <v/>
      </c>
      <c r="L585" s="69"/>
      <c r="M585">
        <f>'TMIS US'!A576</f>
        <v>9442</v>
      </c>
      <c r="N585" t="str">
        <f>T('TMIS US'!B576)</f>
        <v>BET x Tyler Perry Comedy</v>
      </c>
      <c r="O585" t="s">
        <v>4288</v>
      </c>
      <c r="P585" t="str">
        <f t="shared" si="71"/>
        <v/>
      </c>
      <c r="Q585" t="str">
        <f t="shared" si="73"/>
        <v/>
      </c>
      <c r="R585" s="69"/>
      <c r="S585">
        <f>'TMIS CA'!A576</f>
        <v>9775</v>
      </c>
      <c r="T585" t="str">
        <f>T('TMIS CA'!B576)</f>
        <v>TNA Wrestling Channel</v>
      </c>
      <c r="U585" t="s">
        <v>4288</v>
      </c>
      <c r="V585" t="str">
        <f t="shared" si="75"/>
        <v/>
      </c>
      <c r="W585" t="str">
        <f t="shared" si="74"/>
        <v/>
      </c>
    </row>
    <row r="586" spans="1:23">
      <c r="A586">
        <f>'IPTV US'!A577</f>
        <v>10843</v>
      </c>
      <c r="B586" t="str">
        <f>T('IPTV US'!B577)</f>
        <v>Ebony TV by Lionsgate</v>
      </c>
      <c r="C586" t="s">
        <v>4288</v>
      </c>
      <c r="D586" t="str">
        <f t="shared" si="68"/>
        <v/>
      </c>
      <c r="E586" t="str">
        <f t="shared" si="69"/>
        <v/>
      </c>
      <c r="F586" s="68" t="s">
        <v>4289</v>
      </c>
      <c r="G586">
        <f>'IPTV CA'!A577</f>
        <v>11176</v>
      </c>
      <c r="H586" t="str">
        <f>T('IPTV CA'!B577)</f>
        <v>PursuitUP</v>
      </c>
      <c r="I586" t="s">
        <v>4288</v>
      </c>
      <c r="J586" t="str">
        <f t="shared" si="70"/>
        <v/>
      </c>
      <c r="K586" t="str">
        <f t="shared" si="72"/>
        <v/>
      </c>
      <c r="L586" s="69"/>
      <c r="M586">
        <f>'TMIS US'!A577</f>
        <v>9443</v>
      </c>
      <c r="N586" t="str">
        <f>T('TMIS US'!B577)</f>
        <v>Ebony TV by Lionsgate</v>
      </c>
      <c r="O586" t="s">
        <v>4288</v>
      </c>
      <c r="P586" t="str">
        <f t="shared" si="71"/>
        <v/>
      </c>
      <c r="Q586" t="str">
        <f t="shared" si="73"/>
        <v/>
      </c>
      <c r="R586" s="69"/>
      <c r="S586">
        <f>'TMIS CA'!A577</f>
        <v>9776</v>
      </c>
      <c r="T586" t="str">
        <f>T('TMIS CA'!B577)</f>
        <v>PursuitUP</v>
      </c>
      <c r="U586" t="s">
        <v>4288</v>
      </c>
      <c r="V586" t="str">
        <f t="shared" si="75"/>
        <v/>
      </c>
      <c r="W586" t="str">
        <f t="shared" si="74"/>
        <v/>
      </c>
    </row>
    <row r="587" spans="1:23">
      <c r="A587">
        <f>'IPTV US'!A578</f>
        <v>10844</v>
      </c>
      <c r="B587" t="str">
        <f>T('IPTV US'!B578)</f>
        <v>Pam Grier's Soul Flix</v>
      </c>
      <c r="C587" t="s">
        <v>4288</v>
      </c>
      <c r="D587" t="str">
        <f t="shared" ref="D587:D650" si="76">IF(C587="Active",IF(B587="","Please Notify - Channel Removed",""),"")</f>
        <v/>
      </c>
      <c r="E587" t="str">
        <f t="shared" ref="E587:E650" si="77">IF(C587="Vacant",IF(B587="","","Please Notify - Channel Added"),"")</f>
        <v/>
      </c>
      <c r="F587" s="68" t="s">
        <v>4289</v>
      </c>
      <c r="G587">
        <f>'IPTV CA'!A578</f>
        <v>11177</v>
      </c>
      <c r="H587" t="str">
        <f>T('IPTV CA'!B578)</f>
        <v>FTF Sports</v>
      </c>
      <c r="I587" t="s">
        <v>4288</v>
      </c>
      <c r="J587" t="str">
        <f t="shared" ref="J587:J650" si="78">IF(I587="Active",IF(H587="","Please Notify - Channel Removed",""),"")</f>
        <v/>
      </c>
      <c r="K587" t="str">
        <f t="shared" si="72"/>
        <v/>
      </c>
      <c r="L587" s="69"/>
      <c r="M587">
        <f>'TMIS US'!A578</f>
        <v>9444</v>
      </c>
      <c r="N587" t="str">
        <f>T('TMIS US'!B578)</f>
        <v>Pam Grier's Soul Flix</v>
      </c>
      <c r="O587" t="s">
        <v>4288</v>
      </c>
      <c r="P587" t="str">
        <f t="shared" ref="P587:P650" si="79">IF(O587="Active",IF(N587="","Please Notify - Channel Removed",""),"")</f>
        <v/>
      </c>
      <c r="Q587" t="str">
        <f t="shared" si="73"/>
        <v/>
      </c>
      <c r="R587" s="69"/>
      <c r="S587">
        <f>'TMIS CA'!A578</f>
        <v>9777</v>
      </c>
      <c r="T587" t="str">
        <f>T('TMIS CA'!B578)</f>
        <v>FTF Sports</v>
      </c>
      <c r="U587" t="s">
        <v>4288</v>
      </c>
      <c r="V587" t="str">
        <f t="shared" si="75"/>
        <v/>
      </c>
      <c r="W587" t="str">
        <f t="shared" si="74"/>
        <v/>
      </c>
    </row>
    <row r="588" spans="1:23">
      <c r="A588">
        <f>'IPTV US'!A579</f>
        <v>10845</v>
      </c>
      <c r="B588" t="str">
        <f>T('IPTV US'!B579)</f>
        <v/>
      </c>
      <c r="C588" t="s">
        <v>4290</v>
      </c>
      <c r="D588" t="str">
        <f t="shared" si="76"/>
        <v/>
      </c>
      <c r="E588" t="str">
        <f t="shared" si="77"/>
        <v/>
      </c>
      <c r="F588" s="68" t="s">
        <v>4289</v>
      </c>
      <c r="G588">
        <f>'IPTV CA'!A579</f>
        <v>11178</v>
      </c>
      <c r="H588" t="str">
        <f>T('IPTV CA'!B579)</f>
        <v>FUEL TV</v>
      </c>
      <c r="I588" t="s">
        <v>4288</v>
      </c>
      <c r="J588" t="str">
        <f t="shared" si="78"/>
        <v/>
      </c>
      <c r="K588" t="str">
        <f t="shared" ref="K588:K651" si="80">IF(I588="Vacant",IF(H588="","","Please Notify - Channel Added"),"")</f>
        <v/>
      </c>
      <c r="L588" s="69"/>
      <c r="M588">
        <f>'TMIS US'!A579</f>
        <v>9445</v>
      </c>
      <c r="N588" t="str">
        <f>T('TMIS US'!B579)</f>
        <v/>
      </c>
      <c r="O588" t="s">
        <v>4290</v>
      </c>
      <c r="P588" t="str">
        <f t="shared" si="79"/>
        <v/>
      </c>
      <c r="Q588" t="str">
        <f t="shared" ref="Q588:Q651" si="81">IF(O588="Vacant",IF(N588="","","Please Notify - Channel Added"),"")</f>
        <v/>
      </c>
      <c r="R588" s="69"/>
      <c r="S588">
        <f>'TMIS CA'!A579</f>
        <v>9778</v>
      </c>
      <c r="T588" t="str">
        <f>T('TMIS CA'!B579)</f>
        <v>FUEL TV</v>
      </c>
      <c r="U588" t="s">
        <v>4288</v>
      </c>
      <c r="V588" t="str">
        <f t="shared" si="75"/>
        <v/>
      </c>
      <c r="W588" t="str">
        <f t="shared" ref="W588:W651" si="82">IF(U588="Vacant",IF(T588="","","Please Notify - Channel Added"),"")</f>
        <v/>
      </c>
    </row>
    <row r="589" spans="1:23">
      <c r="A589">
        <f>'IPTV US'!A580</f>
        <v>10846</v>
      </c>
      <c r="B589" t="str">
        <f>T('IPTV US'!B580)</f>
        <v/>
      </c>
      <c r="C589" t="s">
        <v>4290</v>
      </c>
      <c r="D589" t="str">
        <f t="shared" si="76"/>
        <v/>
      </c>
      <c r="E589" t="str">
        <f t="shared" si="77"/>
        <v/>
      </c>
      <c r="F589" s="68" t="s">
        <v>4289</v>
      </c>
      <c r="G589">
        <f>'IPTV CA'!A580</f>
        <v>11179</v>
      </c>
      <c r="H589" t="str">
        <f>T('IPTV CA'!B580)</f>
        <v/>
      </c>
      <c r="I589" t="s">
        <v>4290</v>
      </c>
      <c r="J589" t="str">
        <f t="shared" si="78"/>
        <v/>
      </c>
      <c r="K589" t="str">
        <f t="shared" si="80"/>
        <v/>
      </c>
      <c r="L589" s="69"/>
      <c r="M589">
        <f>'TMIS US'!A580</f>
        <v>9446</v>
      </c>
      <c r="N589" t="str">
        <f>T('TMIS US'!B580)</f>
        <v/>
      </c>
      <c r="O589" t="s">
        <v>4290</v>
      </c>
      <c r="P589" t="str">
        <f t="shared" si="79"/>
        <v/>
      </c>
      <c r="Q589" t="str">
        <f t="shared" si="81"/>
        <v/>
      </c>
      <c r="R589" s="69"/>
      <c r="S589">
        <f>'TMIS CA'!A580</f>
        <v>9779</v>
      </c>
      <c r="T589" t="str">
        <f>T('TMIS CA'!B580)</f>
        <v/>
      </c>
      <c r="U589" t="s">
        <v>4290</v>
      </c>
      <c r="V589" t="str">
        <f t="shared" si="75"/>
        <v/>
      </c>
      <c r="W589" t="str">
        <f t="shared" si="82"/>
        <v/>
      </c>
    </row>
    <row r="590" spans="1:23">
      <c r="A590">
        <f>'IPTV US'!A581</f>
        <v>10847</v>
      </c>
      <c r="B590" t="str">
        <f>T('IPTV US'!B581)</f>
        <v>BlackPix</v>
      </c>
      <c r="C590" t="s">
        <v>4288</v>
      </c>
      <c r="D590" t="str">
        <f t="shared" si="76"/>
        <v/>
      </c>
      <c r="E590" t="str">
        <f t="shared" si="77"/>
        <v/>
      </c>
      <c r="F590" s="68" t="s">
        <v>4289</v>
      </c>
      <c r="G590">
        <f>'IPTV CA'!A581</f>
        <v>11180</v>
      </c>
      <c r="H590" t="str">
        <f>T('IPTV CA'!B581)</f>
        <v/>
      </c>
      <c r="I590" t="s">
        <v>4290</v>
      </c>
      <c r="J590" t="str">
        <f t="shared" si="78"/>
        <v/>
      </c>
      <c r="K590" t="str">
        <f t="shared" si="80"/>
        <v/>
      </c>
      <c r="L590" s="69"/>
      <c r="M590">
        <f>'TMIS US'!A581</f>
        <v>9447</v>
      </c>
      <c r="N590" t="str">
        <f>T('TMIS US'!B581)</f>
        <v>BlackPix</v>
      </c>
      <c r="O590" t="s">
        <v>4288</v>
      </c>
      <c r="P590" t="str">
        <f t="shared" si="79"/>
        <v/>
      </c>
      <c r="Q590" t="str">
        <f t="shared" si="81"/>
        <v/>
      </c>
      <c r="R590" s="69"/>
      <c r="S590">
        <f>'TMIS CA'!A581</f>
        <v>9780</v>
      </c>
      <c r="T590" t="str">
        <f>T('TMIS CA'!B581)</f>
        <v/>
      </c>
      <c r="U590" t="s">
        <v>4290</v>
      </c>
      <c r="V590" t="str">
        <f t="shared" ref="V590:V653" si="83">IF(U590="Active",IF(T590="","Please Notify - Channel Removed",""),"")</f>
        <v/>
      </c>
      <c r="W590" t="str">
        <f t="shared" si="82"/>
        <v/>
      </c>
    </row>
    <row r="591" spans="1:23">
      <c r="A591">
        <f>'IPTV US'!A582</f>
        <v>10848</v>
      </c>
      <c r="B591" t="str">
        <f>T('IPTV US'!B582)</f>
        <v>Shades of Black</v>
      </c>
      <c r="C591" t="s">
        <v>4288</v>
      </c>
      <c r="D591" t="str">
        <f t="shared" si="76"/>
        <v/>
      </c>
      <c r="E591" t="str">
        <f t="shared" si="77"/>
        <v/>
      </c>
      <c r="F591" s="68" t="s">
        <v>4289</v>
      </c>
      <c r="G591">
        <f>'IPTV CA'!A582</f>
        <v>11181</v>
      </c>
      <c r="H591" t="str">
        <f>T('IPTV CA'!B582)</f>
        <v>Surfer</v>
      </c>
      <c r="I591" t="s">
        <v>4288</v>
      </c>
      <c r="J591" t="str">
        <f t="shared" si="78"/>
        <v/>
      </c>
      <c r="K591" t="str">
        <f t="shared" si="80"/>
        <v/>
      </c>
      <c r="L591" s="69"/>
      <c r="M591">
        <f>'TMIS US'!A582</f>
        <v>9448</v>
      </c>
      <c r="N591" t="str">
        <f>T('TMIS US'!B582)</f>
        <v>Shades of Black</v>
      </c>
      <c r="O591" t="s">
        <v>4288</v>
      </c>
      <c r="P591" t="str">
        <f t="shared" si="79"/>
        <v/>
      </c>
      <c r="Q591" t="str">
        <f t="shared" si="81"/>
        <v/>
      </c>
      <c r="R591" s="69"/>
      <c r="S591">
        <f>'TMIS CA'!A582</f>
        <v>9781</v>
      </c>
      <c r="T591" t="str">
        <f>T('TMIS CA'!B582)</f>
        <v>Surfer</v>
      </c>
      <c r="U591" t="s">
        <v>4288</v>
      </c>
      <c r="V591" t="str">
        <f t="shared" si="83"/>
        <v/>
      </c>
      <c r="W591" t="str">
        <f t="shared" si="82"/>
        <v/>
      </c>
    </row>
    <row r="592" spans="1:23">
      <c r="A592">
        <f>'IPTV US'!A583</f>
        <v>10849</v>
      </c>
      <c r="B592" t="str">
        <f>T('IPTV US'!B583)</f>
        <v>365BLK</v>
      </c>
      <c r="C592" t="s">
        <v>4288</v>
      </c>
      <c r="D592" t="str">
        <f t="shared" si="76"/>
        <v/>
      </c>
      <c r="E592" t="str">
        <f t="shared" si="77"/>
        <v/>
      </c>
      <c r="F592" s="68" t="s">
        <v>4289</v>
      </c>
      <c r="G592">
        <f>'IPTV CA'!A583</f>
        <v>11182</v>
      </c>
      <c r="H592" t="str">
        <f>T('IPTV CA'!B583)</f>
        <v>SLOPES</v>
      </c>
      <c r="I592" t="s">
        <v>4288</v>
      </c>
      <c r="J592" t="str">
        <f t="shared" si="78"/>
        <v/>
      </c>
      <c r="K592" t="str">
        <f t="shared" si="80"/>
        <v/>
      </c>
      <c r="L592" s="69"/>
      <c r="M592">
        <f>'TMIS US'!A583</f>
        <v>9449</v>
      </c>
      <c r="N592" t="str">
        <f>T('TMIS US'!B583)</f>
        <v>365BLK</v>
      </c>
      <c r="O592" t="s">
        <v>4288</v>
      </c>
      <c r="P592" t="str">
        <f t="shared" si="79"/>
        <v/>
      </c>
      <c r="Q592" t="str">
        <f t="shared" si="81"/>
        <v/>
      </c>
      <c r="R592" s="69"/>
      <c r="S592">
        <f>'TMIS CA'!A583</f>
        <v>9782</v>
      </c>
      <c r="T592" t="str">
        <f>T('TMIS CA'!B583)</f>
        <v>SLOPES</v>
      </c>
      <c r="U592" t="s">
        <v>4288</v>
      </c>
      <c r="V592" t="str">
        <f t="shared" si="83"/>
        <v/>
      </c>
      <c r="W592" t="str">
        <f t="shared" si="82"/>
        <v/>
      </c>
    </row>
    <row r="593" spans="1:23">
      <c r="A593">
        <f>'IPTV US'!A584</f>
        <v>10850</v>
      </c>
      <c r="B593" t="str">
        <f>T('IPTV US'!B584)</f>
        <v>The Grio</v>
      </c>
      <c r="C593" t="s">
        <v>4288</v>
      </c>
      <c r="D593" t="str">
        <f t="shared" si="76"/>
        <v/>
      </c>
      <c r="E593" t="str">
        <f t="shared" si="77"/>
        <v/>
      </c>
      <c r="F593" s="68" t="s">
        <v>4289</v>
      </c>
      <c r="G593">
        <f>'IPTV CA'!A584</f>
        <v>11183</v>
      </c>
      <c r="H593" t="str">
        <f>T('IPTV CA'!B584)</f>
        <v>Lift Ticket</v>
      </c>
      <c r="I593" t="s">
        <v>4288</v>
      </c>
      <c r="J593" t="str">
        <f t="shared" si="78"/>
        <v/>
      </c>
      <c r="K593" t="str">
        <f t="shared" si="80"/>
        <v/>
      </c>
      <c r="L593" s="69"/>
      <c r="M593">
        <f>'TMIS US'!A584</f>
        <v>9450</v>
      </c>
      <c r="N593" t="str">
        <f>T('TMIS US'!B584)</f>
        <v>The Grio</v>
      </c>
      <c r="O593" t="s">
        <v>4288</v>
      </c>
      <c r="P593" t="str">
        <f t="shared" si="79"/>
        <v/>
      </c>
      <c r="Q593" t="str">
        <f t="shared" si="81"/>
        <v/>
      </c>
      <c r="R593" s="69"/>
      <c r="S593">
        <f>'TMIS CA'!A584</f>
        <v>9783</v>
      </c>
      <c r="T593" t="str">
        <f>T('TMIS CA'!B584)</f>
        <v>Lift Ticket</v>
      </c>
      <c r="U593" t="s">
        <v>4288</v>
      </c>
      <c r="V593" t="str">
        <f t="shared" si="83"/>
        <v/>
      </c>
      <c r="W593" t="str">
        <f t="shared" si="82"/>
        <v/>
      </c>
    </row>
    <row r="594" spans="1:23">
      <c r="A594">
        <f>'IPTV US'!A585</f>
        <v>10851</v>
      </c>
      <c r="B594" t="str">
        <f>T('IPTV US'!B585)</f>
        <v/>
      </c>
      <c r="C594" t="s">
        <v>4290</v>
      </c>
      <c r="D594" t="str">
        <f t="shared" si="76"/>
        <v/>
      </c>
      <c r="E594" t="str">
        <f t="shared" si="77"/>
        <v/>
      </c>
      <c r="F594" s="68" t="s">
        <v>4289</v>
      </c>
      <c r="G594">
        <f>'IPTV CA'!A585</f>
        <v>11184</v>
      </c>
      <c r="H594" t="str">
        <f>T('IPTV CA'!B585)</f>
        <v/>
      </c>
      <c r="I594" t="s">
        <v>4290</v>
      </c>
      <c r="J594" t="str">
        <f t="shared" si="78"/>
        <v/>
      </c>
      <c r="K594" t="str">
        <f t="shared" si="80"/>
        <v/>
      </c>
      <c r="L594" s="69"/>
      <c r="M594">
        <f>'TMIS US'!A585</f>
        <v>9451</v>
      </c>
      <c r="N594" t="str">
        <f>T('TMIS US'!B585)</f>
        <v/>
      </c>
      <c r="O594" t="s">
        <v>4290</v>
      </c>
      <c r="P594" t="str">
        <f t="shared" si="79"/>
        <v/>
      </c>
      <c r="Q594" t="str">
        <f t="shared" si="81"/>
        <v/>
      </c>
      <c r="R594" s="69"/>
      <c r="S594">
        <f>'TMIS CA'!A585</f>
        <v>9784</v>
      </c>
      <c r="T594" t="str">
        <f>T('TMIS CA'!B585)</f>
        <v/>
      </c>
      <c r="U594" t="s">
        <v>4290</v>
      </c>
      <c r="V594" t="str">
        <f t="shared" si="83"/>
        <v/>
      </c>
      <c r="W594" t="str">
        <f t="shared" si="82"/>
        <v/>
      </c>
    </row>
    <row r="595" spans="1:23">
      <c r="A595">
        <f>'IPTV US'!A586</f>
        <v>10852</v>
      </c>
      <c r="B595" t="str">
        <f>T('IPTV US'!B586)</f>
        <v/>
      </c>
      <c r="C595" t="s">
        <v>4290</v>
      </c>
      <c r="D595" t="str">
        <f t="shared" si="76"/>
        <v/>
      </c>
      <c r="E595" t="str">
        <f t="shared" si="77"/>
        <v/>
      </c>
      <c r="F595" s="68" t="s">
        <v>4289</v>
      </c>
      <c r="G595">
        <f>'IPTV CA'!A586</f>
        <v>11185</v>
      </c>
      <c r="H595" t="str">
        <f>T('IPTV CA'!B586)</f>
        <v/>
      </c>
      <c r="I595" t="s">
        <v>4290</v>
      </c>
      <c r="J595" t="str">
        <f t="shared" si="78"/>
        <v/>
      </c>
      <c r="K595" t="str">
        <f t="shared" si="80"/>
        <v/>
      </c>
      <c r="L595" s="69"/>
      <c r="M595">
        <f>'TMIS US'!A586</f>
        <v>9452</v>
      </c>
      <c r="N595" t="str">
        <f>T('TMIS US'!B586)</f>
        <v/>
      </c>
      <c r="O595" t="s">
        <v>4290</v>
      </c>
      <c r="P595" t="str">
        <f t="shared" si="79"/>
        <v/>
      </c>
      <c r="Q595" t="str">
        <f t="shared" si="81"/>
        <v/>
      </c>
      <c r="R595" s="69"/>
      <c r="S595">
        <f>'TMIS CA'!A586</f>
        <v>9785</v>
      </c>
      <c r="T595" t="str">
        <f>T('TMIS CA'!B586)</f>
        <v/>
      </c>
      <c r="U595" t="s">
        <v>4290</v>
      </c>
      <c r="V595" t="str">
        <f t="shared" si="83"/>
        <v/>
      </c>
      <c r="W595" t="str">
        <f t="shared" si="82"/>
        <v/>
      </c>
    </row>
    <row r="596" spans="1:23">
      <c r="A596">
        <f>'IPTV US'!A587</f>
        <v>10853</v>
      </c>
      <c r="B596" t="str">
        <f>T('IPTV US'!B587)</f>
        <v>TMZ</v>
      </c>
      <c r="C596" t="s">
        <v>4288</v>
      </c>
      <c r="D596" t="str">
        <f t="shared" si="76"/>
        <v/>
      </c>
      <c r="E596" t="str">
        <f t="shared" si="77"/>
        <v/>
      </c>
      <c r="F596" s="68" t="s">
        <v>4289</v>
      </c>
      <c r="G596">
        <f>'IPTV CA'!A587</f>
        <v>11186</v>
      </c>
      <c r="H596" t="str">
        <f>T('IPTV CA'!B587)</f>
        <v>Strongman Champions</v>
      </c>
      <c r="I596" t="s">
        <v>4288</v>
      </c>
      <c r="J596" t="str">
        <f t="shared" si="78"/>
        <v/>
      </c>
      <c r="K596" t="str">
        <f t="shared" si="80"/>
        <v/>
      </c>
      <c r="L596" s="69"/>
      <c r="M596">
        <f>'TMIS US'!A587</f>
        <v>9453</v>
      </c>
      <c r="N596" t="str">
        <f>T('TMIS US'!B587)</f>
        <v>TMZ</v>
      </c>
      <c r="O596" t="s">
        <v>4288</v>
      </c>
      <c r="P596" t="str">
        <f t="shared" si="79"/>
        <v/>
      </c>
      <c r="Q596" t="str">
        <f t="shared" si="81"/>
        <v/>
      </c>
      <c r="R596" s="69"/>
      <c r="S596">
        <f>'TMIS CA'!A587</f>
        <v>9786</v>
      </c>
      <c r="T596" t="str">
        <f>T('TMIS CA'!B587)</f>
        <v>Strongman Champions</v>
      </c>
      <c r="U596" t="s">
        <v>4288</v>
      </c>
      <c r="V596" t="str">
        <f t="shared" si="83"/>
        <v/>
      </c>
      <c r="W596" t="str">
        <f t="shared" si="82"/>
        <v/>
      </c>
    </row>
    <row r="597" spans="1:23">
      <c r="A597">
        <f>'IPTV US'!A588</f>
        <v>10854</v>
      </c>
      <c r="B597" t="str">
        <f>T('IPTV US'!B588)</f>
        <v>The Doctors</v>
      </c>
      <c r="C597" t="s">
        <v>4288</v>
      </c>
      <c r="D597" t="str">
        <f t="shared" si="76"/>
        <v/>
      </c>
      <c r="E597" t="str">
        <f t="shared" si="77"/>
        <v/>
      </c>
      <c r="F597" s="68" t="s">
        <v>4289</v>
      </c>
      <c r="G597">
        <f>'IPTV CA'!A588</f>
        <v>11187</v>
      </c>
      <c r="H597" t="str">
        <f>T('IPTV CA'!B588)</f>
        <v>XFC TV</v>
      </c>
      <c r="I597" t="s">
        <v>4288</v>
      </c>
      <c r="J597" t="str">
        <f t="shared" si="78"/>
        <v/>
      </c>
      <c r="K597" t="str">
        <f t="shared" si="80"/>
        <v/>
      </c>
      <c r="L597" s="69"/>
      <c r="M597">
        <f>'TMIS US'!A588</f>
        <v>9454</v>
      </c>
      <c r="N597" t="str">
        <f>T('TMIS US'!B588)</f>
        <v>The Doctors</v>
      </c>
      <c r="O597" t="s">
        <v>4288</v>
      </c>
      <c r="P597" t="str">
        <f t="shared" si="79"/>
        <v/>
      </c>
      <c r="Q597" t="str">
        <f t="shared" si="81"/>
        <v/>
      </c>
      <c r="R597" s="69"/>
      <c r="S597">
        <f>'TMIS CA'!A588</f>
        <v>9787</v>
      </c>
      <c r="T597" t="str">
        <f>T('TMIS CA'!B588)</f>
        <v>XFC TV</v>
      </c>
      <c r="U597" t="s">
        <v>4288</v>
      </c>
      <c r="V597" t="str">
        <f t="shared" si="83"/>
        <v/>
      </c>
      <c r="W597" t="str">
        <f t="shared" si="82"/>
        <v/>
      </c>
    </row>
    <row r="598" spans="1:23">
      <c r="A598">
        <f>'IPTV US'!A589</f>
        <v>10855</v>
      </c>
      <c r="B598" t="str">
        <f>T('IPTV US'!B589)</f>
        <v>The Ellen Channel</v>
      </c>
      <c r="C598" t="s">
        <v>4288</v>
      </c>
      <c r="D598" t="str">
        <f t="shared" si="76"/>
        <v/>
      </c>
      <c r="E598" t="str">
        <f t="shared" si="77"/>
        <v/>
      </c>
      <c r="F598" s="68" t="s">
        <v>4289</v>
      </c>
      <c r="G598">
        <f>'IPTV CA'!A589</f>
        <v>11188</v>
      </c>
      <c r="H598" t="str">
        <f>T('IPTV CA'!B589)</f>
        <v>Pac-12 Insider</v>
      </c>
      <c r="I598" t="s">
        <v>4288</v>
      </c>
      <c r="J598" t="str">
        <f t="shared" si="78"/>
        <v/>
      </c>
      <c r="K598" t="str">
        <f t="shared" si="80"/>
        <v/>
      </c>
      <c r="L598" s="69"/>
      <c r="M598">
        <f>'TMIS US'!A589</f>
        <v>9455</v>
      </c>
      <c r="N598" t="str">
        <f>T('TMIS US'!B589)</f>
        <v>The Ellen Channel</v>
      </c>
      <c r="O598" t="s">
        <v>4288</v>
      </c>
      <c r="P598" t="str">
        <f t="shared" si="79"/>
        <v/>
      </c>
      <c r="Q598" t="str">
        <f t="shared" si="81"/>
        <v/>
      </c>
      <c r="R598" s="69"/>
      <c r="S598">
        <f>'TMIS CA'!A589</f>
        <v>9788</v>
      </c>
      <c r="T598" t="str">
        <f>T('TMIS CA'!B589)</f>
        <v>Pac-12 Insider</v>
      </c>
      <c r="U598" t="s">
        <v>4288</v>
      </c>
      <c r="V598" t="str">
        <f t="shared" si="83"/>
        <v/>
      </c>
      <c r="W598" t="str">
        <f t="shared" si="82"/>
        <v/>
      </c>
    </row>
    <row r="599" spans="1:23">
      <c r="A599">
        <f>'IPTV US'!A590</f>
        <v>10856</v>
      </c>
      <c r="B599" t="str">
        <f>T('IPTV US'!B590)</f>
        <v>Caught in Providence</v>
      </c>
      <c r="C599" t="s">
        <v>4288</v>
      </c>
      <c r="D599" t="str">
        <f t="shared" si="76"/>
        <v/>
      </c>
      <c r="E599" t="str">
        <f t="shared" si="77"/>
        <v/>
      </c>
      <c r="F599" s="68" t="s">
        <v>4289</v>
      </c>
      <c r="G599">
        <f>'IPTV CA'!A590</f>
        <v>11189</v>
      </c>
      <c r="H599" t="str">
        <f>T('IPTV CA'!B590)</f>
        <v>NitroCircusTV</v>
      </c>
      <c r="I599" t="s">
        <v>4288</v>
      </c>
      <c r="J599" t="str">
        <f t="shared" si="78"/>
        <v/>
      </c>
      <c r="K599" t="str">
        <f t="shared" si="80"/>
        <v/>
      </c>
      <c r="L599" s="69"/>
      <c r="M599">
        <f>'TMIS US'!A590</f>
        <v>9456</v>
      </c>
      <c r="N599" t="str">
        <f>T('TMIS US'!B590)</f>
        <v>Caught in Providence</v>
      </c>
      <c r="O599" t="s">
        <v>4288</v>
      </c>
      <c r="P599" t="str">
        <f t="shared" si="79"/>
        <v/>
      </c>
      <c r="Q599" t="str">
        <f t="shared" si="81"/>
        <v/>
      </c>
      <c r="R599" s="69"/>
      <c r="S599">
        <f>'TMIS CA'!A590</f>
        <v>9789</v>
      </c>
      <c r="T599" t="str">
        <f>T('TMIS CA'!B590)</f>
        <v>NitroCircusTV</v>
      </c>
      <c r="U599" t="s">
        <v>4288</v>
      </c>
      <c r="V599" t="str">
        <f t="shared" si="83"/>
        <v/>
      </c>
      <c r="W599" t="str">
        <f t="shared" si="82"/>
        <v/>
      </c>
    </row>
    <row r="600" spans="1:23">
      <c r="A600">
        <f>'IPTV US'!A591</f>
        <v>10857</v>
      </c>
      <c r="B600" t="str">
        <f>T('IPTV US'!B591)</f>
        <v>Judge Nosey</v>
      </c>
      <c r="C600" t="s">
        <v>4288</v>
      </c>
      <c r="D600" t="str">
        <f t="shared" si="76"/>
        <v/>
      </c>
      <c r="E600" t="str">
        <f t="shared" si="77"/>
        <v/>
      </c>
      <c r="F600" s="68" t="s">
        <v>4289</v>
      </c>
      <c r="G600">
        <f>'IPTV CA'!A591</f>
        <v>11190</v>
      </c>
      <c r="H600" t="str">
        <f>T('IPTV CA'!B591)</f>
        <v>PLL Network</v>
      </c>
      <c r="I600" t="s">
        <v>4288</v>
      </c>
      <c r="J600" t="str">
        <f t="shared" si="78"/>
        <v/>
      </c>
      <c r="K600" t="str">
        <f t="shared" si="80"/>
        <v/>
      </c>
      <c r="L600" s="69"/>
      <c r="M600">
        <f>'TMIS US'!A591</f>
        <v>9457</v>
      </c>
      <c r="N600" t="str">
        <f>T('TMIS US'!B591)</f>
        <v>Judge Nosey</v>
      </c>
      <c r="O600" t="s">
        <v>4288</v>
      </c>
      <c r="P600" t="str">
        <f t="shared" si="79"/>
        <v/>
      </c>
      <c r="Q600" t="str">
        <f t="shared" si="81"/>
        <v/>
      </c>
      <c r="R600" s="69"/>
      <c r="S600">
        <f>'TMIS CA'!A591</f>
        <v>9790</v>
      </c>
      <c r="T600" t="str">
        <f>T('TMIS CA'!B591)</f>
        <v>PLL Network</v>
      </c>
      <c r="U600" t="s">
        <v>4288</v>
      </c>
      <c r="V600" t="str">
        <f t="shared" si="83"/>
        <v/>
      </c>
      <c r="W600" t="str">
        <f t="shared" si="82"/>
        <v/>
      </c>
    </row>
    <row r="601" spans="1:23">
      <c r="A601">
        <f>'IPTV US'!A592</f>
        <v>10858</v>
      </c>
      <c r="B601" t="str">
        <f>T('IPTV US'!B592)</f>
        <v>Judge Faith</v>
      </c>
      <c r="C601" t="s">
        <v>4288</v>
      </c>
      <c r="D601" t="str">
        <f t="shared" si="76"/>
        <v/>
      </c>
      <c r="E601" t="str">
        <f t="shared" si="77"/>
        <v/>
      </c>
      <c r="F601" s="68" t="s">
        <v>4289</v>
      </c>
      <c r="G601">
        <f>'IPTV CA'!A592</f>
        <v>11191</v>
      </c>
      <c r="H601" t="str">
        <f>T('IPTV CA'!B592)</f>
        <v>Unbeaten</v>
      </c>
      <c r="I601" t="s">
        <v>4288</v>
      </c>
      <c r="J601" t="str">
        <f t="shared" si="78"/>
        <v/>
      </c>
      <c r="K601" t="str">
        <f t="shared" si="80"/>
        <v/>
      </c>
      <c r="L601" s="69"/>
      <c r="M601">
        <f>'TMIS US'!A592</f>
        <v>9458</v>
      </c>
      <c r="N601" t="str">
        <f>T('TMIS US'!B592)</f>
        <v>Judge Faith</v>
      </c>
      <c r="O601" t="s">
        <v>4288</v>
      </c>
      <c r="P601" t="str">
        <f t="shared" si="79"/>
        <v/>
      </c>
      <c r="Q601" t="str">
        <f t="shared" si="81"/>
        <v/>
      </c>
      <c r="R601" s="69"/>
      <c r="S601">
        <f>'TMIS CA'!A592</f>
        <v>9791</v>
      </c>
      <c r="T601" t="str">
        <f>T('TMIS CA'!B592)</f>
        <v>Unbeaten</v>
      </c>
      <c r="U601" t="s">
        <v>4288</v>
      </c>
      <c r="V601" t="str">
        <f t="shared" si="83"/>
        <v/>
      </c>
      <c r="W601" t="str">
        <f t="shared" si="82"/>
        <v/>
      </c>
    </row>
    <row r="602" spans="1:23">
      <c r="A602">
        <f>'IPTV US'!A593</f>
        <v>10859</v>
      </c>
      <c r="B602" t="str">
        <f>T('IPTV US'!B593)</f>
        <v>REELZ Famous &amp; Infamous</v>
      </c>
      <c r="C602" t="s">
        <v>4288</v>
      </c>
      <c r="D602" t="str">
        <f t="shared" si="76"/>
        <v/>
      </c>
      <c r="E602" t="str">
        <f t="shared" si="77"/>
        <v/>
      </c>
      <c r="F602" s="68" t="s">
        <v>4289</v>
      </c>
      <c r="G602">
        <f>'IPTV CA'!A593</f>
        <v>11192</v>
      </c>
      <c r="H602" t="str">
        <f>T('IPTV CA'!B593)</f>
        <v>CampusLore Sports</v>
      </c>
      <c r="I602" t="s">
        <v>4288</v>
      </c>
      <c r="J602" t="str">
        <f t="shared" si="78"/>
        <v/>
      </c>
      <c r="K602" t="str">
        <f t="shared" si="80"/>
        <v/>
      </c>
      <c r="L602" s="69"/>
      <c r="M602">
        <f>'TMIS US'!A593</f>
        <v>9459</v>
      </c>
      <c r="N602" t="str">
        <f>T('TMIS US'!B593)</f>
        <v>REELZ Famous &amp; Infamous</v>
      </c>
      <c r="O602" t="s">
        <v>4288</v>
      </c>
      <c r="P602" t="str">
        <f t="shared" si="79"/>
        <v/>
      </c>
      <c r="Q602" t="str">
        <f t="shared" si="81"/>
        <v/>
      </c>
      <c r="R602" s="69"/>
      <c r="S602">
        <f>'TMIS CA'!A593</f>
        <v>9792</v>
      </c>
      <c r="T602" t="str">
        <f>T('TMIS CA'!B593)</f>
        <v>CampusLore Sports</v>
      </c>
      <c r="U602" t="s">
        <v>4288</v>
      </c>
      <c r="V602" t="str">
        <f t="shared" si="83"/>
        <v/>
      </c>
      <c r="W602" t="str">
        <f t="shared" si="82"/>
        <v/>
      </c>
    </row>
    <row r="603" spans="1:23">
      <c r="A603">
        <f>'IPTV US'!A594</f>
        <v>10860</v>
      </c>
      <c r="B603" t="str">
        <f>T('IPTV US'!B594)</f>
        <v/>
      </c>
      <c r="C603" t="s">
        <v>4290</v>
      </c>
      <c r="D603" t="str">
        <f t="shared" si="76"/>
        <v/>
      </c>
      <c r="E603" t="str">
        <f t="shared" si="77"/>
        <v/>
      </c>
      <c r="F603" s="68" t="s">
        <v>4289</v>
      </c>
      <c r="G603">
        <f>'IPTV CA'!A594</f>
        <v>11193</v>
      </c>
      <c r="H603" t="str">
        <f>T('IPTV CA'!B594)</f>
        <v/>
      </c>
      <c r="I603" t="s">
        <v>4290</v>
      </c>
      <c r="J603" t="str">
        <f t="shared" si="78"/>
        <v/>
      </c>
      <c r="K603" t="str">
        <f t="shared" si="80"/>
        <v/>
      </c>
      <c r="L603" s="69"/>
      <c r="M603">
        <f>'TMIS US'!A594</f>
        <v>9460</v>
      </c>
      <c r="N603" t="str">
        <f>T('TMIS US'!B594)</f>
        <v/>
      </c>
      <c r="O603" t="s">
        <v>4290</v>
      </c>
      <c r="P603" t="str">
        <f t="shared" si="79"/>
        <v/>
      </c>
      <c r="Q603" t="str">
        <f t="shared" si="81"/>
        <v/>
      </c>
      <c r="R603" s="69"/>
      <c r="S603">
        <f>'TMIS CA'!A594</f>
        <v>9793</v>
      </c>
      <c r="T603" t="str">
        <f>T('TMIS CA'!B594)</f>
        <v/>
      </c>
      <c r="U603" t="s">
        <v>4290</v>
      </c>
      <c r="V603" t="str">
        <f t="shared" si="83"/>
        <v/>
      </c>
      <c r="W603" t="str">
        <f t="shared" si="82"/>
        <v/>
      </c>
    </row>
    <row r="604" spans="1:23">
      <c r="A604">
        <f>'IPTV US'!A595</f>
        <v>10861</v>
      </c>
      <c r="B604" t="str">
        <f>T('IPTV US'!B595)</f>
        <v/>
      </c>
      <c r="C604" t="s">
        <v>4290</v>
      </c>
      <c r="D604" t="str">
        <f t="shared" si="76"/>
        <v/>
      </c>
      <c r="E604" t="str">
        <f t="shared" si="77"/>
        <v/>
      </c>
      <c r="F604" s="68" t="s">
        <v>4289</v>
      </c>
      <c r="G604">
        <f>'IPTV CA'!A595</f>
        <v>11194</v>
      </c>
      <c r="H604" t="str">
        <f>T('IPTV CA'!B595)</f>
        <v/>
      </c>
      <c r="I604" t="s">
        <v>4290</v>
      </c>
      <c r="J604" t="str">
        <f t="shared" si="78"/>
        <v/>
      </c>
      <c r="K604" t="str">
        <f t="shared" si="80"/>
        <v/>
      </c>
      <c r="L604" s="69"/>
      <c r="M604">
        <f>'TMIS US'!A595</f>
        <v>9461</v>
      </c>
      <c r="N604" t="str">
        <f>T('TMIS US'!B595)</f>
        <v/>
      </c>
      <c r="O604" t="s">
        <v>4290</v>
      </c>
      <c r="P604" t="str">
        <f t="shared" si="79"/>
        <v/>
      </c>
      <c r="Q604" t="str">
        <f t="shared" si="81"/>
        <v/>
      </c>
      <c r="R604" s="69"/>
      <c r="S604">
        <f>'TMIS CA'!A595</f>
        <v>9794</v>
      </c>
      <c r="T604" t="str">
        <f>T('TMIS CA'!B595)</f>
        <v/>
      </c>
      <c r="U604" t="s">
        <v>4290</v>
      </c>
      <c r="V604" t="str">
        <f t="shared" si="83"/>
        <v/>
      </c>
      <c r="W604" t="str">
        <f t="shared" si="82"/>
        <v/>
      </c>
    </row>
    <row r="605" spans="1:23">
      <c r="A605">
        <f>'IPTV US'!A596</f>
        <v>10862</v>
      </c>
      <c r="B605" t="str">
        <f>T('IPTV US'!B596)</f>
        <v>Nosey</v>
      </c>
      <c r="C605" t="s">
        <v>4288</v>
      </c>
      <c r="D605" t="str">
        <f t="shared" si="76"/>
        <v/>
      </c>
      <c r="E605" t="str">
        <f t="shared" si="77"/>
        <v/>
      </c>
      <c r="F605" s="68" t="s">
        <v>4289</v>
      </c>
      <c r="G605">
        <f>'IPTV CA'!A596</f>
        <v>11195</v>
      </c>
      <c r="H605" t="str">
        <f>T('IPTV CA'!B596)</f>
        <v/>
      </c>
      <c r="I605" t="s">
        <v>4290</v>
      </c>
      <c r="J605" t="str">
        <f t="shared" si="78"/>
        <v/>
      </c>
      <c r="K605" t="str">
        <f t="shared" si="80"/>
        <v/>
      </c>
      <c r="L605" s="69"/>
      <c r="M605">
        <f>'TMIS US'!A596</f>
        <v>9462</v>
      </c>
      <c r="N605" t="str">
        <f>T('TMIS US'!B596)</f>
        <v>Nosey</v>
      </c>
      <c r="O605" t="s">
        <v>4288</v>
      </c>
      <c r="P605" t="str">
        <f t="shared" si="79"/>
        <v/>
      </c>
      <c r="Q605" t="str">
        <f t="shared" si="81"/>
        <v/>
      </c>
      <c r="R605" s="69"/>
      <c r="S605">
        <f>'TMIS CA'!A596</f>
        <v>9795</v>
      </c>
      <c r="T605" t="str">
        <f>T('TMIS CA'!B596)</f>
        <v/>
      </c>
      <c r="U605" t="s">
        <v>4290</v>
      </c>
      <c r="V605" t="str">
        <f t="shared" si="83"/>
        <v/>
      </c>
      <c r="W605" t="str">
        <f t="shared" si="82"/>
        <v/>
      </c>
    </row>
    <row r="606" spans="1:23">
      <c r="A606">
        <f>'IPTV US'!A597</f>
        <v>10863</v>
      </c>
      <c r="B606" t="str">
        <f>T('IPTV US'!B597)</f>
        <v>Confess by Nosey</v>
      </c>
      <c r="C606" t="s">
        <v>4288</v>
      </c>
      <c r="D606" t="str">
        <f t="shared" si="76"/>
        <v/>
      </c>
      <c r="E606" t="str">
        <f t="shared" si="77"/>
        <v/>
      </c>
      <c r="F606" s="68" t="s">
        <v>4289</v>
      </c>
      <c r="G606">
        <f>'IPTV CA'!A597</f>
        <v>11196</v>
      </c>
      <c r="H606" t="str">
        <f>T('IPTV CA'!B597)</f>
        <v/>
      </c>
      <c r="I606" t="s">
        <v>4290</v>
      </c>
      <c r="J606" t="str">
        <f t="shared" si="78"/>
        <v/>
      </c>
      <c r="K606" t="str">
        <f t="shared" si="80"/>
        <v/>
      </c>
      <c r="L606" s="69"/>
      <c r="M606">
        <f>'TMIS US'!A597</f>
        <v>9463</v>
      </c>
      <c r="N606" t="str">
        <f>T('TMIS US'!B597)</f>
        <v>Confess by Nosey</v>
      </c>
      <c r="O606" t="s">
        <v>4288</v>
      </c>
      <c r="P606" t="str">
        <f t="shared" si="79"/>
        <v/>
      </c>
      <c r="Q606" t="str">
        <f t="shared" si="81"/>
        <v/>
      </c>
      <c r="R606" s="69"/>
      <c r="S606">
        <f>'TMIS CA'!A597</f>
        <v>9796</v>
      </c>
      <c r="T606" t="str">
        <f>T('TMIS CA'!B597)</f>
        <v/>
      </c>
      <c r="U606" t="s">
        <v>4290</v>
      </c>
      <c r="V606" t="str">
        <f t="shared" si="83"/>
        <v/>
      </c>
      <c r="W606" t="str">
        <f t="shared" si="82"/>
        <v/>
      </c>
    </row>
    <row r="607" spans="1:23">
      <c r="A607">
        <f>'IPTV US'!A598</f>
        <v>10864</v>
      </c>
      <c r="B607" t="str">
        <f>T('IPTV US'!B598)</f>
        <v>Cheaters</v>
      </c>
      <c r="C607" t="s">
        <v>4288</v>
      </c>
      <c r="D607" t="str">
        <f t="shared" si="76"/>
        <v/>
      </c>
      <c r="E607" t="str">
        <f t="shared" si="77"/>
        <v/>
      </c>
      <c r="F607" s="68" t="s">
        <v>4289</v>
      </c>
      <c r="G607">
        <f>'IPTV CA'!A598</f>
        <v>11197</v>
      </c>
      <c r="H607" t="str">
        <f>T('IPTV CA'!B598)</f>
        <v>RetroCrush</v>
      </c>
      <c r="I607" t="s">
        <v>4288</v>
      </c>
      <c r="J607" t="str">
        <f t="shared" si="78"/>
        <v/>
      </c>
      <c r="K607" t="str">
        <f t="shared" si="80"/>
        <v/>
      </c>
      <c r="L607" s="69"/>
      <c r="M607">
        <f>'TMIS US'!A598</f>
        <v>9464</v>
      </c>
      <c r="N607" t="str">
        <f>T('TMIS US'!B598)</f>
        <v>Cheaters</v>
      </c>
      <c r="O607" t="s">
        <v>4288</v>
      </c>
      <c r="P607" t="str">
        <f t="shared" si="79"/>
        <v/>
      </c>
      <c r="Q607" t="str">
        <f t="shared" si="81"/>
        <v/>
      </c>
      <c r="R607" s="69"/>
      <c r="S607">
        <f>'TMIS CA'!A598</f>
        <v>9797</v>
      </c>
      <c r="T607" t="str">
        <f>T('TMIS CA'!B598)</f>
        <v>RetroCrush</v>
      </c>
      <c r="U607" t="s">
        <v>4288</v>
      </c>
      <c r="V607" t="str">
        <f t="shared" si="83"/>
        <v/>
      </c>
      <c r="W607" t="str">
        <f t="shared" si="82"/>
        <v/>
      </c>
    </row>
    <row r="608" spans="1:23">
      <c r="A608">
        <f>'IPTV US'!A599</f>
        <v>10865</v>
      </c>
      <c r="B608" t="str">
        <f>T('IPTV US'!B599)</f>
        <v>Bravo Vault</v>
      </c>
      <c r="C608" t="s">
        <v>4288</v>
      </c>
      <c r="D608" t="str">
        <f t="shared" si="76"/>
        <v/>
      </c>
      <c r="E608" t="str">
        <f t="shared" si="77"/>
        <v/>
      </c>
      <c r="F608" s="68" t="s">
        <v>4289</v>
      </c>
      <c r="G608">
        <f>'IPTV CA'!A599</f>
        <v>11198</v>
      </c>
      <c r="H608" t="str">
        <f>T('IPTV CA'!B599)</f>
        <v>Animation+</v>
      </c>
      <c r="I608" t="s">
        <v>4288</v>
      </c>
      <c r="J608" t="str">
        <f t="shared" si="78"/>
        <v/>
      </c>
      <c r="K608" t="str">
        <f t="shared" si="80"/>
        <v/>
      </c>
      <c r="L608" s="69"/>
      <c r="M608">
        <f>'TMIS US'!A599</f>
        <v>9465</v>
      </c>
      <c r="N608" t="str">
        <f>T('TMIS US'!B599)</f>
        <v>Bravo Vault</v>
      </c>
      <c r="O608" t="s">
        <v>4288</v>
      </c>
      <c r="P608" t="str">
        <f t="shared" si="79"/>
        <v/>
      </c>
      <c r="Q608" t="str">
        <f t="shared" si="81"/>
        <v/>
      </c>
      <c r="R608" s="69"/>
      <c r="S608">
        <f>'TMIS CA'!A599</f>
        <v>9798</v>
      </c>
      <c r="T608" t="str">
        <f>T('TMIS CA'!B599)</f>
        <v>Animation+</v>
      </c>
      <c r="U608" t="s">
        <v>4288</v>
      </c>
      <c r="V608" t="str">
        <f t="shared" si="83"/>
        <v/>
      </c>
      <c r="W608" t="str">
        <f t="shared" si="82"/>
        <v/>
      </c>
    </row>
    <row r="609" spans="1:23">
      <c r="A609">
        <f>'IPTV US'!A600</f>
        <v>10866</v>
      </c>
      <c r="B609" t="str">
        <f>T('IPTV US'!B600)</f>
        <v>So... Real</v>
      </c>
      <c r="C609" t="s">
        <v>4288</v>
      </c>
      <c r="D609" t="str">
        <f t="shared" si="76"/>
        <v/>
      </c>
      <c r="E609" t="str">
        <f t="shared" si="77"/>
        <v/>
      </c>
      <c r="F609" s="68" t="s">
        <v>4289</v>
      </c>
      <c r="G609">
        <f>'IPTV CA'!A600</f>
        <v>11199</v>
      </c>
      <c r="H609" t="str">
        <f>T('IPTV CA'!B600)</f>
        <v/>
      </c>
      <c r="I609" t="s">
        <v>4290</v>
      </c>
      <c r="J609" t="str">
        <f t="shared" si="78"/>
        <v/>
      </c>
      <c r="K609" t="str">
        <f t="shared" si="80"/>
        <v/>
      </c>
      <c r="L609" s="69"/>
      <c r="M609">
        <f>'TMIS US'!A600</f>
        <v>9466</v>
      </c>
      <c r="N609" t="str">
        <f>T('TMIS US'!B600)</f>
        <v>So... Real</v>
      </c>
      <c r="O609" t="s">
        <v>4288</v>
      </c>
      <c r="P609" t="str">
        <f t="shared" si="79"/>
        <v/>
      </c>
      <c r="Q609" t="str">
        <f t="shared" si="81"/>
        <v/>
      </c>
      <c r="R609" s="69"/>
      <c r="S609">
        <f>'TMIS CA'!A600</f>
        <v>9799</v>
      </c>
      <c r="T609" t="str">
        <f>T('TMIS CA'!B600)</f>
        <v/>
      </c>
      <c r="U609" t="s">
        <v>4290</v>
      </c>
      <c r="V609" t="str">
        <f t="shared" si="83"/>
        <v/>
      </c>
      <c r="W609" t="str">
        <f t="shared" si="82"/>
        <v/>
      </c>
    </row>
    <row r="610" spans="1:23">
      <c r="A610">
        <f>'IPTV US'!A601</f>
        <v>10867</v>
      </c>
      <c r="B610" t="str">
        <f>T('IPTV US'!B601)</f>
        <v>E! Keeping Up</v>
      </c>
      <c r="C610" t="s">
        <v>4288</v>
      </c>
      <c r="D610" t="str">
        <f t="shared" si="76"/>
        <v/>
      </c>
      <c r="E610" t="str">
        <f t="shared" si="77"/>
        <v/>
      </c>
      <c r="F610" s="68" t="s">
        <v>4289</v>
      </c>
      <c r="G610">
        <f>'IPTV CA'!A601</f>
        <v>11200</v>
      </c>
      <c r="H610" t="str">
        <f>T('IPTV CA'!B601)</f>
        <v/>
      </c>
      <c r="I610" t="s">
        <v>4290</v>
      </c>
      <c r="J610" t="str">
        <f t="shared" si="78"/>
        <v/>
      </c>
      <c r="K610" t="str">
        <f t="shared" si="80"/>
        <v/>
      </c>
      <c r="L610" s="69"/>
      <c r="M610">
        <f>'TMIS US'!A601</f>
        <v>9467</v>
      </c>
      <c r="N610" t="str">
        <f>T('TMIS US'!B601)</f>
        <v>E! Keeping Up</v>
      </c>
      <c r="O610" t="s">
        <v>4288</v>
      </c>
      <c r="P610" t="str">
        <f t="shared" si="79"/>
        <v/>
      </c>
      <c r="Q610" t="str">
        <f t="shared" si="81"/>
        <v/>
      </c>
      <c r="R610" s="69"/>
      <c r="S610">
        <f>'TMIS CA'!A601</f>
        <v>9800</v>
      </c>
      <c r="T610" t="str">
        <f>T('TMIS CA'!B601)</f>
        <v/>
      </c>
      <c r="U610" t="s">
        <v>4290</v>
      </c>
      <c r="V610" t="str">
        <f t="shared" si="83"/>
        <v/>
      </c>
      <c r="W610" t="str">
        <f t="shared" si="82"/>
        <v/>
      </c>
    </row>
    <row r="611" spans="1:23">
      <c r="A611">
        <f>'IPTV US'!A602</f>
        <v>10868</v>
      </c>
      <c r="B611" t="str">
        <f>T('IPTV US'!B602)</f>
        <v>Real Housewives Vault</v>
      </c>
      <c r="C611" t="s">
        <v>4288</v>
      </c>
      <c r="D611" t="str">
        <f t="shared" si="76"/>
        <v/>
      </c>
      <c r="E611" t="str">
        <f t="shared" si="77"/>
        <v/>
      </c>
      <c r="F611" s="68" t="s">
        <v>4289</v>
      </c>
      <c r="G611">
        <f>'IPTV CA'!A602</f>
        <v>11201</v>
      </c>
      <c r="H611" t="str">
        <f>T('IPTV CA'!B602)</f>
        <v>Dungeon TV</v>
      </c>
      <c r="I611" t="s">
        <v>4288</v>
      </c>
      <c r="J611" t="str">
        <f t="shared" si="78"/>
        <v/>
      </c>
      <c r="K611" t="str">
        <f t="shared" si="80"/>
        <v/>
      </c>
      <c r="L611" s="69"/>
      <c r="M611">
        <f>'TMIS US'!A602</f>
        <v>9468</v>
      </c>
      <c r="N611" t="str">
        <f>T('TMIS US'!B602)</f>
        <v>Real Housewives Vault</v>
      </c>
      <c r="O611" t="s">
        <v>4288</v>
      </c>
      <c r="P611" t="str">
        <f t="shared" si="79"/>
        <v/>
      </c>
      <c r="Q611" t="str">
        <f t="shared" si="81"/>
        <v/>
      </c>
      <c r="R611" s="69"/>
      <c r="S611">
        <f>'TMIS CA'!A602</f>
        <v>9801</v>
      </c>
      <c r="T611" t="str">
        <f>T('TMIS CA'!B602)</f>
        <v>Dungeon TV</v>
      </c>
      <c r="U611" t="s">
        <v>4288</v>
      </c>
      <c r="V611" t="str">
        <f t="shared" si="83"/>
        <v/>
      </c>
      <c r="W611" t="str">
        <f t="shared" si="82"/>
        <v/>
      </c>
    </row>
    <row r="612" spans="1:23">
      <c r="A612">
        <f>'IPTV US'!A603</f>
        <v>10869</v>
      </c>
      <c r="B612" t="str">
        <f>T('IPTV US'!B603)</f>
        <v>Dance Moms by Lifetime</v>
      </c>
      <c r="C612" t="s">
        <v>4288</v>
      </c>
      <c r="D612" t="str">
        <f t="shared" si="76"/>
        <v/>
      </c>
      <c r="E612" t="str">
        <f t="shared" si="77"/>
        <v/>
      </c>
      <c r="F612" s="68" t="s">
        <v>4289</v>
      </c>
      <c r="G612">
        <f>'IPTV CA'!A603</f>
        <v>11202</v>
      </c>
      <c r="H612" t="str">
        <f>T('IPTV CA'!B603)</f>
        <v/>
      </c>
      <c r="I612" t="s">
        <v>4290</v>
      </c>
      <c r="J612" t="str">
        <f t="shared" si="78"/>
        <v/>
      </c>
      <c r="K612" t="str">
        <f t="shared" si="80"/>
        <v/>
      </c>
      <c r="L612" s="69"/>
      <c r="M612">
        <f>'TMIS US'!A603</f>
        <v>9469</v>
      </c>
      <c r="N612" t="str">
        <f>T('TMIS US'!B603)</f>
        <v>Dance Moms by Lifetime</v>
      </c>
      <c r="O612" t="s">
        <v>4288</v>
      </c>
      <c r="P612" t="str">
        <f t="shared" si="79"/>
        <v/>
      </c>
      <c r="Q612" t="str">
        <f t="shared" si="81"/>
        <v/>
      </c>
      <c r="R612" s="69"/>
      <c r="S612">
        <f>'TMIS CA'!A603</f>
        <v>9802</v>
      </c>
      <c r="T612" t="str">
        <f>T('TMIS CA'!B603)</f>
        <v/>
      </c>
      <c r="U612" t="s">
        <v>4290</v>
      </c>
      <c r="V612" t="str">
        <f t="shared" si="83"/>
        <v/>
      </c>
      <c r="W612" t="str">
        <f t="shared" si="82"/>
        <v/>
      </c>
    </row>
    <row r="613" spans="1:23">
      <c r="A613">
        <f>'IPTV US'!A604</f>
        <v>10870</v>
      </c>
      <c r="B613" t="str">
        <f>T('IPTV US'!B604)</f>
        <v/>
      </c>
      <c r="C613" t="s">
        <v>4290</v>
      </c>
      <c r="D613" t="str">
        <f t="shared" si="76"/>
        <v/>
      </c>
      <c r="E613" t="str">
        <f t="shared" si="77"/>
        <v/>
      </c>
      <c r="F613" s="68" t="s">
        <v>4289</v>
      </c>
      <c r="G613">
        <f>'IPTV CA'!A604</f>
        <v>11203</v>
      </c>
      <c r="H613" t="str">
        <f>T('IPTV CA'!B604)</f>
        <v/>
      </c>
      <c r="I613" t="s">
        <v>4290</v>
      </c>
      <c r="J613" t="str">
        <f t="shared" si="78"/>
        <v/>
      </c>
      <c r="K613" t="str">
        <f t="shared" si="80"/>
        <v/>
      </c>
      <c r="L613" s="69"/>
      <c r="M613">
        <f>'TMIS US'!A604</f>
        <v>9470</v>
      </c>
      <c r="N613" t="str">
        <f>T('TMIS US'!B604)</f>
        <v/>
      </c>
      <c r="O613" t="s">
        <v>4290</v>
      </c>
      <c r="P613" t="str">
        <f t="shared" si="79"/>
        <v/>
      </c>
      <c r="Q613" t="str">
        <f t="shared" si="81"/>
        <v/>
      </c>
      <c r="R613" s="69"/>
      <c r="S613">
        <f>'TMIS CA'!A604</f>
        <v>9803</v>
      </c>
      <c r="T613" t="str">
        <f>T('TMIS CA'!B604)</f>
        <v/>
      </c>
      <c r="U613" t="s">
        <v>4290</v>
      </c>
      <c r="V613" t="str">
        <f t="shared" si="83"/>
        <v/>
      </c>
      <c r="W613" t="str">
        <f t="shared" si="82"/>
        <v/>
      </c>
    </row>
    <row r="614" spans="1:23">
      <c r="A614">
        <f>'IPTV US'!A605</f>
        <v>10871</v>
      </c>
      <c r="B614" t="str">
        <f>T('IPTV US'!B605)</f>
        <v/>
      </c>
      <c r="C614" t="s">
        <v>4290</v>
      </c>
      <c r="D614" t="str">
        <f t="shared" si="76"/>
        <v/>
      </c>
      <c r="E614" t="str">
        <f t="shared" si="77"/>
        <v/>
      </c>
      <c r="F614" s="68" t="s">
        <v>4289</v>
      </c>
      <c r="G614">
        <f>'IPTV CA'!A605</f>
        <v>11204</v>
      </c>
      <c r="H614" t="str">
        <f>T('IPTV CA'!B605)</f>
        <v/>
      </c>
      <c r="I614" t="s">
        <v>4290</v>
      </c>
      <c r="J614" t="str">
        <f t="shared" si="78"/>
        <v/>
      </c>
      <c r="K614" t="str">
        <f t="shared" si="80"/>
        <v/>
      </c>
      <c r="L614" s="69"/>
      <c r="M614">
        <f>'TMIS US'!A605</f>
        <v>9471</v>
      </c>
      <c r="N614" t="str">
        <f>T('TMIS US'!B605)</f>
        <v/>
      </c>
      <c r="O614" t="s">
        <v>4290</v>
      </c>
      <c r="P614" t="str">
        <f t="shared" si="79"/>
        <v/>
      </c>
      <c r="Q614" t="str">
        <f t="shared" si="81"/>
        <v/>
      </c>
      <c r="R614" s="69"/>
      <c r="S614">
        <f>'TMIS CA'!A605</f>
        <v>9804</v>
      </c>
      <c r="T614" t="str">
        <f>T('TMIS CA'!B605)</f>
        <v/>
      </c>
      <c r="U614" t="s">
        <v>4290</v>
      </c>
      <c r="V614" t="str">
        <f t="shared" si="83"/>
        <v/>
      </c>
      <c r="W614" t="str">
        <f t="shared" si="82"/>
        <v/>
      </c>
    </row>
    <row r="615" spans="1:23">
      <c r="A615">
        <f>'IPTV US'!A606</f>
        <v>10872</v>
      </c>
      <c r="B615" t="str">
        <f>T('IPTV US'!B606)</f>
        <v>Perform by Lifetime</v>
      </c>
      <c r="C615" t="s">
        <v>4288</v>
      </c>
      <c r="D615" t="str">
        <f t="shared" si="76"/>
        <v/>
      </c>
      <c r="E615" t="str">
        <f t="shared" si="77"/>
        <v/>
      </c>
      <c r="F615" s="68" t="s">
        <v>4289</v>
      </c>
      <c r="G615">
        <f>'IPTV CA'!A606</f>
        <v>11205</v>
      </c>
      <c r="H615" t="str">
        <f>T('IPTV CA'!B606)</f>
        <v/>
      </c>
      <c r="I615" t="s">
        <v>4290</v>
      </c>
      <c r="J615" t="str">
        <f t="shared" si="78"/>
        <v/>
      </c>
      <c r="K615" t="str">
        <f t="shared" si="80"/>
        <v/>
      </c>
      <c r="L615" s="69"/>
      <c r="M615">
        <f>'TMIS US'!A606</f>
        <v>9472</v>
      </c>
      <c r="N615" t="str">
        <f>T('TMIS US'!B606)</f>
        <v>Perform by Lifetime</v>
      </c>
      <c r="O615" t="s">
        <v>4288</v>
      </c>
      <c r="P615" t="str">
        <f t="shared" si="79"/>
        <v/>
      </c>
      <c r="Q615" t="str">
        <f t="shared" si="81"/>
        <v/>
      </c>
      <c r="R615" s="69"/>
      <c r="S615">
        <f>'TMIS CA'!A606</f>
        <v>9805</v>
      </c>
      <c r="T615" t="str">
        <f>T('TMIS CA'!B606)</f>
        <v/>
      </c>
      <c r="U615" t="s">
        <v>4290</v>
      </c>
      <c r="V615" t="str">
        <f t="shared" si="83"/>
        <v/>
      </c>
      <c r="W615" t="str">
        <f t="shared" si="82"/>
        <v/>
      </c>
    </row>
    <row r="616" spans="1:23">
      <c r="A616">
        <f>'IPTV US'!A607</f>
        <v>10873</v>
      </c>
      <c r="B616" t="str">
        <f>T('IPTV US'!B607)</f>
        <v>Say Yes to the Dress</v>
      </c>
      <c r="C616" t="s">
        <v>4288</v>
      </c>
      <c r="D616" t="str">
        <f t="shared" si="76"/>
        <v/>
      </c>
      <c r="E616" t="str">
        <f t="shared" si="77"/>
        <v/>
      </c>
      <c r="F616" s="68" t="s">
        <v>4289</v>
      </c>
      <c r="G616">
        <f>'IPTV CA'!A607</f>
        <v>11206</v>
      </c>
      <c r="H616" t="str">
        <f>T('IPTV CA'!B607)</f>
        <v/>
      </c>
      <c r="I616" t="s">
        <v>4290</v>
      </c>
      <c r="J616" t="str">
        <f t="shared" si="78"/>
        <v/>
      </c>
      <c r="K616" t="str">
        <f t="shared" si="80"/>
        <v/>
      </c>
      <c r="L616" s="69"/>
      <c r="M616">
        <f>'TMIS US'!A607</f>
        <v>9473</v>
      </c>
      <c r="N616" t="str">
        <f>T('TMIS US'!B607)</f>
        <v>Say Yes to the Dress</v>
      </c>
      <c r="O616" t="s">
        <v>4288</v>
      </c>
      <c r="P616" t="str">
        <f t="shared" si="79"/>
        <v/>
      </c>
      <c r="Q616" t="str">
        <f t="shared" si="81"/>
        <v/>
      </c>
      <c r="R616" s="69"/>
      <c r="S616">
        <f>'TMIS CA'!A607</f>
        <v>9806</v>
      </c>
      <c r="T616" t="str">
        <f>T('TMIS CA'!B607)</f>
        <v/>
      </c>
      <c r="U616" t="s">
        <v>4290</v>
      </c>
      <c r="V616" t="str">
        <f t="shared" si="83"/>
        <v/>
      </c>
      <c r="W616" t="str">
        <f t="shared" si="82"/>
        <v/>
      </c>
    </row>
    <row r="617" spans="1:23">
      <c r="A617">
        <f>'IPTV US'!A608</f>
        <v>10874</v>
      </c>
      <c r="B617" t="str">
        <f>T('IPTV US'!B608)</f>
        <v>Love &amp; Marriage</v>
      </c>
      <c r="C617" t="s">
        <v>4288</v>
      </c>
      <c r="D617" t="str">
        <f t="shared" si="76"/>
        <v/>
      </c>
      <c r="E617" t="str">
        <f t="shared" si="77"/>
        <v/>
      </c>
      <c r="F617" s="68" t="s">
        <v>4289</v>
      </c>
      <c r="G617">
        <f>'IPTV CA'!A608</f>
        <v>11207</v>
      </c>
      <c r="H617" t="str">
        <f>T('IPTV CA'!B608)</f>
        <v>BABY SHARK TV</v>
      </c>
      <c r="I617" t="s">
        <v>4288</v>
      </c>
      <c r="J617" t="str">
        <f t="shared" si="78"/>
        <v/>
      </c>
      <c r="K617" t="str">
        <f t="shared" si="80"/>
        <v/>
      </c>
      <c r="L617" s="69"/>
      <c r="M617">
        <f>'TMIS US'!A608</f>
        <v>9474</v>
      </c>
      <c r="N617" t="str">
        <f>T('TMIS US'!B608)</f>
        <v>Love &amp; Marriage</v>
      </c>
      <c r="O617" t="s">
        <v>4288</v>
      </c>
      <c r="P617" t="str">
        <f t="shared" si="79"/>
        <v/>
      </c>
      <c r="Q617" t="str">
        <f t="shared" si="81"/>
        <v/>
      </c>
      <c r="R617" s="69"/>
      <c r="S617">
        <f>'TMIS CA'!A608</f>
        <v>9807</v>
      </c>
      <c r="T617" t="str">
        <f>T('TMIS CA'!B608)</f>
        <v>BABY SHARK TV</v>
      </c>
      <c r="U617" t="s">
        <v>4288</v>
      </c>
      <c r="V617" t="str">
        <f t="shared" si="83"/>
        <v/>
      </c>
      <c r="W617" t="str">
        <f t="shared" si="82"/>
        <v/>
      </c>
    </row>
    <row r="618" spans="1:23">
      <c r="A618">
        <f>'IPTV US'!A609</f>
        <v>10875</v>
      </c>
      <c r="B618" t="str">
        <f>T('IPTV US'!B609)</f>
        <v>Matched Married Meet</v>
      </c>
      <c r="C618" t="s">
        <v>4288</v>
      </c>
      <c r="D618" t="str">
        <f t="shared" si="76"/>
        <v/>
      </c>
      <c r="E618" t="str">
        <f t="shared" si="77"/>
        <v/>
      </c>
      <c r="F618" s="68" t="s">
        <v>4289</v>
      </c>
      <c r="G618">
        <f>'IPTV CA'!A609</f>
        <v>11208</v>
      </c>
      <c r="H618" t="str">
        <f>T('IPTV CA'!B609)</f>
        <v>Kidoodle TV</v>
      </c>
      <c r="I618" t="s">
        <v>4288</v>
      </c>
      <c r="J618" t="str">
        <f t="shared" si="78"/>
        <v/>
      </c>
      <c r="K618" t="str">
        <f t="shared" si="80"/>
        <v/>
      </c>
      <c r="L618" s="69"/>
      <c r="M618">
        <f>'TMIS US'!A609</f>
        <v>9475</v>
      </c>
      <c r="N618" t="str">
        <f>T('TMIS US'!B609)</f>
        <v>Matched Married Meet</v>
      </c>
      <c r="O618" t="s">
        <v>4288</v>
      </c>
      <c r="P618" t="str">
        <f t="shared" si="79"/>
        <v/>
      </c>
      <c r="Q618" t="str">
        <f t="shared" si="81"/>
        <v/>
      </c>
      <c r="R618" s="69"/>
      <c r="S618">
        <f>'TMIS CA'!A609</f>
        <v>9808</v>
      </c>
      <c r="T618" t="str">
        <f>T('TMIS CA'!B609)</f>
        <v>Kidoodle TV</v>
      </c>
      <c r="U618" t="s">
        <v>4288</v>
      </c>
      <c r="V618" t="str">
        <f t="shared" si="83"/>
        <v/>
      </c>
      <c r="W618" t="str">
        <f t="shared" si="82"/>
        <v/>
      </c>
    </row>
    <row r="619" spans="1:23">
      <c r="A619">
        <f>'IPTV US'!A610</f>
        <v>10876</v>
      </c>
      <c r="B619" t="str">
        <f>T('IPTV US'!B610)</f>
        <v>Family Unscripted</v>
      </c>
      <c r="C619" t="s">
        <v>4288</v>
      </c>
      <c r="D619" t="str">
        <f t="shared" si="76"/>
        <v/>
      </c>
      <c r="E619" t="str">
        <f t="shared" si="77"/>
        <v/>
      </c>
      <c r="F619" s="68" t="s">
        <v>4289</v>
      </c>
      <c r="G619">
        <f>'IPTV CA'!A610</f>
        <v>11209</v>
      </c>
      <c r="H619" t="str">
        <f>T('IPTV CA'!B610)</f>
        <v/>
      </c>
      <c r="I619" t="s">
        <v>4290</v>
      </c>
      <c r="J619" t="str">
        <f t="shared" si="78"/>
        <v/>
      </c>
      <c r="K619" t="str">
        <f t="shared" si="80"/>
        <v/>
      </c>
      <c r="L619" s="69"/>
      <c r="M619">
        <f>'TMIS US'!A610</f>
        <v>9476</v>
      </c>
      <c r="N619" t="str">
        <f>T('TMIS US'!B610)</f>
        <v>Family Unscripted</v>
      </c>
      <c r="O619" t="s">
        <v>4288</v>
      </c>
      <c r="P619" t="str">
        <f t="shared" si="79"/>
        <v/>
      </c>
      <c r="Q619" t="str">
        <f t="shared" si="81"/>
        <v/>
      </c>
      <c r="R619" s="69"/>
      <c r="S619">
        <f>'TMIS CA'!A610</f>
        <v>9809</v>
      </c>
      <c r="T619" t="str">
        <f>T('TMIS CA'!B610)</f>
        <v/>
      </c>
      <c r="U619" t="s">
        <v>4290</v>
      </c>
      <c r="V619" t="str">
        <f t="shared" si="83"/>
        <v/>
      </c>
      <c r="W619" t="str">
        <f t="shared" si="82"/>
        <v/>
      </c>
    </row>
    <row r="620" spans="1:23">
      <c r="A620">
        <f>'IPTV US'!A611</f>
        <v>10877</v>
      </c>
      <c r="B620" t="str">
        <f>T('IPTV US'!B611)</f>
        <v>Real Disaster Channel</v>
      </c>
      <c r="C620" t="s">
        <v>4288</v>
      </c>
      <c r="D620" t="str">
        <f t="shared" si="76"/>
        <v/>
      </c>
      <c r="E620" t="str">
        <f t="shared" si="77"/>
        <v/>
      </c>
      <c r="F620" s="68" t="s">
        <v>4289</v>
      </c>
      <c r="G620">
        <f>'IPTV CA'!A611</f>
        <v>11210</v>
      </c>
      <c r="H620" t="str">
        <f>T('IPTV CA'!B611)</f>
        <v/>
      </c>
      <c r="I620" t="s">
        <v>4290</v>
      </c>
      <c r="J620" t="str">
        <f t="shared" si="78"/>
        <v/>
      </c>
      <c r="K620" t="str">
        <f t="shared" si="80"/>
        <v/>
      </c>
      <c r="L620" s="69"/>
      <c r="M620">
        <f>'TMIS US'!A611</f>
        <v>9477</v>
      </c>
      <c r="N620" t="str">
        <f>T('TMIS US'!B611)</f>
        <v>Real Disaster Channel</v>
      </c>
      <c r="O620" t="s">
        <v>4288</v>
      </c>
      <c r="P620" t="str">
        <f t="shared" si="79"/>
        <v/>
      </c>
      <c r="Q620" t="str">
        <f t="shared" si="81"/>
        <v/>
      </c>
      <c r="R620" s="69"/>
      <c r="S620">
        <f>'TMIS CA'!A611</f>
        <v>9810</v>
      </c>
      <c r="T620" t="str">
        <f>T('TMIS CA'!B611)</f>
        <v/>
      </c>
      <c r="U620" t="s">
        <v>4290</v>
      </c>
      <c r="V620" t="str">
        <f t="shared" si="83"/>
        <v/>
      </c>
      <c r="W620" t="str">
        <f t="shared" si="82"/>
        <v/>
      </c>
    </row>
    <row r="621" spans="1:23">
      <c r="A621">
        <f>'IPTV US'!A612</f>
        <v>10878</v>
      </c>
      <c r="B621" t="str">
        <f>T('IPTV US'!B612)</f>
        <v/>
      </c>
      <c r="C621" t="s">
        <v>4290</v>
      </c>
      <c r="D621" t="str">
        <f t="shared" si="76"/>
        <v/>
      </c>
      <c r="E621" t="str">
        <f t="shared" si="77"/>
        <v/>
      </c>
      <c r="F621" s="68" t="s">
        <v>4289</v>
      </c>
      <c r="G621">
        <f>'IPTV CA'!A612</f>
        <v>11211</v>
      </c>
      <c r="H621" t="str">
        <f>T('IPTV CA'!B612)</f>
        <v/>
      </c>
      <c r="I621" t="s">
        <v>4290</v>
      </c>
      <c r="J621" t="str">
        <f t="shared" si="78"/>
        <v/>
      </c>
      <c r="K621" t="str">
        <f t="shared" si="80"/>
        <v/>
      </c>
      <c r="L621" s="69"/>
      <c r="M621">
        <f>'TMIS US'!A612</f>
        <v>9478</v>
      </c>
      <c r="N621" t="str">
        <f>T('TMIS US'!B612)</f>
        <v/>
      </c>
      <c r="O621" t="s">
        <v>4290</v>
      </c>
      <c r="P621" t="str">
        <f t="shared" si="79"/>
        <v/>
      </c>
      <c r="Q621" t="str">
        <f t="shared" si="81"/>
        <v/>
      </c>
      <c r="R621" s="69"/>
      <c r="S621">
        <f>'TMIS CA'!A612</f>
        <v>9811</v>
      </c>
      <c r="T621" t="str">
        <f>T('TMIS CA'!B612)</f>
        <v/>
      </c>
      <c r="U621" t="s">
        <v>4290</v>
      </c>
      <c r="V621" t="str">
        <f t="shared" si="83"/>
        <v/>
      </c>
      <c r="W621" t="str">
        <f t="shared" si="82"/>
        <v/>
      </c>
    </row>
    <row r="622" spans="1:23">
      <c r="A622">
        <f>'IPTV US'!A613</f>
        <v>10879</v>
      </c>
      <c r="B622" t="str">
        <f>T('IPTV US'!B613)</f>
        <v/>
      </c>
      <c r="C622" t="s">
        <v>4290</v>
      </c>
      <c r="D622" t="str">
        <f t="shared" si="76"/>
        <v/>
      </c>
      <c r="E622" t="str">
        <f t="shared" si="77"/>
        <v/>
      </c>
      <c r="F622" s="68" t="s">
        <v>4289</v>
      </c>
      <c r="G622">
        <f>'IPTV CA'!A613</f>
        <v>11212</v>
      </c>
      <c r="H622" t="str">
        <f>T('IPTV CA'!B613)</f>
        <v>Transformers</v>
      </c>
      <c r="I622" t="s">
        <v>4288</v>
      </c>
      <c r="J622" t="str">
        <f t="shared" si="78"/>
        <v/>
      </c>
      <c r="K622" t="str">
        <f t="shared" si="80"/>
        <v/>
      </c>
      <c r="L622" s="69"/>
      <c r="M622">
        <f>'TMIS US'!A613</f>
        <v>9479</v>
      </c>
      <c r="N622" t="str">
        <f>T('TMIS US'!B613)</f>
        <v/>
      </c>
      <c r="O622" t="s">
        <v>4290</v>
      </c>
      <c r="P622" t="str">
        <f t="shared" si="79"/>
        <v/>
      </c>
      <c r="Q622" t="str">
        <f t="shared" si="81"/>
        <v/>
      </c>
      <c r="R622" s="69"/>
      <c r="S622">
        <f>'TMIS CA'!A613</f>
        <v>9812</v>
      </c>
      <c r="T622" t="str">
        <f>T('TMIS CA'!B613)</f>
        <v>Transformers</v>
      </c>
      <c r="U622" t="s">
        <v>4288</v>
      </c>
      <c r="V622" t="str">
        <f t="shared" si="83"/>
        <v/>
      </c>
      <c r="W622" t="str">
        <f t="shared" si="82"/>
        <v/>
      </c>
    </row>
    <row r="623" spans="1:23">
      <c r="A623">
        <f>'IPTV US'!A614</f>
        <v>10880</v>
      </c>
      <c r="B623" t="str">
        <f>T('IPTV US'!B614)</f>
        <v>MythBusters</v>
      </c>
      <c r="C623" t="s">
        <v>4288</v>
      </c>
      <c r="D623" t="str">
        <f t="shared" si="76"/>
        <v/>
      </c>
      <c r="E623" t="str">
        <f t="shared" si="77"/>
        <v/>
      </c>
      <c r="F623" s="68" t="s">
        <v>4289</v>
      </c>
      <c r="G623">
        <f>'IPTV CA'!A614</f>
        <v>11213</v>
      </c>
      <c r="H623" t="str">
        <f>T('IPTV CA'!B614)</f>
        <v>Power Rangers</v>
      </c>
      <c r="I623" t="s">
        <v>4288</v>
      </c>
      <c r="J623" t="str">
        <f t="shared" si="78"/>
        <v/>
      </c>
      <c r="K623" t="str">
        <f t="shared" si="80"/>
        <v/>
      </c>
      <c r="L623" s="69"/>
      <c r="M623">
        <f>'TMIS US'!A614</f>
        <v>9480</v>
      </c>
      <c r="N623" t="str">
        <f>T('TMIS US'!B614)</f>
        <v>MythBusters</v>
      </c>
      <c r="O623" t="s">
        <v>4288</v>
      </c>
      <c r="P623" t="str">
        <f t="shared" si="79"/>
        <v/>
      </c>
      <c r="Q623" t="str">
        <f t="shared" si="81"/>
        <v/>
      </c>
      <c r="R623" s="69"/>
      <c r="S623">
        <f>'TMIS CA'!A614</f>
        <v>9813</v>
      </c>
      <c r="T623" t="str">
        <f>T('TMIS CA'!B614)</f>
        <v>Power Rangers</v>
      </c>
      <c r="U623" t="s">
        <v>4288</v>
      </c>
      <c r="V623" t="str">
        <f t="shared" si="83"/>
        <v/>
      </c>
      <c r="W623" t="str">
        <f t="shared" si="82"/>
        <v/>
      </c>
    </row>
    <row r="624" spans="1:23">
      <c r="A624">
        <f>'IPTV US'!A615</f>
        <v>10881</v>
      </c>
      <c r="B624" t="str">
        <f>T('IPTV US'!B615)</f>
        <v>Jade Fever</v>
      </c>
      <c r="C624" t="s">
        <v>4288</v>
      </c>
      <c r="D624" t="str">
        <f t="shared" si="76"/>
        <v/>
      </c>
      <c r="E624" t="str">
        <f t="shared" si="77"/>
        <v/>
      </c>
      <c r="F624" s="68" t="s">
        <v>4289</v>
      </c>
      <c r="G624">
        <f>'IPTV CA'!A615</f>
        <v>11214</v>
      </c>
      <c r="H624" t="str">
        <f>T('IPTV CA'!B615)</f>
        <v>Sonic TV</v>
      </c>
      <c r="I624" t="s">
        <v>4288</v>
      </c>
      <c r="J624" t="str">
        <f t="shared" si="78"/>
        <v/>
      </c>
      <c r="K624" t="str">
        <f t="shared" si="80"/>
        <v/>
      </c>
      <c r="L624" s="69"/>
      <c r="M624">
        <f>'TMIS US'!A615</f>
        <v>9481</v>
      </c>
      <c r="N624" t="str">
        <f>T('TMIS US'!B615)</f>
        <v>Jade Fever</v>
      </c>
      <c r="O624" t="s">
        <v>4288</v>
      </c>
      <c r="P624" t="str">
        <f t="shared" si="79"/>
        <v/>
      </c>
      <c r="Q624" t="str">
        <f t="shared" si="81"/>
        <v/>
      </c>
      <c r="R624" s="69"/>
      <c r="S624">
        <f>'TMIS CA'!A615</f>
        <v>9814</v>
      </c>
      <c r="T624" t="str">
        <f>T('TMIS CA'!B615)</f>
        <v>Sonic TV</v>
      </c>
      <c r="U624" t="s">
        <v>4288</v>
      </c>
      <c r="V624" t="str">
        <f t="shared" si="83"/>
        <v/>
      </c>
      <c r="W624" t="str">
        <f t="shared" si="82"/>
        <v/>
      </c>
    </row>
    <row r="625" spans="1:23">
      <c r="A625">
        <f>'IPTV US'!A616</f>
        <v>10882</v>
      </c>
      <c r="B625" t="str">
        <f>T('IPTV US'!B616)</f>
        <v>Storage Wars by A&amp;E</v>
      </c>
      <c r="C625" t="s">
        <v>4288</v>
      </c>
      <c r="D625" t="str">
        <f t="shared" si="76"/>
        <v/>
      </c>
      <c r="E625" t="str">
        <f t="shared" si="77"/>
        <v/>
      </c>
      <c r="F625" s="68" t="s">
        <v>4289</v>
      </c>
      <c r="G625">
        <f>'IPTV CA'!A616</f>
        <v>11215</v>
      </c>
      <c r="H625" t="str">
        <f>T('IPTV CA'!B616)</f>
        <v>Sonic The Hedgehog</v>
      </c>
      <c r="I625" t="s">
        <v>4288</v>
      </c>
      <c r="J625" t="str">
        <f t="shared" si="78"/>
        <v/>
      </c>
      <c r="K625" t="str">
        <f t="shared" si="80"/>
        <v/>
      </c>
      <c r="L625" s="69"/>
      <c r="M625">
        <f>'TMIS US'!A616</f>
        <v>9482</v>
      </c>
      <c r="N625" t="str">
        <f>T('TMIS US'!B616)</f>
        <v>Storage Wars by A&amp;E</v>
      </c>
      <c r="O625" t="s">
        <v>4288</v>
      </c>
      <c r="P625" t="str">
        <f t="shared" si="79"/>
        <v/>
      </c>
      <c r="Q625" t="str">
        <f t="shared" si="81"/>
        <v/>
      </c>
      <c r="R625" s="69"/>
      <c r="S625">
        <f>'TMIS CA'!A616</f>
        <v>9815</v>
      </c>
      <c r="T625" t="str">
        <f>T('TMIS CA'!B616)</f>
        <v>Sonic The Hedgehog</v>
      </c>
      <c r="U625" t="s">
        <v>4288</v>
      </c>
      <c r="V625" t="str">
        <f t="shared" si="83"/>
        <v/>
      </c>
      <c r="W625" t="str">
        <f t="shared" si="82"/>
        <v/>
      </c>
    </row>
    <row r="626" spans="1:23">
      <c r="A626">
        <f>'IPTV US'!A617</f>
        <v>10883</v>
      </c>
      <c r="B626" t="str">
        <f>T('IPTV US'!B617)</f>
        <v/>
      </c>
      <c r="C626" t="s">
        <v>4290</v>
      </c>
      <c r="D626" t="str">
        <f t="shared" si="76"/>
        <v/>
      </c>
      <c r="E626" t="str">
        <f t="shared" si="77"/>
        <v/>
      </c>
      <c r="F626" s="68" t="s">
        <v>4289</v>
      </c>
      <c r="G626">
        <f>'IPTV CA'!A617</f>
        <v>11216</v>
      </c>
      <c r="H626" t="str">
        <f>T('IPTV CA'!B617)</f>
        <v>Strawberry Shortcake</v>
      </c>
      <c r="I626" t="s">
        <v>4288</v>
      </c>
      <c r="J626" t="str">
        <f t="shared" si="78"/>
        <v/>
      </c>
      <c r="K626" t="str">
        <f t="shared" si="80"/>
        <v/>
      </c>
      <c r="L626" s="69"/>
      <c r="M626">
        <f>'TMIS US'!A617</f>
        <v>9483</v>
      </c>
      <c r="N626" t="str">
        <f>T('TMIS US'!B617)</f>
        <v/>
      </c>
      <c r="O626" t="s">
        <v>4290</v>
      </c>
      <c r="P626" t="str">
        <f t="shared" si="79"/>
        <v/>
      </c>
      <c r="Q626" t="str">
        <f t="shared" si="81"/>
        <v/>
      </c>
      <c r="R626" s="69"/>
      <c r="S626">
        <f>'TMIS CA'!A617</f>
        <v>9816</v>
      </c>
      <c r="T626" t="str">
        <f>T('TMIS CA'!B617)</f>
        <v>Strawberry Shortcake</v>
      </c>
      <c r="U626" t="s">
        <v>4288</v>
      </c>
      <c r="V626" t="str">
        <f t="shared" si="83"/>
        <v/>
      </c>
      <c r="W626" t="str">
        <f t="shared" si="82"/>
        <v/>
      </c>
    </row>
    <row r="627" spans="1:23">
      <c r="A627">
        <f>'IPTV US'!A618</f>
        <v>10884</v>
      </c>
      <c r="B627" t="str">
        <f>T('IPTV US'!B618)</f>
        <v/>
      </c>
      <c r="C627" t="s">
        <v>4290</v>
      </c>
      <c r="D627" t="str">
        <f t="shared" si="76"/>
        <v/>
      </c>
      <c r="E627" t="str">
        <f t="shared" si="77"/>
        <v/>
      </c>
      <c r="F627" s="68" t="s">
        <v>4289</v>
      </c>
      <c r="G627">
        <f>'IPTV CA'!A618</f>
        <v>11217</v>
      </c>
      <c r="H627" t="str">
        <f>T('IPTV CA'!B618)</f>
        <v>Teletubbies</v>
      </c>
      <c r="I627" t="s">
        <v>4288</v>
      </c>
      <c r="J627" t="str">
        <f t="shared" si="78"/>
        <v/>
      </c>
      <c r="K627" t="str">
        <f t="shared" si="80"/>
        <v/>
      </c>
      <c r="L627" s="69"/>
      <c r="M627">
        <f>'TMIS US'!A618</f>
        <v>9484</v>
      </c>
      <c r="N627" t="str">
        <f>T('TMIS US'!B618)</f>
        <v/>
      </c>
      <c r="O627" t="s">
        <v>4290</v>
      </c>
      <c r="P627" t="str">
        <f t="shared" si="79"/>
        <v/>
      </c>
      <c r="Q627" t="str">
        <f t="shared" si="81"/>
        <v/>
      </c>
      <c r="R627" s="69"/>
      <c r="S627">
        <f>'TMIS CA'!A618</f>
        <v>9817</v>
      </c>
      <c r="T627" t="str">
        <f>T('TMIS CA'!B618)</f>
        <v>Teletubbies</v>
      </c>
      <c r="U627" t="s">
        <v>4288</v>
      </c>
      <c r="V627" t="str">
        <f t="shared" si="83"/>
        <v/>
      </c>
      <c r="W627" t="str">
        <f t="shared" si="82"/>
        <v/>
      </c>
    </row>
    <row r="628" spans="1:23">
      <c r="A628">
        <f>'IPTV US'!A619</f>
        <v>10885</v>
      </c>
      <c r="B628" t="str">
        <f>T('IPTV US'!B619)</f>
        <v>Fear Factor</v>
      </c>
      <c r="C628" t="s">
        <v>4288</v>
      </c>
      <c r="D628" t="str">
        <f t="shared" si="76"/>
        <v/>
      </c>
      <c r="E628" t="str">
        <f t="shared" si="77"/>
        <v/>
      </c>
      <c r="F628" s="68" t="s">
        <v>4289</v>
      </c>
      <c r="G628">
        <f>'IPTV CA'!A619</f>
        <v>11218</v>
      </c>
      <c r="H628" t="str">
        <f>T('IPTV CA'!B619)</f>
        <v/>
      </c>
      <c r="I628" t="s">
        <v>4290</v>
      </c>
      <c r="J628" t="str">
        <f t="shared" si="78"/>
        <v/>
      </c>
      <c r="K628" t="str">
        <f t="shared" si="80"/>
        <v/>
      </c>
      <c r="L628" s="69"/>
      <c r="M628">
        <f>'TMIS US'!A619</f>
        <v>9485</v>
      </c>
      <c r="N628" t="str">
        <f>T('TMIS US'!B619)</f>
        <v>Fear Factor</v>
      </c>
      <c r="O628" t="s">
        <v>4288</v>
      </c>
      <c r="P628" t="str">
        <f t="shared" si="79"/>
        <v/>
      </c>
      <c r="Q628" t="str">
        <f t="shared" si="81"/>
        <v/>
      </c>
      <c r="R628" s="69"/>
      <c r="S628">
        <f>'TMIS CA'!A619</f>
        <v>9818</v>
      </c>
      <c r="T628" t="str">
        <f>T('TMIS CA'!B619)</f>
        <v/>
      </c>
      <c r="U628" t="s">
        <v>4290</v>
      </c>
      <c r="V628" t="str">
        <f t="shared" si="83"/>
        <v/>
      </c>
      <c r="W628" t="str">
        <f t="shared" si="82"/>
        <v/>
      </c>
    </row>
    <row r="629" spans="1:23">
      <c r="A629">
        <f>'IPTV US'!A620</f>
        <v>10886</v>
      </c>
      <c r="B629" t="str">
        <f>T('IPTV US'!B620)</f>
        <v>Celebrity Name Game</v>
      </c>
      <c r="C629" t="s">
        <v>4288</v>
      </c>
      <c r="D629" t="str">
        <f t="shared" si="76"/>
        <v/>
      </c>
      <c r="E629" t="str">
        <f t="shared" si="77"/>
        <v/>
      </c>
      <c r="F629" s="68" t="s">
        <v>4289</v>
      </c>
      <c r="G629">
        <f>'IPTV CA'!A620</f>
        <v>11219</v>
      </c>
      <c r="H629" t="str">
        <f>T('IPTV CA'!B620)</f>
        <v/>
      </c>
      <c r="I629" t="s">
        <v>4290</v>
      </c>
      <c r="J629" t="str">
        <f t="shared" si="78"/>
        <v/>
      </c>
      <c r="K629" t="str">
        <f t="shared" si="80"/>
        <v/>
      </c>
      <c r="L629" s="69"/>
      <c r="M629">
        <f>'TMIS US'!A620</f>
        <v>9486</v>
      </c>
      <c r="N629" t="str">
        <f>T('TMIS US'!B620)</f>
        <v>Celebrity Name Game</v>
      </c>
      <c r="O629" t="s">
        <v>4288</v>
      </c>
      <c r="P629" t="str">
        <f t="shared" si="79"/>
        <v/>
      </c>
      <c r="Q629" t="str">
        <f t="shared" si="81"/>
        <v/>
      </c>
      <c r="R629" s="69"/>
      <c r="S629">
        <f>'TMIS CA'!A620</f>
        <v>9819</v>
      </c>
      <c r="T629" t="str">
        <f>T('TMIS CA'!B620)</f>
        <v/>
      </c>
      <c r="U629" t="s">
        <v>4290</v>
      </c>
      <c r="V629" t="str">
        <f t="shared" si="83"/>
        <v/>
      </c>
      <c r="W629" t="str">
        <f t="shared" si="82"/>
        <v/>
      </c>
    </row>
    <row r="630" spans="1:23">
      <c r="A630">
        <f>'IPTV US'!A621</f>
        <v>10887</v>
      </c>
      <c r="B630" t="str">
        <f>T('IPTV US'!B621)</f>
        <v>BBC Game Shows</v>
      </c>
      <c r="C630" t="s">
        <v>4288</v>
      </c>
      <c r="D630" t="str">
        <f t="shared" si="76"/>
        <v/>
      </c>
      <c r="E630" t="str">
        <f t="shared" si="77"/>
        <v/>
      </c>
      <c r="F630" s="68" t="s">
        <v>4289</v>
      </c>
      <c r="G630">
        <f>'IPTV CA'!A621</f>
        <v>11220</v>
      </c>
      <c r="H630" t="str">
        <f>T('IPTV CA'!B621)</f>
        <v>pocket.watch game-on</v>
      </c>
      <c r="I630" t="s">
        <v>4288</v>
      </c>
      <c r="J630" t="str">
        <f t="shared" si="78"/>
        <v/>
      </c>
      <c r="K630" t="str">
        <f t="shared" si="80"/>
        <v/>
      </c>
      <c r="L630" s="69"/>
      <c r="M630">
        <f>'TMIS US'!A621</f>
        <v>9487</v>
      </c>
      <c r="N630" t="str">
        <f>T('TMIS US'!B621)</f>
        <v>BBC Game Shows</v>
      </c>
      <c r="O630" t="s">
        <v>4288</v>
      </c>
      <c r="P630" t="str">
        <f t="shared" si="79"/>
        <v/>
      </c>
      <c r="Q630" t="str">
        <f t="shared" si="81"/>
        <v/>
      </c>
      <c r="R630" s="69"/>
      <c r="S630">
        <f>'TMIS CA'!A621</f>
        <v>9820</v>
      </c>
      <c r="T630" t="str">
        <f>T('TMIS CA'!B621)</f>
        <v>pocket.watch game-on</v>
      </c>
      <c r="U630" t="s">
        <v>4288</v>
      </c>
      <c r="V630" t="str">
        <f t="shared" si="83"/>
        <v/>
      </c>
      <c r="W630" t="str">
        <f t="shared" si="82"/>
        <v/>
      </c>
    </row>
    <row r="631" spans="1:23">
      <c r="A631">
        <f>'IPTV US'!A622</f>
        <v>10888</v>
      </c>
      <c r="B631" t="str">
        <f>T('IPTV US'!B622)</f>
        <v>Impossible - Quiz Show</v>
      </c>
      <c r="C631" t="s">
        <v>4288</v>
      </c>
      <c r="D631" t="str">
        <f t="shared" si="76"/>
        <v/>
      </c>
      <c r="E631" t="str">
        <f t="shared" si="77"/>
        <v/>
      </c>
      <c r="F631" s="68" t="s">
        <v>4289</v>
      </c>
      <c r="G631">
        <f>'IPTV CA'!A622</f>
        <v>11221</v>
      </c>
      <c r="H631" t="str">
        <f>T('IPTV CA'!B622)</f>
        <v>Ryan and Friends</v>
      </c>
      <c r="I631" t="s">
        <v>4288</v>
      </c>
      <c r="J631" t="str">
        <f t="shared" si="78"/>
        <v/>
      </c>
      <c r="K631" t="str">
        <f t="shared" si="80"/>
        <v/>
      </c>
      <c r="L631" s="69"/>
      <c r="M631">
        <f>'TMIS US'!A622</f>
        <v>9488</v>
      </c>
      <c r="N631" t="str">
        <f>T('TMIS US'!B622)</f>
        <v>Impossible - Quiz Show</v>
      </c>
      <c r="O631" t="s">
        <v>4288</v>
      </c>
      <c r="P631" t="str">
        <f t="shared" si="79"/>
        <v/>
      </c>
      <c r="Q631" t="str">
        <f t="shared" si="81"/>
        <v/>
      </c>
      <c r="R631" s="69"/>
      <c r="S631">
        <f>'TMIS CA'!A622</f>
        <v>9821</v>
      </c>
      <c r="T631" t="str">
        <f>T('TMIS CA'!B622)</f>
        <v>Ryan and Friends</v>
      </c>
      <c r="U631" t="s">
        <v>4288</v>
      </c>
      <c r="V631" t="str">
        <f t="shared" si="83"/>
        <v/>
      </c>
      <c r="W631" t="str">
        <f t="shared" si="82"/>
        <v/>
      </c>
    </row>
    <row r="632" spans="1:23">
      <c r="A632">
        <f>'IPTV US'!A623</f>
        <v>10889</v>
      </c>
      <c r="B632" t="str">
        <f>T('IPTV US'!B623)</f>
        <v/>
      </c>
      <c r="C632" t="s">
        <v>4290</v>
      </c>
      <c r="D632" t="str">
        <f t="shared" si="76"/>
        <v/>
      </c>
      <c r="E632" t="str">
        <f t="shared" si="77"/>
        <v/>
      </c>
      <c r="F632" s="68" t="s">
        <v>4289</v>
      </c>
      <c r="G632">
        <f>'IPTV CA'!A623</f>
        <v>11222</v>
      </c>
      <c r="H632" t="str">
        <f>T('IPTV CA'!B623)</f>
        <v>TG Junior</v>
      </c>
      <c r="I632" t="s">
        <v>4288</v>
      </c>
      <c r="J632" t="str">
        <f t="shared" si="78"/>
        <v/>
      </c>
      <c r="K632" t="str">
        <f t="shared" si="80"/>
        <v/>
      </c>
      <c r="L632" s="69"/>
      <c r="M632">
        <f>'TMIS US'!A623</f>
        <v>9489</v>
      </c>
      <c r="N632" t="str">
        <f>T('TMIS US'!B623)</f>
        <v/>
      </c>
      <c r="O632" t="s">
        <v>4290</v>
      </c>
      <c r="P632" t="str">
        <f t="shared" si="79"/>
        <v/>
      </c>
      <c r="Q632" t="str">
        <f t="shared" si="81"/>
        <v/>
      </c>
      <c r="R632" s="69"/>
      <c r="S632">
        <f>'TMIS CA'!A623</f>
        <v>9822</v>
      </c>
      <c r="T632" t="str">
        <f>T('TMIS CA'!B623)</f>
        <v>TG Junior</v>
      </c>
      <c r="U632" t="s">
        <v>4288</v>
      </c>
      <c r="V632" t="str">
        <f t="shared" si="83"/>
        <v/>
      </c>
      <c r="W632" t="str">
        <f t="shared" si="82"/>
        <v/>
      </c>
    </row>
    <row r="633" spans="1:23">
      <c r="A633">
        <f>'IPTV US'!A624</f>
        <v>10890</v>
      </c>
      <c r="B633" t="str">
        <f>T('IPTV US'!B624)</f>
        <v/>
      </c>
      <c r="C633" t="s">
        <v>4290</v>
      </c>
      <c r="D633" t="str">
        <f t="shared" si="76"/>
        <v/>
      </c>
      <c r="E633" t="str">
        <f t="shared" si="77"/>
        <v/>
      </c>
      <c r="F633" s="68" t="s">
        <v>4289</v>
      </c>
      <c r="G633">
        <f>'IPTV CA'!A624</f>
        <v>11223</v>
      </c>
      <c r="H633" t="str">
        <f>T('IPTV CA'!B624)</f>
        <v>Mr. Bean</v>
      </c>
      <c r="I633" t="s">
        <v>4288</v>
      </c>
      <c r="J633" t="str">
        <f t="shared" si="78"/>
        <v/>
      </c>
      <c r="K633" t="str">
        <f t="shared" si="80"/>
        <v/>
      </c>
      <c r="L633" s="69"/>
      <c r="M633">
        <f>'TMIS US'!A624</f>
        <v>9490</v>
      </c>
      <c r="N633" t="str">
        <f>T('TMIS US'!B624)</f>
        <v/>
      </c>
      <c r="O633" t="s">
        <v>4290</v>
      </c>
      <c r="P633" t="str">
        <f t="shared" si="79"/>
        <v/>
      </c>
      <c r="Q633" t="str">
        <f t="shared" si="81"/>
        <v/>
      </c>
      <c r="R633" s="69"/>
      <c r="S633">
        <f>'TMIS CA'!A624</f>
        <v>9823</v>
      </c>
      <c r="T633" t="str">
        <f>T('TMIS CA'!B624)</f>
        <v>Mr. Bean</v>
      </c>
      <c r="U633" t="s">
        <v>4288</v>
      </c>
      <c r="V633" t="str">
        <f t="shared" si="83"/>
        <v/>
      </c>
      <c r="W633" t="str">
        <f t="shared" si="82"/>
        <v/>
      </c>
    </row>
    <row r="634" spans="1:23">
      <c r="A634">
        <f>'IPTV US'!A625</f>
        <v>10891</v>
      </c>
      <c r="B634" t="str">
        <f>T('IPTV US'!B625)</f>
        <v>OUTtv Proud</v>
      </c>
      <c r="C634" t="s">
        <v>4288</v>
      </c>
      <c r="D634" t="str">
        <f t="shared" si="76"/>
        <v/>
      </c>
      <c r="E634" t="str">
        <f t="shared" si="77"/>
        <v/>
      </c>
      <c r="F634" s="68" t="s">
        <v>4289</v>
      </c>
      <c r="G634">
        <f>'IPTV CA'!A625</f>
        <v>11224</v>
      </c>
      <c r="H634" t="str">
        <f>T('IPTV CA'!B625)</f>
        <v>Camp Spoopy</v>
      </c>
      <c r="I634" t="s">
        <v>4288</v>
      </c>
      <c r="J634" t="str">
        <f t="shared" si="78"/>
        <v/>
      </c>
      <c r="K634" t="str">
        <f t="shared" si="80"/>
        <v/>
      </c>
      <c r="L634" s="69"/>
      <c r="M634">
        <f>'TMIS US'!A625</f>
        <v>9491</v>
      </c>
      <c r="N634" t="str">
        <f>T('TMIS US'!B625)</f>
        <v>OUTtv Proud</v>
      </c>
      <c r="O634" t="s">
        <v>4288</v>
      </c>
      <c r="P634" t="str">
        <f t="shared" si="79"/>
        <v/>
      </c>
      <c r="Q634" t="str">
        <f t="shared" si="81"/>
        <v/>
      </c>
      <c r="R634" s="69"/>
      <c r="S634">
        <f>'TMIS CA'!A625</f>
        <v>9824</v>
      </c>
      <c r="T634" t="str">
        <f>T('TMIS CA'!B625)</f>
        <v>Camp Spoopy</v>
      </c>
      <c r="U634" t="s">
        <v>4288</v>
      </c>
      <c r="V634" t="str">
        <f t="shared" si="83"/>
        <v/>
      </c>
      <c r="W634" t="str">
        <f t="shared" si="82"/>
        <v/>
      </c>
    </row>
    <row r="635" spans="1:23">
      <c r="A635">
        <f>'IPTV US'!A626</f>
        <v>10892</v>
      </c>
      <c r="B635" t="str">
        <f>T('IPTV US'!B626)</f>
        <v>Dog Whisperer</v>
      </c>
      <c r="C635" t="s">
        <v>4288</v>
      </c>
      <c r="D635" t="str">
        <f t="shared" si="76"/>
        <v/>
      </c>
      <c r="E635" t="str">
        <f t="shared" si="77"/>
        <v/>
      </c>
      <c r="F635" s="68" t="s">
        <v>4289</v>
      </c>
      <c r="G635">
        <f>'IPTV CA'!A626</f>
        <v>11225</v>
      </c>
      <c r="H635" t="str">
        <f>T('IPTV CA'!B626)</f>
        <v/>
      </c>
      <c r="I635" t="s">
        <v>4290</v>
      </c>
      <c r="J635" t="str">
        <f t="shared" si="78"/>
        <v/>
      </c>
      <c r="K635" t="str">
        <f t="shared" si="80"/>
        <v/>
      </c>
      <c r="L635" s="69"/>
      <c r="M635">
        <f>'TMIS US'!A626</f>
        <v>9492</v>
      </c>
      <c r="N635" t="str">
        <f>T('TMIS US'!B626)</f>
        <v>Dog Whisperer</v>
      </c>
      <c r="O635" t="s">
        <v>4288</v>
      </c>
      <c r="P635" t="str">
        <f t="shared" si="79"/>
        <v/>
      </c>
      <c r="Q635" t="str">
        <f t="shared" si="81"/>
        <v/>
      </c>
      <c r="R635" s="69"/>
      <c r="S635">
        <f>'TMIS CA'!A626</f>
        <v>9825</v>
      </c>
      <c r="T635" t="str">
        <f>T('TMIS CA'!B626)</f>
        <v/>
      </c>
      <c r="U635" t="s">
        <v>4290</v>
      </c>
      <c r="V635" t="str">
        <f t="shared" si="83"/>
        <v/>
      </c>
      <c r="W635" t="str">
        <f t="shared" si="82"/>
        <v/>
      </c>
    </row>
    <row r="636" spans="1:23">
      <c r="A636">
        <f>'IPTV US'!A627</f>
        <v>10893</v>
      </c>
      <c r="B636" t="str">
        <f>T('IPTV US'!B627)</f>
        <v>Love Pets</v>
      </c>
      <c r="C636" t="s">
        <v>4288</v>
      </c>
      <c r="D636" t="str">
        <f t="shared" si="76"/>
        <v/>
      </c>
      <c r="E636" t="str">
        <f t="shared" si="77"/>
        <v/>
      </c>
      <c r="F636" s="68" t="s">
        <v>4289</v>
      </c>
      <c r="G636">
        <f>'IPTV CA'!A627</f>
        <v>11226</v>
      </c>
      <c r="H636" t="str">
        <f>T('IPTV CA'!B627)</f>
        <v/>
      </c>
      <c r="I636" t="s">
        <v>4290</v>
      </c>
      <c r="J636" t="str">
        <f t="shared" si="78"/>
        <v/>
      </c>
      <c r="K636" t="str">
        <f t="shared" si="80"/>
        <v/>
      </c>
      <c r="L636" s="69"/>
      <c r="M636">
        <f>'TMIS US'!A627</f>
        <v>9493</v>
      </c>
      <c r="N636" t="str">
        <f>T('TMIS US'!B627)</f>
        <v>Love Pets</v>
      </c>
      <c r="O636" t="s">
        <v>4288</v>
      </c>
      <c r="P636" t="str">
        <f t="shared" si="79"/>
        <v/>
      </c>
      <c r="Q636" t="str">
        <f t="shared" si="81"/>
        <v/>
      </c>
      <c r="R636" s="69"/>
      <c r="S636">
        <f>'TMIS CA'!A627</f>
        <v>9826</v>
      </c>
      <c r="T636" t="str">
        <f>T('TMIS CA'!B627)</f>
        <v/>
      </c>
      <c r="U636" t="s">
        <v>4290</v>
      </c>
      <c r="V636" t="str">
        <f t="shared" si="83"/>
        <v/>
      </c>
      <c r="W636" t="str">
        <f t="shared" si="82"/>
        <v/>
      </c>
    </row>
    <row r="637" spans="1:23">
      <c r="A637">
        <f>'IPTV US'!A628</f>
        <v>10894</v>
      </c>
      <c r="B637" t="str">
        <f>T('IPTV US'!B628)</f>
        <v/>
      </c>
      <c r="C637" t="s">
        <v>4290</v>
      </c>
      <c r="D637" t="str">
        <f t="shared" si="76"/>
        <v/>
      </c>
      <c r="E637" t="str">
        <f t="shared" si="77"/>
        <v/>
      </c>
      <c r="F637" s="68" t="s">
        <v>4289</v>
      </c>
      <c r="G637">
        <f>'IPTV CA'!A628</f>
        <v>11227</v>
      </c>
      <c r="H637" t="str">
        <f>T('IPTV CA'!B628)</f>
        <v>123GO!</v>
      </c>
      <c r="I637" t="s">
        <v>4288</v>
      </c>
      <c r="J637" t="str">
        <f t="shared" si="78"/>
        <v/>
      </c>
      <c r="K637" t="str">
        <f t="shared" si="80"/>
        <v/>
      </c>
      <c r="L637" s="69"/>
      <c r="M637">
        <f>'TMIS US'!A628</f>
        <v>9494</v>
      </c>
      <c r="N637" t="str">
        <f>T('TMIS US'!B628)</f>
        <v/>
      </c>
      <c r="O637" t="s">
        <v>4290</v>
      </c>
      <c r="P637" t="str">
        <f t="shared" si="79"/>
        <v/>
      </c>
      <c r="Q637" t="str">
        <f t="shared" si="81"/>
        <v/>
      </c>
      <c r="R637" s="69"/>
      <c r="S637">
        <f>'TMIS CA'!A628</f>
        <v>9827</v>
      </c>
      <c r="T637" t="str">
        <f>T('TMIS CA'!B628)</f>
        <v>123GO!</v>
      </c>
      <c r="U637" t="s">
        <v>4288</v>
      </c>
      <c r="V637" t="str">
        <f t="shared" si="83"/>
        <v/>
      </c>
      <c r="W637" t="str">
        <f t="shared" si="82"/>
        <v/>
      </c>
    </row>
    <row r="638" spans="1:23">
      <c r="A638">
        <f>'IPTV US'!A629</f>
        <v>10895</v>
      </c>
      <c r="B638" t="str">
        <f>T('IPTV US'!B629)</f>
        <v/>
      </c>
      <c r="C638" t="s">
        <v>4290</v>
      </c>
      <c r="D638" t="str">
        <f t="shared" si="76"/>
        <v/>
      </c>
      <c r="E638" t="str">
        <f t="shared" si="77"/>
        <v/>
      </c>
      <c r="F638" s="68" t="s">
        <v>4289</v>
      </c>
      <c r="G638">
        <f>'IPTV CA'!A629</f>
        <v>11228</v>
      </c>
      <c r="H638" t="str">
        <f>T('IPTV CA'!B629)</f>
        <v>Brat TV</v>
      </c>
      <c r="I638" t="s">
        <v>4288</v>
      </c>
      <c r="J638" t="str">
        <f t="shared" si="78"/>
        <v/>
      </c>
      <c r="K638" t="str">
        <f t="shared" si="80"/>
        <v/>
      </c>
      <c r="L638" s="69"/>
      <c r="M638">
        <f>'TMIS US'!A629</f>
        <v>9495</v>
      </c>
      <c r="N638" t="str">
        <f>T('TMIS US'!B629)</f>
        <v/>
      </c>
      <c r="O638" t="s">
        <v>4290</v>
      </c>
      <c r="P638" t="str">
        <f t="shared" si="79"/>
        <v/>
      </c>
      <c r="Q638" t="str">
        <f t="shared" si="81"/>
        <v/>
      </c>
      <c r="R638" s="69"/>
      <c r="S638">
        <f>'TMIS CA'!A629</f>
        <v>9828</v>
      </c>
      <c r="T638" t="str">
        <f>T('TMIS CA'!B629)</f>
        <v>Brat TV</v>
      </c>
      <c r="U638" t="s">
        <v>4288</v>
      </c>
      <c r="V638" t="str">
        <f t="shared" si="83"/>
        <v/>
      </c>
      <c r="W638" t="str">
        <f t="shared" si="82"/>
        <v/>
      </c>
    </row>
    <row r="639" spans="1:23">
      <c r="A639">
        <f>'IPTV US'!A630</f>
        <v>10896</v>
      </c>
      <c r="B639" t="str">
        <f>T('IPTV US'!B630)</f>
        <v>Curiosity NOW</v>
      </c>
      <c r="C639" t="s">
        <v>4288</v>
      </c>
      <c r="D639" t="str">
        <f t="shared" si="76"/>
        <v/>
      </c>
      <c r="E639" t="str">
        <f t="shared" si="77"/>
        <v/>
      </c>
      <c r="F639" s="68" t="s">
        <v>4289</v>
      </c>
      <c r="G639">
        <f>'IPTV CA'!A630</f>
        <v>11229</v>
      </c>
      <c r="H639" t="str">
        <f>T('IPTV CA'!B630)</f>
        <v>Eddie's Wonderland</v>
      </c>
      <c r="I639" t="s">
        <v>4288</v>
      </c>
      <c r="J639" t="str">
        <f t="shared" si="78"/>
        <v/>
      </c>
      <c r="K639" t="str">
        <f t="shared" si="80"/>
        <v/>
      </c>
      <c r="L639" s="69"/>
      <c r="M639">
        <f>'TMIS US'!A630</f>
        <v>9496</v>
      </c>
      <c r="N639" t="str">
        <f>T('TMIS US'!B630)</f>
        <v>Curiosity NOW</v>
      </c>
      <c r="O639" t="s">
        <v>4288</v>
      </c>
      <c r="P639" t="str">
        <f t="shared" si="79"/>
        <v/>
      </c>
      <c r="Q639" t="str">
        <f t="shared" si="81"/>
        <v/>
      </c>
      <c r="R639" s="69"/>
      <c r="S639">
        <f>'TMIS CA'!A630</f>
        <v>9829</v>
      </c>
      <c r="T639" t="str">
        <f>T('TMIS CA'!B630)</f>
        <v>Eddie's Wonderland</v>
      </c>
      <c r="U639" t="s">
        <v>4288</v>
      </c>
      <c r="V639" t="str">
        <f t="shared" si="83"/>
        <v/>
      </c>
      <c r="W639" t="str">
        <f t="shared" si="82"/>
        <v/>
      </c>
    </row>
    <row r="640" spans="1:23">
      <c r="A640">
        <f>'IPTV US'!A631</f>
        <v>10897</v>
      </c>
      <c r="B640" t="str">
        <f>T('IPTV US'!B631)</f>
        <v>History &amp; Warfare Now</v>
      </c>
      <c r="C640" t="s">
        <v>4288</v>
      </c>
      <c r="D640" t="str">
        <f t="shared" si="76"/>
        <v/>
      </c>
      <c r="E640" t="str">
        <f t="shared" si="77"/>
        <v/>
      </c>
      <c r="F640" s="68" t="s">
        <v>4289</v>
      </c>
      <c r="G640">
        <f>'IPTV CA'!A631</f>
        <v>11230</v>
      </c>
      <c r="H640" t="str">
        <f>T('IPTV CA'!B631)</f>
        <v>Ninja Kidz TV</v>
      </c>
      <c r="I640" t="s">
        <v>4288</v>
      </c>
      <c r="J640" t="str">
        <f t="shared" si="78"/>
        <v/>
      </c>
      <c r="K640" t="str">
        <f t="shared" si="80"/>
        <v/>
      </c>
      <c r="L640" s="69"/>
      <c r="M640">
        <f>'TMIS US'!A631</f>
        <v>9497</v>
      </c>
      <c r="N640" t="str">
        <f>T('TMIS US'!B631)</f>
        <v>History &amp; Warfare Now</v>
      </c>
      <c r="O640" t="s">
        <v>4288</v>
      </c>
      <c r="P640" t="str">
        <f t="shared" si="79"/>
        <v/>
      </c>
      <c r="Q640" t="str">
        <f t="shared" si="81"/>
        <v/>
      </c>
      <c r="R640" s="69"/>
      <c r="S640">
        <f>'TMIS CA'!A631</f>
        <v>9830</v>
      </c>
      <c r="T640" t="str">
        <f>T('TMIS CA'!B631)</f>
        <v>Ninja Kidz TV</v>
      </c>
      <c r="U640" t="s">
        <v>4288</v>
      </c>
      <c r="V640" t="str">
        <f t="shared" si="83"/>
        <v/>
      </c>
      <c r="W640" t="str">
        <f t="shared" si="82"/>
        <v/>
      </c>
    </row>
    <row r="641" spans="1:23">
      <c r="A641">
        <f>'IPTV US'!A632</f>
        <v>10898</v>
      </c>
      <c r="B641" t="str">
        <f>T('IPTV US'!B632)</f>
        <v>Space Science Now</v>
      </c>
      <c r="C641" t="s">
        <v>4288</v>
      </c>
      <c r="D641" t="str">
        <f t="shared" si="76"/>
        <v/>
      </c>
      <c r="E641" t="str">
        <f t="shared" si="77"/>
        <v/>
      </c>
      <c r="F641" s="68" t="s">
        <v>4289</v>
      </c>
      <c r="G641">
        <f>'IPTV CA'!A632</f>
        <v>11231</v>
      </c>
      <c r="H641" t="str">
        <f>T('IPTV CA'!B632)</f>
        <v>Toony Planet</v>
      </c>
      <c r="I641" t="s">
        <v>4288</v>
      </c>
      <c r="J641" t="str">
        <f t="shared" si="78"/>
        <v/>
      </c>
      <c r="K641" t="str">
        <f t="shared" si="80"/>
        <v/>
      </c>
      <c r="L641" s="69"/>
      <c r="M641">
        <f>'TMIS US'!A632</f>
        <v>9498</v>
      </c>
      <c r="N641" t="str">
        <f>T('TMIS US'!B632)</f>
        <v>Space Science Now</v>
      </c>
      <c r="O641" t="s">
        <v>4288</v>
      </c>
      <c r="P641" t="str">
        <f t="shared" si="79"/>
        <v/>
      </c>
      <c r="Q641" t="str">
        <f t="shared" si="81"/>
        <v/>
      </c>
      <c r="R641" s="69"/>
      <c r="S641">
        <f>'TMIS CA'!A632</f>
        <v>9831</v>
      </c>
      <c r="T641" t="str">
        <f>T('TMIS CA'!B632)</f>
        <v>Toony Planet</v>
      </c>
      <c r="U641" t="s">
        <v>4288</v>
      </c>
      <c r="V641" t="str">
        <f t="shared" si="83"/>
        <v/>
      </c>
      <c r="W641" t="str">
        <f t="shared" si="82"/>
        <v/>
      </c>
    </row>
    <row r="642" spans="1:23">
      <c r="A642">
        <f>'IPTV US'!A633</f>
        <v>10899</v>
      </c>
      <c r="B642" t="str">
        <f>T('IPTV US'!B633)</f>
        <v/>
      </c>
      <c r="C642" t="s">
        <v>4290</v>
      </c>
      <c r="D642" t="str">
        <f t="shared" si="76"/>
        <v/>
      </c>
      <c r="E642" t="str">
        <f t="shared" si="77"/>
        <v/>
      </c>
      <c r="F642" s="68" t="s">
        <v>4289</v>
      </c>
      <c r="G642">
        <f>'IPTV CA'!A633</f>
        <v>11232</v>
      </c>
      <c r="H642" t="str">
        <f>T('IPTV CA'!B633)</f>
        <v>Watch it Kid</v>
      </c>
      <c r="I642" t="s">
        <v>4288</v>
      </c>
      <c r="J642" t="str">
        <f t="shared" si="78"/>
        <v/>
      </c>
      <c r="K642" t="str">
        <f t="shared" si="80"/>
        <v/>
      </c>
      <c r="L642" s="69"/>
      <c r="M642">
        <f>'TMIS US'!A633</f>
        <v>9499</v>
      </c>
      <c r="N642" t="str">
        <f>T('TMIS US'!B633)</f>
        <v/>
      </c>
      <c r="O642" t="s">
        <v>4290</v>
      </c>
      <c r="P642" t="str">
        <f t="shared" si="79"/>
        <v/>
      </c>
      <c r="Q642" t="str">
        <f t="shared" si="81"/>
        <v/>
      </c>
      <c r="R642" s="69"/>
      <c r="S642">
        <f>'TMIS CA'!A633</f>
        <v>9832</v>
      </c>
      <c r="T642" t="str">
        <f>T('TMIS CA'!B633)</f>
        <v>Watch it Kid</v>
      </c>
      <c r="U642" t="s">
        <v>4288</v>
      </c>
      <c r="V642" t="str">
        <f t="shared" si="83"/>
        <v/>
      </c>
      <c r="W642" t="str">
        <f t="shared" si="82"/>
        <v/>
      </c>
    </row>
    <row r="643" spans="1:23">
      <c r="A643">
        <f>'IPTV US'!A634</f>
        <v>10900</v>
      </c>
      <c r="B643" t="str">
        <f>T('IPTV US'!B634)</f>
        <v/>
      </c>
      <c r="C643" t="s">
        <v>4290</v>
      </c>
      <c r="D643" t="str">
        <f t="shared" si="76"/>
        <v/>
      </c>
      <c r="E643" t="str">
        <f t="shared" si="77"/>
        <v/>
      </c>
      <c r="F643" s="68" t="s">
        <v>4289</v>
      </c>
      <c r="G643">
        <f>'IPTV CA'!A634</f>
        <v>11233</v>
      </c>
      <c r="H643" t="str">
        <f>T('IPTV CA'!B634)</f>
        <v>SKWAD</v>
      </c>
      <c r="I643" t="s">
        <v>4288</v>
      </c>
      <c r="J643" t="str">
        <f t="shared" si="78"/>
        <v/>
      </c>
      <c r="K643" t="str">
        <f t="shared" si="80"/>
        <v/>
      </c>
      <c r="L643" s="69"/>
      <c r="M643">
        <f>'TMIS US'!A634</f>
        <v>9500</v>
      </c>
      <c r="N643" t="str">
        <f>T('TMIS US'!B634)</f>
        <v/>
      </c>
      <c r="O643" t="s">
        <v>4290</v>
      </c>
      <c r="P643" t="str">
        <f t="shared" si="79"/>
        <v/>
      </c>
      <c r="Q643" t="str">
        <f t="shared" si="81"/>
        <v/>
      </c>
      <c r="R643" s="69"/>
      <c r="S643">
        <f>'TMIS CA'!A634</f>
        <v>9833</v>
      </c>
      <c r="T643" t="str">
        <f>T('TMIS CA'!B634)</f>
        <v>SKWAD</v>
      </c>
      <c r="U643" t="s">
        <v>4288</v>
      </c>
      <c r="V643" t="str">
        <f t="shared" si="83"/>
        <v/>
      </c>
      <c r="W643" t="str">
        <f t="shared" si="82"/>
        <v/>
      </c>
    </row>
    <row r="644" spans="1:23">
      <c r="A644">
        <f>'IPTV US'!A635</f>
        <v>10901</v>
      </c>
      <c r="B644" t="str">
        <f>T('IPTV US'!B635)</f>
        <v>INWONDER</v>
      </c>
      <c r="C644" t="s">
        <v>4288</v>
      </c>
      <c r="D644" t="str">
        <f t="shared" si="76"/>
        <v/>
      </c>
      <c r="E644" t="str">
        <f t="shared" si="77"/>
        <v/>
      </c>
      <c r="F644" s="68" t="s">
        <v>4289</v>
      </c>
      <c r="G644">
        <f>'IPTV CA'!A635</f>
        <v>11234</v>
      </c>
      <c r="H644" t="str">
        <f>T('IPTV CA'!B635)</f>
        <v>Toon Goggles</v>
      </c>
      <c r="I644" t="s">
        <v>4288</v>
      </c>
      <c r="J644" t="str">
        <f t="shared" si="78"/>
        <v/>
      </c>
      <c r="K644" t="str">
        <f t="shared" si="80"/>
        <v/>
      </c>
      <c r="L644" s="69"/>
      <c r="M644">
        <f>'TMIS US'!A635</f>
        <v>9501</v>
      </c>
      <c r="N644" t="str">
        <f>T('TMIS US'!B635)</f>
        <v>INWONDER</v>
      </c>
      <c r="O644" t="s">
        <v>4288</v>
      </c>
      <c r="P644" t="str">
        <f t="shared" si="79"/>
        <v/>
      </c>
      <c r="Q644" t="str">
        <f t="shared" si="81"/>
        <v/>
      </c>
      <c r="R644" s="69"/>
      <c r="S644">
        <f>'TMIS CA'!A635</f>
        <v>9834</v>
      </c>
      <c r="T644" t="str">
        <f>T('TMIS CA'!B635)</f>
        <v>Toon Goggles</v>
      </c>
      <c r="U644" t="s">
        <v>4288</v>
      </c>
      <c r="V644" t="str">
        <f t="shared" si="83"/>
        <v/>
      </c>
      <c r="W644" t="str">
        <f t="shared" si="82"/>
        <v/>
      </c>
    </row>
    <row r="645" spans="1:23">
      <c r="A645">
        <f>'IPTV US'!A636</f>
        <v>10902</v>
      </c>
      <c r="B645" t="str">
        <f>T('IPTV US'!B636)</f>
        <v>Combat War Channel</v>
      </c>
      <c r="C645" t="s">
        <v>4288</v>
      </c>
      <c r="D645" t="str">
        <f t="shared" si="76"/>
        <v/>
      </c>
      <c r="E645" t="str">
        <f t="shared" si="77"/>
        <v/>
      </c>
      <c r="F645" s="68" t="s">
        <v>4289</v>
      </c>
      <c r="G645">
        <f>'IPTV CA'!A636</f>
        <v>11235</v>
      </c>
      <c r="H645" t="str">
        <f>T('IPTV CA'!B636)</f>
        <v/>
      </c>
      <c r="I645" t="s">
        <v>4290</v>
      </c>
      <c r="J645" t="str">
        <f t="shared" si="78"/>
        <v/>
      </c>
      <c r="K645" t="str">
        <f t="shared" si="80"/>
        <v/>
      </c>
      <c r="L645" s="69"/>
      <c r="M645">
        <f>'TMIS US'!A636</f>
        <v>9502</v>
      </c>
      <c r="N645" t="str">
        <f>T('TMIS US'!B636)</f>
        <v>Combat War Channel</v>
      </c>
      <c r="O645" t="s">
        <v>4288</v>
      </c>
      <c r="P645" t="str">
        <f t="shared" si="79"/>
        <v/>
      </c>
      <c r="Q645" t="str">
        <f t="shared" si="81"/>
        <v/>
      </c>
      <c r="R645" s="69"/>
      <c r="S645">
        <f>'TMIS CA'!A636</f>
        <v>9835</v>
      </c>
      <c r="T645" t="str">
        <f>T('TMIS CA'!B636)</f>
        <v/>
      </c>
      <c r="U645" t="s">
        <v>4290</v>
      </c>
      <c r="V645" t="str">
        <f t="shared" si="83"/>
        <v/>
      </c>
      <c r="W645" t="str">
        <f t="shared" si="82"/>
        <v/>
      </c>
    </row>
    <row r="646" spans="1:23">
      <c r="A646">
        <f>'IPTV US'!A637</f>
        <v>10903</v>
      </c>
      <c r="B646" t="str">
        <f>T('IPTV US'!B637)</f>
        <v>Military Heroes Presented By History</v>
      </c>
      <c r="C646" t="s">
        <v>4288</v>
      </c>
      <c r="D646" t="str">
        <f t="shared" si="76"/>
        <v/>
      </c>
      <c r="E646" t="str">
        <f t="shared" si="77"/>
        <v/>
      </c>
      <c r="F646" s="68" t="s">
        <v>4289</v>
      </c>
      <c r="G646">
        <f>'IPTV CA'!A637</f>
        <v>11236</v>
      </c>
      <c r="H646" t="str">
        <f>T('IPTV CA'!B637)</f>
        <v/>
      </c>
      <c r="I646" t="s">
        <v>4290</v>
      </c>
      <c r="J646" t="str">
        <f t="shared" si="78"/>
        <v/>
      </c>
      <c r="K646" t="str">
        <f t="shared" si="80"/>
        <v/>
      </c>
      <c r="L646" s="69"/>
      <c r="M646">
        <f>'TMIS US'!A637</f>
        <v>9503</v>
      </c>
      <c r="N646" t="str">
        <f>T('TMIS US'!B637)</f>
        <v>Military Heroes Presented By History</v>
      </c>
      <c r="O646" t="s">
        <v>4288</v>
      </c>
      <c r="P646" t="str">
        <f t="shared" si="79"/>
        <v/>
      </c>
      <c r="Q646" t="str">
        <f t="shared" si="81"/>
        <v/>
      </c>
      <c r="R646" s="69"/>
      <c r="S646">
        <f>'TMIS CA'!A637</f>
        <v>9836</v>
      </c>
      <c r="T646" t="str">
        <f>T('TMIS CA'!B637)</f>
        <v/>
      </c>
      <c r="U646" t="s">
        <v>4290</v>
      </c>
      <c r="V646" t="str">
        <f t="shared" si="83"/>
        <v/>
      </c>
      <c r="W646" t="str">
        <f t="shared" si="82"/>
        <v/>
      </c>
    </row>
    <row r="647" spans="1:23">
      <c r="A647">
        <f>'IPTV US'!A638</f>
        <v>10904</v>
      </c>
      <c r="B647" t="str">
        <f>T('IPTV US'!B638)</f>
        <v>Modern Innovations by History</v>
      </c>
      <c r="C647" t="s">
        <v>4288</v>
      </c>
      <c r="D647" t="str">
        <f t="shared" si="76"/>
        <v/>
      </c>
      <c r="E647" t="str">
        <f t="shared" si="77"/>
        <v/>
      </c>
      <c r="F647" s="68" t="s">
        <v>4289</v>
      </c>
      <c r="G647">
        <f>'IPTV CA'!A638</f>
        <v>11237</v>
      </c>
      <c r="H647" t="str">
        <f>T('IPTV CA'!B638)</f>
        <v/>
      </c>
      <c r="I647" t="s">
        <v>4290</v>
      </c>
      <c r="J647" t="str">
        <f t="shared" si="78"/>
        <v/>
      </c>
      <c r="K647" t="str">
        <f t="shared" si="80"/>
        <v/>
      </c>
      <c r="L647" s="69"/>
      <c r="M647">
        <f>'TMIS US'!A638</f>
        <v>9504</v>
      </c>
      <c r="N647" t="str">
        <f>T('TMIS US'!B638)</f>
        <v>Modern Innovations by History</v>
      </c>
      <c r="O647" t="s">
        <v>4288</v>
      </c>
      <c r="P647" t="str">
        <f t="shared" si="79"/>
        <v/>
      </c>
      <c r="Q647" t="str">
        <f t="shared" si="81"/>
        <v/>
      </c>
      <c r="R647" s="69"/>
      <c r="S647">
        <f>'TMIS CA'!A638</f>
        <v>9837</v>
      </c>
      <c r="T647" t="str">
        <f>T('TMIS CA'!B638)</f>
        <v/>
      </c>
      <c r="U647" t="s">
        <v>4290</v>
      </c>
      <c r="V647" t="str">
        <f t="shared" si="83"/>
        <v/>
      </c>
      <c r="W647" t="str">
        <f t="shared" si="82"/>
        <v/>
      </c>
    </row>
    <row r="648" spans="1:23">
      <c r="A648">
        <f>'IPTV US'!A639</f>
        <v>10905</v>
      </c>
      <c r="B648" t="str">
        <f>T('IPTV US'!B639)</f>
        <v>Modern Marvels by History</v>
      </c>
      <c r="C648" t="s">
        <v>4288</v>
      </c>
      <c r="D648" t="str">
        <f t="shared" si="76"/>
        <v/>
      </c>
      <c r="E648" t="str">
        <f t="shared" si="77"/>
        <v/>
      </c>
      <c r="F648" s="68" t="s">
        <v>4289</v>
      </c>
      <c r="G648">
        <f>'IPTV CA'!A639</f>
        <v>11238</v>
      </c>
      <c r="H648" t="str">
        <f>T('IPTV CA'!B639)</f>
        <v/>
      </c>
      <c r="I648" t="s">
        <v>4290</v>
      </c>
      <c r="J648" t="str">
        <f t="shared" si="78"/>
        <v/>
      </c>
      <c r="K648" t="str">
        <f t="shared" si="80"/>
        <v/>
      </c>
      <c r="L648" s="69"/>
      <c r="M648">
        <f>'TMIS US'!A639</f>
        <v>9505</v>
      </c>
      <c r="N648" t="str">
        <f>T('TMIS US'!B639)</f>
        <v>Modern Marvels by History</v>
      </c>
      <c r="O648" t="s">
        <v>4288</v>
      </c>
      <c r="P648" t="str">
        <f t="shared" si="79"/>
        <v/>
      </c>
      <c r="Q648" t="str">
        <f t="shared" si="81"/>
        <v/>
      </c>
      <c r="R648" s="69"/>
      <c r="S648">
        <f>'TMIS CA'!A639</f>
        <v>9838</v>
      </c>
      <c r="T648" t="str">
        <f>T('TMIS CA'!B639)</f>
        <v/>
      </c>
      <c r="U648" t="s">
        <v>4290</v>
      </c>
      <c r="V648" t="str">
        <f t="shared" si="83"/>
        <v/>
      </c>
      <c r="W648" t="str">
        <f t="shared" si="82"/>
        <v/>
      </c>
    </row>
    <row r="649" spans="1:23">
      <c r="A649">
        <f>'IPTV US'!A640</f>
        <v>10906</v>
      </c>
      <c r="B649" t="str">
        <f>T('IPTV US'!B640)</f>
        <v/>
      </c>
      <c r="C649" t="s">
        <v>4290</v>
      </c>
      <c r="D649" t="str">
        <f t="shared" si="76"/>
        <v/>
      </c>
      <c r="E649" t="str">
        <f t="shared" si="77"/>
        <v/>
      </c>
      <c r="F649" s="68" t="s">
        <v>4289</v>
      </c>
      <c r="G649">
        <f>'IPTV CA'!A640</f>
        <v>11239</v>
      </c>
      <c r="H649" t="str">
        <f>T('IPTV CA'!B640)</f>
        <v>Noovo Cinéma</v>
      </c>
      <c r="I649" t="s">
        <v>4288</v>
      </c>
      <c r="J649" t="str">
        <f t="shared" si="78"/>
        <v/>
      </c>
      <c r="K649" t="str">
        <f t="shared" si="80"/>
        <v/>
      </c>
      <c r="L649" s="69"/>
      <c r="M649">
        <f>'TMIS US'!A640</f>
        <v>9506</v>
      </c>
      <c r="N649" t="str">
        <f>T('TMIS US'!B640)</f>
        <v/>
      </c>
      <c r="O649" t="s">
        <v>4290</v>
      </c>
      <c r="P649" t="str">
        <f t="shared" si="79"/>
        <v/>
      </c>
      <c r="Q649" t="str">
        <f t="shared" si="81"/>
        <v/>
      </c>
      <c r="R649" s="69"/>
      <c r="S649">
        <f>'TMIS CA'!A640</f>
        <v>9839</v>
      </c>
      <c r="T649" t="str">
        <f>T('TMIS CA'!B640)</f>
        <v>Noovo Cinéma</v>
      </c>
      <c r="U649" t="s">
        <v>4288</v>
      </c>
      <c r="V649" t="str">
        <f t="shared" si="83"/>
        <v/>
      </c>
      <c r="W649" t="str">
        <f t="shared" si="82"/>
        <v/>
      </c>
    </row>
    <row r="650" spans="1:23">
      <c r="A650">
        <f>'IPTV US'!A641</f>
        <v>10907</v>
      </c>
      <c r="B650" t="str">
        <f>T('IPTV US'!B641)</f>
        <v/>
      </c>
      <c r="C650" t="s">
        <v>4290</v>
      </c>
      <c r="D650" t="str">
        <f t="shared" si="76"/>
        <v/>
      </c>
      <c r="E650" t="str">
        <f t="shared" si="77"/>
        <v/>
      </c>
      <c r="F650" s="68" t="s">
        <v>4289</v>
      </c>
      <c r="G650">
        <f>'IPTV CA'!A641</f>
        <v>11240</v>
      </c>
      <c r="H650" t="str">
        <f>T('IPTV CA'!B641)</f>
        <v>Ça c’est drôle</v>
      </c>
      <c r="I650" t="s">
        <v>4288</v>
      </c>
      <c r="J650" t="str">
        <f t="shared" si="78"/>
        <v/>
      </c>
      <c r="K650" t="str">
        <f t="shared" si="80"/>
        <v/>
      </c>
      <c r="L650" s="69"/>
      <c r="M650">
        <f>'TMIS US'!A641</f>
        <v>9507</v>
      </c>
      <c r="N650" t="str">
        <f>T('TMIS US'!B641)</f>
        <v/>
      </c>
      <c r="O650" t="s">
        <v>4290</v>
      </c>
      <c r="P650" t="str">
        <f t="shared" si="79"/>
        <v/>
      </c>
      <c r="Q650" t="str">
        <f t="shared" si="81"/>
        <v/>
      </c>
      <c r="R650" s="69"/>
      <c r="S650">
        <f>'TMIS CA'!A641</f>
        <v>9840</v>
      </c>
      <c r="T650" t="str">
        <f>T('TMIS CA'!B641)</f>
        <v>Ça c’est drôle</v>
      </c>
      <c r="U650" t="s">
        <v>4288</v>
      </c>
      <c r="V650" t="str">
        <f t="shared" si="83"/>
        <v/>
      </c>
      <c r="W650" t="str">
        <f t="shared" si="82"/>
        <v/>
      </c>
    </row>
    <row r="651" spans="1:23">
      <c r="A651">
        <f>'IPTV US'!A642</f>
        <v>10908</v>
      </c>
      <c r="B651" t="str">
        <f>T('IPTV US'!B642)</f>
        <v/>
      </c>
      <c r="C651" t="s">
        <v>4290</v>
      </c>
      <c r="D651" t="str">
        <f t="shared" ref="D651:D714" si="84">IF(C651="Active",IF(B651="","Please Notify - Channel Removed",""),"")</f>
        <v/>
      </c>
      <c r="E651" t="str">
        <f t="shared" ref="E651:E714" si="85">IF(C651="Vacant",IF(B651="","","Please Notify - Channel Added"),"")</f>
        <v/>
      </c>
      <c r="F651" s="68" t="s">
        <v>4289</v>
      </c>
      <c r="G651">
        <f>'IPTV CA'!A642</f>
        <v>11241</v>
      </c>
      <c r="H651" t="str">
        <f>T('IPTV CA'!B642)</f>
        <v>Les débatteurs Noovo</v>
      </c>
      <c r="I651" t="s">
        <v>4288</v>
      </c>
      <c r="J651" t="str">
        <f t="shared" ref="J651:J714" si="86">IF(I651="Active",IF(H651="","Please Notify - Channel Removed",""),"")</f>
        <v/>
      </c>
      <c r="K651" t="str">
        <f t="shared" si="80"/>
        <v/>
      </c>
      <c r="L651" s="69"/>
      <c r="M651">
        <f>'TMIS US'!A642</f>
        <v>9508</v>
      </c>
      <c r="N651" t="str">
        <f>T('TMIS US'!B642)</f>
        <v/>
      </c>
      <c r="O651" t="s">
        <v>4290</v>
      </c>
      <c r="P651" t="str">
        <f t="shared" ref="P651:P714" si="87">IF(O651="Active",IF(N651="","Please Notify - Channel Removed",""),"")</f>
        <v/>
      </c>
      <c r="Q651" t="str">
        <f t="shared" si="81"/>
        <v/>
      </c>
      <c r="R651" s="69"/>
      <c r="S651">
        <f>'TMIS CA'!A642</f>
        <v>9841</v>
      </c>
      <c r="T651" t="str">
        <f>T('TMIS CA'!B642)</f>
        <v>Les débatteurs Noovo</v>
      </c>
      <c r="U651" t="s">
        <v>4288</v>
      </c>
      <c r="V651" t="str">
        <f t="shared" si="83"/>
        <v/>
      </c>
      <c r="W651" t="str">
        <f t="shared" si="82"/>
        <v/>
      </c>
    </row>
    <row r="652" spans="1:23">
      <c r="A652">
        <f>'IPTV US'!A643</f>
        <v>10909</v>
      </c>
      <c r="B652" t="str">
        <f>T('IPTV US'!B643)</f>
        <v>Hell's Kitchen &amp; Kitchen Nightmares</v>
      </c>
      <c r="C652" t="s">
        <v>4288</v>
      </c>
      <c r="D652" t="str">
        <f t="shared" si="84"/>
        <v/>
      </c>
      <c r="E652" t="str">
        <f t="shared" si="85"/>
        <v/>
      </c>
      <c r="F652" s="68" t="s">
        <v>4289</v>
      </c>
      <c r="G652">
        <f>'IPTV CA'!A643</f>
        <v>11242</v>
      </c>
      <c r="H652" t="str">
        <f>T('IPTV CA'!B643)</f>
        <v>Euronews Español</v>
      </c>
      <c r="I652" t="s">
        <v>4288</v>
      </c>
      <c r="J652" t="str">
        <f t="shared" si="86"/>
        <v/>
      </c>
      <c r="K652" t="str">
        <f t="shared" ref="K652:K715" si="88">IF(I652="Vacant",IF(H652="","","Please Notify - Channel Added"),"")</f>
        <v/>
      </c>
      <c r="L652" s="69"/>
      <c r="M652">
        <f>'TMIS US'!A643</f>
        <v>9509</v>
      </c>
      <c r="N652" t="str">
        <f>T('TMIS US'!B643)</f>
        <v>Hell's Kitchen &amp; Kitchen Nightmares</v>
      </c>
      <c r="O652" t="s">
        <v>4288</v>
      </c>
      <c r="P652" t="str">
        <f t="shared" si="87"/>
        <v/>
      </c>
      <c r="Q652" t="str">
        <f t="shared" ref="Q652:Q715" si="89">IF(O652="Vacant",IF(N652="","","Please Notify - Channel Added"),"")</f>
        <v/>
      </c>
      <c r="R652" s="69"/>
      <c r="S652">
        <f>'TMIS CA'!A643</f>
        <v>9842</v>
      </c>
      <c r="T652" t="str">
        <f>T('TMIS CA'!B643)</f>
        <v>Euronews Español</v>
      </c>
      <c r="U652" t="s">
        <v>4288</v>
      </c>
      <c r="V652" t="str">
        <f t="shared" si="83"/>
        <v/>
      </c>
      <c r="W652" t="str">
        <f t="shared" ref="W652:W715" si="90">IF(U652="Vacant",IF(T652="","","Please Notify - Channel Added"),"")</f>
        <v/>
      </c>
    </row>
    <row r="653" spans="1:23">
      <c r="A653">
        <f>'IPTV US'!A644</f>
        <v>10910</v>
      </c>
      <c r="B653" t="str">
        <f>T('IPTV US'!B644)</f>
        <v>Bizarre Foods with Andrew Zimmern</v>
      </c>
      <c r="C653" t="s">
        <v>4288</v>
      </c>
      <c r="D653" t="str">
        <f t="shared" si="84"/>
        <v/>
      </c>
      <c r="E653" t="str">
        <f t="shared" si="85"/>
        <v/>
      </c>
      <c r="F653" s="68" t="s">
        <v>4289</v>
      </c>
      <c r="G653">
        <f>'IPTV CA'!A644</f>
        <v>11243</v>
      </c>
      <c r="H653" t="str">
        <f>T('IPTV CA'!B644)</f>
        <v/>
      </c>
      <c r="I653" t="s">
        <v>4290</v>
      </c>
      <c r="J653" t="str">
        <f t="shared" si="86"/>
        <v/>
      </c>
      <c r="K653" t="str">
        <f t="shared" si="88"/>
        <v/>
      </c>
      <c r="L653" s="69"/>
      <c r="M653">
        <f>'TMIS US'!A644</f>
        <v>9510</v>
      </c>
      <c r="N653" t="str">
        <f>T('TMIS US'!B644)</f>
        <v>Bizarre Foods with Andrew Zimmern</v>
      </c>
      <c r="O653" t="s">
        <v>4288</v>
      </c>
      <c r="P653" t="str">
        <f t="shared" si="87"/>
        <v/>
      </c>
      <c r="Q653" t="str">
        <f t="shared" si="89"/>
        <v/>
      </c>
      <c r="R653" s="69"/>
      <c r="S653">
        <f>'TMIS CA'!A644</f>
        <v>9843</v>
      </c>
      <c r="T653" t="str">
        <f>T('TMIS CA'!B644)</f>
        <v/>
      </c>
      <c r="U653" t="s">
        <v>4290</v>
      </c>
      <c r="V653" t="str">
        <f t="shared" si="83"/>
        <v/>
      </c>
      <c r="W653" t="str">
        <f t="shared" si="90"/>
        <v/>
      </c>
    </row>
    <row r="654" spans="1:23">
      <c r="A654">
        <f>'IPTV US'!A645</f>
        <v>10911</v>
      </c>
      <c r="B654" t="str">
        <f>T('IPTV US'!B645)</f>
        <v>No Reservations</v>
      </c>
      <c r="C654" t="s">
        <v>4288</v>
      </c>
      <c r="D654" t="str">
        <f t="shared" si="84"/>
        <v/>
      </c>
      <c r="E654" t="str">
        <f t="shared" si="85"/>
        <v/>
      </c>
      <c r="F654" s="68" t="s">
        <v>4289</v>
      </c>
      <c r="G654">
        <f>'IPTV CA'!A645</f>
        <v>11244</v>
      </c>
      <c r="H654" t="str">
        <f>T('IPTV CA'!B645)</f>
        <v/>
      </c>
      <c r="I654" t="s">
        <v>4290</v>
      </c>
      <c r="J654" t="str">
        <f t="shared" si="86"/>
        <v/>
      </c>
      <c r="K654" t="str">
        <f t="shared" si="88"/>
        <v/>
      </c>
      <c r="L654" s="69"/>
      <c r="M654">
        <f>'TMIS US'!A645</f>
        <v>9511</v>
      </c>
      <c r="N654" t="str">
        <f>T('TMIS US'!B645)</f>
        <v>No Reservations</v>
      </c>
      <c r="O654" t="s">
        <v>4288</v>
      </c>
      <c r="P654" t="str">
        <f t="shared" si="87"/>
        <v/>
      </c>
      <c r="Q654" t="str">
        <f t="shared" si="89"/>
        <v/>
      </c>
      <c r="R654" s="69"/>
      <c r="S654">
        <f>'TMIS CA'!A645</f>
        <v>9844</v>
      </c>
      <c r="T654" t="str">
        <f>T('TMIS CA'!B645)</f>
        <v/>
      </c>
      <c r="U654" t="s">
        <v>4290</v>
      </c>
      <c r="V654" t="str">
        <f t="shared" ref="V654:V717" si="91">IF(U654="Active",IF(T654="","Please Notify - Channel Removed",""),"")</f>
        <v/>
      </c>
      <c r="W654" t="str">
        <f t="shared" si="90"/>
        <v/>
      </c>
    </row>
    <row r="655" spans="1:23">
      <c r="A655">
        <f>'IPTV US'!A646</f>
        <v>10912</v>
      </c>
      <c r="B655" t="str">
        <f>T('IPTV US'!B646)</f>
        <v/>
      </c>
      <c r="C655" t="s">
        <v>4290</v>
      </c>
      <c r="D655" t="str">
        <f t="shared" si="84"/>
        <v/>
      </c>
      <c r="E655" t="str">
        <f t="shared" si="85"/>
        <v/>
      </c>
      <c r="F655" s="68" t="s">
        <v>4289</v>
      </c>
      <c r="G655">
        <f>'IPTV CA'!A646</f>
        <v>11245</v>
      </c>
      <c r="H655" t="str">
        <f>T('IPTV CA'!B646)</f>
        <v>Novelisima</v>
      </c>
      <c r="I655" t="s">
        <v>4288</v>
      </c>
      <c r="J655" t="str">
        <f t="shared" si="86"/>
        <v/>
      </c>
      <c r="K655" t="str">
        <f t="shared" si="88"/>
        <v/>
      </c>
      <c r="L655" s="69"/>
      <c r="M655">
        <f>'TMIS US'!A646</f>
        <v>9512</v>
      </c>
      <c r="N655" t="str">
        <f>T('TMIS US'!B646)</f>
        <v/>
      </c>
      <c r="O655" t="s">
        <v>4290</v>
      </c>
      <c r="P655" t="str">
        <f t="shared" si="87"/>
        <v/>
      </c>
      <c r="Q655" t="str">
        <f t="shared" si="89"/>
        <v/>
      </c>
      <c r="R655" s="69"/>
      <c r="S655">
        <f>'TMIS CA'!A646</f>
        <v>9845</v>
      </c>
      <c r="T655" t="str">
        <f>T('TMIS CA'!B646)</f>
        <v>Novelisima</v>
      </c>
      <c r="U655" t="s">
        <v>4288</v>
      </c>
      <c r="V655" t="str">
        <f t="shared" si="91"/>
        <v/>
      </c>
      <c r="W655" t="str">
        <f t="shared" si="90"/>
        <v/>
      </c>
    </row>
    <row r="656" spans="1:23">
      <c r="A656">
        <f>'IPTV US'!A647</f>
        <v>10913</v>
      </c>
      <c r="B656" t="str">
        <f>T('IPTV US'!B647)</f>
        <v/>
      </c>
      <c r="C656" t="s">
        <v>4290</v>
      </c>
      <c r="D656" t="str">
        <f t="shared" si="84"/>
        <v/>
      </c>
      <c r="E656" t="str">
        <f t="shared" si="85"/>
        <v/>
      </c>
      <c r="F656" s="68" t="s">
        <v>4289</v>
      </c>
      <c r="G656">
        <f>'IPTV CA'!A647</f>
        <v>11246</v>
      </c>
      <c r="H656" t="str">
        <f>T('IPTV CA'!B647)</f>
        <v>El Conflicto TV</v>
      </c>
      <c r="I656" t="s">
        <v>4288</v>
      </c>
      <c r="J656" t="str">
        <f t="shared" si="86"/>
        <v/>
      </c>
      <c r="K656" t="str">
        <f t="shared" si="88"/>
        <v/>
      </c>
      <c r="L656" s="69"/>
      <c r="M656">
        <f>'TMIS US'!A647</f>
        <v>9513</v>
      </c>
      <c r="N656" t="str">
        <f>T('TMIS US'!B647)</f>
        <v/>
      </c>
      <c r="O656" t="s">
        <v>4290</v>
      </c>
      <c r="P656" t="str">
        <f t="shared" si="87"/>
        <v/>
      </c>
      <c r="Q656" t="str">
        <f t="shared" si="89"/>
        <v/>
      </c>
      <c r="R656" s="69"/>
      <c r="S656">
        <f>'TMIS CA'!A647</f>
        <v>9846</v>
      </c>
      <c r="T656" t="str">
        <f>T('TMIS CA'!B647)</f>
        <v>El Conflicto TV</v>
      </c>
      <c r="U656" t="s">
        <v>4288</v>
      </c>
      <c r="V656" t="str">
        <f t="shared" si="91"/>
        <v/>
      </c>
      <c r="W656" t="str">
        <f t="shared" si="90"/>
        <v/>
      </c>
    </row>
    <row r="657" spans="1:23">
      <c r="A657">
        <f>'IPTV US'!A648</f>
        <v>10914</v>
      </c>
      <c r="B657" t="str">
        <f>T('IPTV US'!B648)</f>
        <v>BBC Food</v>
      </c>
      <c r="C657" t="s">
        <v>4288</v>
      </c>
      <c r="D657" t="str">
        <f t="shared" si="84"/>
        <v/>
      </c>
      <c r="E657" t="str">
        <f t="shared" si="85"/>
        <v/>
      </c>
      <c r="F657" s="68" t="s">
        <v>4289</v>
      </c>
      <c r="G657">
        <f>'IPTV CA'!A648</f>
        <v>11247</v>
      </c>
      <c r="H657" t="str">
        <f>T('IPTV CA'!B648)</f>
        <v>Nosey Escándalos</v>
      </c>
      <c r="I657" t="s">
        <v>4288</v>
      </c>
      <c r="J657" t="str">
        <f t="shared" si="86"/>
        <v/>
      </c>
      <c r="K657" t="str">
        <f t="shared" si="88"/>
        <v/>
      </c>
      <c r="L657" s="69"/>
      <c r="M657">
        <f>'TMIS US'!A648</f>
        <v>9514</v>
      </c>
      <c r="N657" t="str">
        <f>T('TMIS US'!B648)</f>
        <v>BBC Food</v>
      </c>
      <c r="O657" t="s">
        <v>4288</v>
      </c>
      <c r="P657" t="str">
        <f t="shared" si="87"/>
        <v/>
      </c>
      <c r="Q657" t="str">
        <f t="shared" si="89"/>
        <v/>
      </c>
      <c r="R657" s="69"/>
      <c r="S657">
        <f>'TMIS CA'!A648</f>
        <v>9847</v>
      </c>
      <c r="T657" t="str">
        <f>T('TMIS CA'!B648)</f>
        <v>Nosey Escándalos</v>
      </c>
      <c r="U657" t="s">
        <v>4288</v>
      </c>
      <c r="V657" t="str">
        <f t="shared" si="91"/>
        <v/>
      </c>
      <c r="W657" t="str">
        <f t="shared" si="90"/>
        <v/>
      </c>
    </row>
    <row r="658" spans="1:23">
      <c r="A658">
        <f>'IPTV US'!A649</f>
        <v>10915</v>
      </c>
      <c r="B658" t="str">
        <f>T('IPTV US'!B649)</f>
        <v>So Yummy!</v>
      </c>
      <c r="C658" t="s">
        <v>4288</v>
      </c>
      <c r="D658" t="str">
        <f t="shared" si="84"/>
        <v/>
      </c>
      <c r="E658" t="str">
        <f t="shared" si="85"/>
        <v/>
      </c>
      <c r="F658" s="68" t="s">
        <v>4289</v>
      </c>
      <c r="G658">
        <f>'IPTV CA'!A649</f>
        <v>11248</v>
      </c>
      <c r="H658" t="str">
        <f>T('IPTV CA'!B649)</f>
        <v>Always Funny en Español</v>
      </c>
      <c r="I658" t="s">
        <v>4288</v>
      </c>
      <c r="J658" t="str">
        <f t="shared" si="86"/>
        <v/>
      </c>
      <c r="K658" t="str">
        <f t="shared" si="88"/>
        <v/>
      </c>
      <c r="L658" s="69"/>
      <c r="M658">
        <f>'TMIS US'!A649</f>
        <v>9515</v>
      </c>
      <c r="N658" t="str">
        <f>T('TMIS US'!B649)</f>
        <v>So Yummy!</v>
      </c>
      <c r="O658" t="s">
        <v>4288</v>
      </c>
      <c r="P658" t="str">
        <f t="shared" si="87"/>
        <v/>
      </c>
      <c r="Q658" t="str">
        <f t="shared" si="89"/>
        <v/>
      </c>
      <c r="R658" s="69"/>
      <c r="S658">
        <f>'TMIS CA'!A649</f>
        <v>9848</v>
      </c>
      <c r="T658" t="str">
        <f>T('TMIS CA'!B649)</f>
        <v>Always Funny en Español</v>
      </c>
      <c r="U658" t="s">
        <v>4288</v>
      </c>
      <c r="V658" t="str">
        <f t="shared" si="91"/>
        <v/>
      </c>
      <c r="W658" t="str">
        <f t="shared" si="90"/>
        <v/>
      </c>
    </row>
    <row r="659" spans="1:23">
      <c r="A659">
        <f>'IPTV US'!A650</f>
        <v>10916</v>
      </c>
      <c r="B659" t="str">
        <f>T('IPTV US'!B650)</f>
        <v>PBS Food</v>
      </c>
      <c r="C659" t="s">
        <v>4288</v>
      </c>
      <c r="D659" t="str">
        <f t="shared" si="84"/>
        <v/>
      </c>
      <c r="E659" t="str">
        <f t="shared" si="85"/>
        <v/>
      </c>
      <c r="F659" s="68" t="s">
        <v>4289</v>
      </c>
      <c r="G659">
        <f>'IPTV CA'!A650</f>
        <v>11249</v>
      </c>
      <c r="H659" t="str">
        <f>T('IPTV CA'!B650)</f>
        <v>C4 en Alerta</v>
      </c>
      <c r="I659" t="s">
        <v>4288</v>
      </c>
      <c r="J659" t="str">
        <f t="shared" si="86"/>
        <v/>
      </c>
      <c r="K659" t="str">
        <f t="shared" si="88"/>
        <v/>
      </c>
      <c r="L659" s="69"/>
      <c r="M659">
        <f>'TMIS US'!A650</f>
        <v>9516</v>
      </c>
      <c r="N659" t="str">
        <f>T('TMIS US'!B650)</f>
        <v>PBS Food</v>
      </c>
      <c r="O659" t="s">
        <v>4288</v>
      </c>
      <c r="P659" t="str">
        <f t="shared" si="87"/>
        <v/>
      </c>
      <c r="Q659" t="str">
        <f t="shared" si="89"/>
        <v/>
      </c>
      <c r="R659" s="69"/>
      <c r="S659">
        <f>'TMIS CA'!A650</f>
        <v>9849</v>
      </c>
      <c r="T659" t="str">
        <f>T('TMIS CA'!B650)</f>
        <v>C4 en Alerta</v>
      </c>
      <c r="U659" t="s">
        <v>4288</v>
      </c>
      <c r="V659" t="str">
        <f t="shared" si="91"/>
        <v/>
      </c>
      <c r="W659" t="str">
        <f t="shared" si="90"/>
        <v/>
      </c>
    </row>
    <row r="660" spans="1:23">
      <c r="A660">
        <f>'IPTV US'!A651</f>
        <v>10917</v>
      </c>
      <c r="B660" t="str">
        <f>T('IPTV US'!B651)</f>
        <v>LX Home Streaming</v>
      </c>
      <c r="C660" t="s">
        <v>4288</v>
      </c>
      <c r="D660" t="str">
        <f t="shared" si="84"/>
        <v/>
      </c>
      <c r="E660" t="str">
        <f t="shared" si="85"/>
        <v/>
      </c>
      <c r="F660" s="68" t="s">
        <v>4289</v>
      </c>
      <c r="G660">
        <f>'IPTV CA'!A651</f>
        <v>11250</v>
      </c>
      <c r="H660" t="str">
        <f>T('IPTV CA'!B651)</f>
        <v>beIN Sports Xtra en Español</v>
      </c>
      <c r="I660" t="s">
        <v>4288</v>
      </c>
      <c r="J660" t="str">
        <f t="shared" si="86"/>
        <v/>
      </c>
      <c r="K660" t="str">
        <f t="shared" si="88"/>
        <v/>
      </c>
      <c r="L660" s="69"/>
      <c r="M660">
        <f>'TMIS US'!A651</f>
        <v>9517</v>
      </c>
      <c r="N660" t="str">
        <f>T('TMIS US'!B651)</f>
        <v>LX Home Streaming</v>
      </c>
      <c r="O660" t="s">
        <v>4288</v>
      </c>
      <c r="P660" t="str">
        <f t="shared" si="87"/>
        <v/>
      </c>
      <c r="Q660" t="str">
        <f t="shared" si="89"/>
        <v/>
      </c>
      <c r="R660" s="69"/>
      <c r="S660">
        <f>'TMIS CA'!A651</f>
        <v>9850</v>
      </c>
      <c r="T660" t="str">
        <f>T('TMIS CA'!B651)</f>
        <v>beIN Sports Xtra en Español</v>
      </c>
      <c r="U660" t="s">
        <v>4288</v>
      </c>
      <c r="V660" t="str">
        <f t="shared" si="91"/>
        <v/>
      </c>
      <c r="W660" t="str">
        <f t="shared" si="90"/>
        <v/>
      </c>
    </row>
    <row r="661" spans="1:23">
      <c r="A661">
        <f>'IPTV US'!A652</f>
        <v>10918</v>
      </c>
      <c r="B661" t="str">
        <f>T('IPTV US'!B652)</f>
        <v/>
      </c>
      <c r="C661" t="s">
        <v>4290</v>
      </c>
      <c r="D661" t="str">
        <f t="shared" si="84"/>
        <v/>
      </c>
      <c r="E661" t="str">
        <f t="shared" si="85"/>
        <v/>
      </c>
      <c r="F661" s="68" t="s">
        <v>4289</v>
      </c>
      <c r="G661">
        <f>'IPTV CA'!A652</f>
        <v>11251</v>
      </c>
      <c r="H661" t="str">
        <f>T('IPTV CA'!B652)</f>
        <v>The World Poker Tour (Spanish)</v>
      </c>
      <c r="I661" t="s">
        <v>4288</v>
      </c>
      <c r="J661" t="str">
        <f t="shared" si="86"/>
        <v/>
      </c>
      <c r="K661" t="str">
        <f t="shared" si="88"/>
        <v/>
      </c>
      <c r="L661" s="69"/>
      <c r="M661">
        <f>'TMIS US'!A652</f>
        <v>9518</v>
      </c>
      <c r="N661" t="str">
        <f>T('TMIS US'!B652)</f>
        <v/>
      </c>
      <c r="O661" t="s">
        <v>4290</v>
      </c>
      <c r="P661" t="str">
        <f t="shared" si="87"/>
        <v/>
      </c>
      <c r="Q661" t="str">
        <f t="shared" si="89"/>
        <v/>
      </c>
      <c r="R661" s="69"/>
      <c r="S661">
        <f>'TMIS CA'!A652</f>
        <v>9851</v>
      </c>
      <c r="T661" t="str">
        <f>T('TMIS CA'!B652)</f>
        <v>The World Poker Tour (Spanish)</v>
      </c>
      <c r="U661" t="s">
        <v>4288</v>
      </c>
      <c r="V661" t="str">
        <f t="shared" si="91"/>
        <v/>
      </c>
      <c r="W661" t="str">
        <f t="shared" si="90"/>
        <v/>
      </c>
    </row>
    <row r="662" spans="1:23">
      <c r="A662">
        <f>'IPTV US'!A653</f>
        <v>10919</v>
      </c>
      <c r="B662" t="str">
        <f>T('IPTV US'!B653)</f>
        <v>Welcome Home</v>
      </c>
      <c r="C662" t="s">
        <v>4288</v>
      </c>
      <c r="D662" t="str">
        <f t="shared" si="84"/>
        <v/>
      </c>
      <c r="E662" t="str">
        <f t="shared" si="85"/>
        <v/>
      </c>
      <c r="F662" s="68" t="s">
        <v>4289</v>
      </c>
      <c r="G662">
        <f>'IPTV CA'!A653</f>
        <v>11252</v>
      </c>
      <c r="H662" t="str">
        <f>T('IPTV CA'!B653)</f>
        <v/>
      </c>
      <c r="I662" t="s">
        <v>4290</v>
      </c>
      <c r="J662" t="str">
        <f t="shared" si="86"/>
        <v/>
      </c>
      <c r="K662" t="str">
        <f t="shared" si="88"/>
        <v/>
      </c>
      <c r="L662" s="69"/>
      <c r="M662">
        <f>'TMIS US'!A653</f>
        <v>9519</v>
      </c>
      <c r="N662" t="str">
        <f>T('TMIS US'!B653)</f>
        <v>Welcome Home</v>
      </c>
      <c r="O662" t="s">
        <v>4288</v>
      </c>
      <c r="P662" t="str">
        <f t="shared" si="87"/>
        <v/>
      </c>
      <c r="Q662" t="str">
        <f t="shared" si="89"/>
        <v/>
      </c>
      <c r="R662" s="69"/>
      <c r="S662">
        <f>'TMIS CA'!A653</f>
        <v>9852</v>
      </c>
      <c r="T662" t="str">
        <f>T('TMIS CA'!B653)</f>
        <v/>
      </c>
      <c r="U662" t="s">
        <v>4290</v>
      </c>
      <c r="V662" t="str">
        <f t="shared" si="91"/>
        <v/>
      </c>
      <c r="W662" t="str">
        <f t="shared" si="90"/>
        <v/>
      </c>
    </row>
    <row r="663" spans="1:23">
      <c r="A663">
        <f>'IPTV US'!A654</f>
        <v>10920</v>
      </c>
      <c r="B663" t="str">
        <f>T('IPTV US'!B654)</f>
        <v>Fork &amp; Flight</v>
      </c>
      <c r="C663" t="s">
        <v>4288</v>
      </c>
      <c r="D663" t="str">
        <f t="shared" si="84"/>
        <v/>
      </c>
      <c r="E663" t="str">
        <f t="shared" si="85"/>
        <v/>
      </c>
      <c r="F663" s="68" t="s">
        <v>4289</v>
      </c>
      <c r="G663">
        <f>'IPTV CA'!A654</f>
        <v>11253</v>
      </c>
      <c r="H663" t="str">
        <f>T('IPTV CA'!B654)</f>
        <v/>
      </c>
      <c r="I663" t="s">
        <v>4290</v>
      </c>
      <c r="J663" t="str">
        <f t="shared" si="86"/>
        <v/>
      </c>
      <c r="K663" t="str">
        <f t="shared" si="88"/>
        <v/>
      </c>
      <c r="L663" s="69"/>
      <c r="M663">
        <f>'TMIS US'!A654</f>
        <v>9520</v>
      </c>
      <c r="N663" t="str">
        <f>T('TMIS US'!B654)</f>
        <v>Fork &amp; Flight</v>
      </c>
      <c r="O663" t="s">
        <v>4288</v>
      </c>
      <c r="P663" t="str">
        <f t="shared" si="87"/>
        <v/>
      </c>
      <c r="Q663" t="str">
        <f t="shared" si="89"/>
        <v/>
      </c>
      <c r="R663" s="69"/>
      <c r="S663">
        <f>'TMIS CA'!A654</f>
        <v>9853</v>
      </c>
      <c r="T663" t="str">
        <f>T('TMIS CA'!B654)</f>
        <v/>
      </c>
      <c r="U663" t="s">
        <v>4290</v>
      </c>
      <c r="V663" t="str">
        <f t="shared" si="91"/>
        <v/>
      </c>
      <c r="W663" t="str">
        <f t="shared" si="90"/>
        <v/>
      </c>
    </row>
    <row r="664" spans="1:23">
      <c r="A664">
        <f>'IPTV US'!A655</f>
        <v>10921</v>
      </c>
      <c r="B664" t="str">
        <f>T('IPTV US'!B655)</f>
        <v/>
      </c>
      <c r="C664" t="s">
        <v>4290</v>
      </c>
      <c r="D664" t="str">
        <f t="shared" si="84"/>
        <v/>
      </c>
      <c r="E664" t="str">
        <f t="shared" si="85"/>
        <v/>
      </c>
      <c r="F664" s="68" t="s">
        <v>4289</v>
      </c>
      <c r="G664">
        <f>'IPTV CA'!A655</f>
        <v>11254</v>
      </c>
      <c r="H664" t="str">
        <f>T('IPTV CA'!B655)</f>
        <v>Ideas En 5 Minutos</v>
      </c>
      <c r="I664" t="s">
        <v>4288</v>
      </c>
      <c r="J664" t="str">
        <f t="shared" si="86"/>
        <v/>
      </c>
      <c r="K664" t="str">
        <f t="shared" si="88"/>
        <v/>
      </c>
      <c r="L664" s="69"/>
      <c r="M664">
        <f>'TMIS US'!A655</f>
        <v>9521</v>
      </c>
      <c r="N664" t="str">
        <f>T('TMIS US'!B655)</f>
        <v/>
      </c>
      <c r="O664" t="s">
        <v>4290</v>
      </c>
      <c r="P664" t="str">
        <f t="shared" si="87"/>
        <v/>
      </c>
      <c r="Q664" t="str">
        <f t="shared" si="89"/>
        <v/>
      </c>
      <c r="R664" s="69"/>
      <c r="S664">
        <f>'TMIS CA'!A655</f>
        <v>9854</v>
      </c>
      <c r="T664" t="str">
        <f>T('TMIS CA'!B655)</f>
        <v>Ideas En 5 Minutos</v>
      </c>
      <c r="U664" t="s">
        <v>4288</v>
      </c>
      <c r="V664" t="str">
        <f t="shared" si="91"/>
        <v/>
      </c>
      <c r="W664" t="str">
        <f t="shared" si="90"/>
        <v/>
      </c>
    </row>
    <row r="665" spans="1:23">
      <c r="A665">
        <f>'IPTV US'!A656</f>
        <v>10922</v>
      </c>
      <c r="B665" t="str">
        <f>T('IPTV US'!B656)</f>
        <v/>
      </c>
      <c r="C665" t="s">
        <v>4290</v>
      </c>
      <c r="D665" t="str">
        <f t="shared" si="84"/>
        <v/>
      </c>
      <c r="E665" t="str">
        <f t="shared" si="85"/>
        <v/>
      </c>
      <c r="F665" s="68" t="s">
        <v>4289</v>
      </c>
      <c r="G665">
        <f>'IPTV CA'!A656</f>
        <v>11255</v>
      </c>
      <c r="H665" t="str">
        <f>T('IPTV CA'!B656)</f>
        <v>Pitufo TV</v>
      </c>
      <c r="I665" t="s">
        <v>4288</v>
      </c>
      <c r="J665" t="str">
        <f t="shared" si="86"/>
        <v/>
      </c>
      <c r="K665" t="str">
        <f t="shared" si="88"/>
        <v/>
      </c>
      <c r="L665" s="69"/>
      <c r="M665">
        <f>'TMIS US'!A656</f>
        <v>9522</v>
      </c>
      <c r="N665" t="str">
        <f>T('TMIS US'!B656)</f>
        <v/>
      </c>
      <c r="O665" t="s">
        <v>4290</v>
      </c>
      <c r="P665" t="str">
        <f t="shared" si="87"/>
        <v/>
      </c>
      <c r="Q665" t="str">
        <f t="shared" si="89"/>
        <v/>
      </c>
      <c r="R665" s="69"/>
      <c r="S665">
        <f>'TMIS CA'!A656</f>
        <v>9855</v>
      </c>
      <c r="T665" t="str">
        <f>T('TMIS CA'!B656)</f>
        <v>Pitufo TV</v>
      </c>
      <c r="U665" t="s">
        <v>4288</v>
      </c>
      <c r="V665" t="str">
        <f t="shared" si="91"/>
        <v/>
      </c>
      <c r="W665" t="str">
        <f t="shared" si="90"/>
        <v/>
      </c>
    </row>
    <row r="666" spans="1:23">
      <c r="A666">
        <f>'IPTV US'!A657</f>
        <v>10923</v>
      </c>
      <c r="B666" t="str">
        <f>T('IPTV US'!B657)</f>
        <v/>
      </c>
      <c r="C666" t="s">
        <v>4290</v>
      </c>
      <c r="D666" t="str">
        <f t="shared" si="84"/>
        <v/>
      </c>
      <c r="E666" t="str">
        <f t="shared" si="85"/>
        <v/>
      </c>
      <c r="F666" s="68" t="s">
        <v>4289</v>
      </c>
      <c r="G666">
        <f>'IPTV CA'!A657</f>
        <v>11256</v>
      </c>
      <c r="H666" t="str">
        <f>T('IPTV CA'!B657)</f>
        <v>Desi Play TV</v>
      </c>
      <c r="I666" t="s">
        <v>4288</v>
      </c>
      <c r="J666" t="str">
        <f t="shared" si="86"/>
        <v/>
      </c>
      <c r="K666" t="str">
        <f t="shared" si="88"/>
        <v/>
      </c>
      <c r="L666" s="69"/>
      <c r="M666">
        <f>'TMIS US'!A657</f>
        <v>9523</v>
      </c>
      <c r="N666" t="str">
        <f>T('TMIS US'!B657)</f>
        <v/>
      </c>
      <c r="O666" t="s">
        <v>4290</v>
      </c>
      <c r="P666" t="str">
        <f t="shared" si="87"/>
        <v/>
      </c>
      <c r="Q666" t="str">
        <f t="shared" si="89"/>
        <v/>
      </c>
      <c r="R666" s="69"/>
      <c r="S666">
        <f>'TMIS CA'!A657</f>
        <v>9856</v>
      </c>
      <c r="T666" t="str">
        <f>T('TMIS CA'!B657)</f>
        <v>Desi Play TV</v>
      </c>
      <c r="U666" t="s">
        <v>4288</v>
      </c>
      <c r="V666" t="str">
        <f t="shared" si="91"/>
        <v/>
      </c>
      <c r="W666" t="str">
        <f t="shared" si="90"/>
        <v/>
      </c>
    </row>
    <row r="667" spans="1:23">
      <c r="A667">
        <f>'IPTV US'!A658</f>
        <v>10924</v>
      </c>
      <c r="B667" t="str">
        <f>T('IPTV US'!B658)</f>
        <v>Million Dollar Listing Vault</v>
      </c>
      <c r="C667" t="s">
        <v>4288</v>
      </c>
      <c r="D667" t="str">
        <f t="shared" si="84"/>
        <v/>
      </c>
      <c r="E667" t="str">
        <f t="shared" si="85"/>
        <v/>
      </c>
      <c r="F667" s="68" t="s">
        <v>4289</v>
      </c>
      <c r="G667">
        <f>'IPTV CA'!A658</f>
        <v>11257</v>
      </c>
      <c r="H667" t="str">
        <f>T('IPTV CA'!B658)</f>
        <v>Shemaroo Bollywood</v>
      </c>
      <c r="I667" t="s">
        <v>4288</v>
      </c>
      <c r="J667" t="str">
        <f t="shared" si="86"/>
        <v/>
      </c>
      <c r="K667" t="str">
        <f t="shared" si="88"/>
        <v/>
      </c>
      <c r="L667" s="69"/>
      <c r="M667">
        <f>'TMIS US'!A658</f>
        <v>9524</v>
      </c>
      <c r="N667" t="str">
        <f>T('TMIS US'!B658)</f>
        <v>Million Dollar Listing Vault</v>
      </c>
      <c r="O667" t="s">
        <v>4288</v>
      </c>
      <c r="P667" t="str">
        <f t="shared" si="87"/>
        <v/>
      </c>
      <c r="Q667" t="str">
        <f t="shared" si="89"/>
        <v/>
      </c>
      <c r="R667" s="69"/>
      <c r="S667">
        <f>'TMIS CA'!A658</f>
        <v>9857</v>
      </c>
      <c r="T667" t="str">
        <f>T('TMIS CA'!B658)</f>
        <v>Shemaroo Bollywood</v>
      </c>
      <c r="U667" t="s">
        <v>4288</v>
      </c>
      <c r="V667" t="str">
        <f t="shared" si="91"/>
        <v/>
      </c>
      <c r="W667" t="str">
        <f t="shared" si="90"/>
        <v/>
      </c>
    </row>
    <row r="668" spans="1:23">
      <c r="A668">
        <f>'IPTV US'!A659</f>
        <v>10925</v>
      </c>
      <c r="B668" t="str">
        <f>T('IPTV US'!B659)</f>
        <v>Property &amp; Reno</v>
      </c>
      <c r="C668" t="s">
        <v>4288</v>
      </c>
      <c r="D668" t="str">
        <f t="shared" si="84"/>
        <v/>
      </c>
      <c r="E668" t="str">
        <f t="shared" si="85"/>
        <v/>
      </c>
      <c r="F668" s="68" t="s">
        <v>4289</v>
      </c>
      <c r="G668">
        <f>'IPTV CA'!A659</f>
        <v>11258</v>
      </c>
      <c r="H668" t="str">
        <f>T('IPTV CA'!B659)</f>
        <v>Zee BollyWorld</v>
      </c>
      <c r="I668" t="s">
        <v>4288</v>
      </c>
      <c r="J668" t="str">
        <f t="shared" si="86"/>
        <v/>
      </c>
      <c r="K668" t="str">
        <f t="shared" si="88"/>
        <v/>
      </c>
      <c r="L668" s="69"/>
      <c r="M668">
        <f>'TMIS US'!A659</f>
        <v>9525</v>
      </c>
      <c r="N668" t="str">
        <f>T('TMIS US'!B659)</f>
        <v>Property &amp; Reno</v>
      </c>
      <c r="O668" t="s">
        <v>4288</v>
      </c>
      <c r="P668" t="str">
        <f t="shared" si="87"/>
        <v/>
      </c>
      <c r="Q668" t="str">
        <f t="shared" si="89"/>
        <v/>
      </c>
      <c r="R668" s="69"/>
      <c r="S668">
        <f>'TMIS CA'!A659</f>
        <v>9858</v>
      </c>
      <c r="T668" t="str">
        <f>T('TMIS CA'!B659)</f>
        <v>Zee BollyWorld</v>
      </c>
      <c r="U668" t="s">
        <v>4288</v>
      </c>
      <c r="V668" t="str">
        <f t="shared" si="91"/>
        <v/>
      </c>
      <c r="W668" t="str">
        <f t="shared" si="90"/>
        <v/>
      </c>
    </row>
    <row r="669" spans="1:23">
      <c r="A669">
        <f>'IPTV US'!A660</f>
        <v>10926</v>
      </c>
      <c r="B669" t="str">
        <f>T('IPTV US'!B660)</f>
        <v>BBC Home &amp; Garden</v>
      </c>
      <c r="C669" t="s">
        <v>4288</v>
      </c>
      <c r="D669" t="str">
        <f t="shared" si="84"/>
        <v/>
      </c>
      <c r="E669" t="str">
        <f t="shared" si="85"/>
        <v/>
      </c>
      <c r="F669" s="68" t="s">
        <v>4289</v>
      </c>
      <c r="G669">
        <f>'IPTV CA'!A660</f>
        <v>11259</v>
      </c>
      <c r="H669" t="str">
        <f>T('IPTV CA'!B660)</f>
        <v/>
      </c>
      <c r="I669" t="s">
        <v>4290</v>
      </c>
      <c r="J669" t="str">
        <f t="shared" si="86"/>
        <v/>
      </c>
      <c r="K669" t="str">
        <f t="shared" si="88"/>
        <v/>
      </c>
      <c r="L669" s="69"/>
      <c r="M669">
        <f>'TMIS US'!A660</f>
        <v>9526</v>
      </c>
      <c r="N669" t="str">
        <f>T('TMIS US'!B660)</f>
        <v>BBC Home &amp; Garden</v>
      </c>
      <c r="O669" t="s">
        <v>4288</v>
      </c>
      <c r="P669" t="str">
        <f t="shared" si="87"/>
        <v/>
      </c>
      <c r="Q669" t="str">
        <f t="shared" si="89"/>
        <v/>
      </c>
      <c r="R669" s="69"/>
      <c r="S669">
        <f>'TMIS CA'!A660</f>
        <v>9859</v>
      </c>
      <c r="T669" t="str">
        <f>T('TMIS CA'!B660)</f>
        <v/>
      </c>
      <c r="U669" t="s">
        <v>4290</v>
      </c>
      <c r="V669" t="str">
        <f t="shared" si="91"/>
        <v/>
      </c>
      <c r="W669" t="str">
        <f t="shared" si="90"/>
        <v/>
      </c>
    </row>
    <row r="670" spans="1:23">
      <c r="A670">
        <f>'IPTV US'!A661</f>
        <v>10927</v>
      </c>
      <c r="B670" t="str">
        <f>T('IPTV US'!B661)</f>
        <v/>
      </c>
      <c r="C670" t="s">
        <v>4290</v>
      </c>
      <c r="D670" t="str">
        <f t="shared" si="84"/>
        <v/>
      </c>
      <c r="E670" t="str">
        <f t="shared" si="85"/>
        <v/>
      </c>
      <c r="F670" s="68" t="s">
        <v>4289</v>
      </c>
      <c r="G670">
        <f>'IPTV CA'!A661</f>
        <v>11260</v>
      </c>
      <c r="H670" t="str">
        <f>T('IPTV CA'!B661)</f>
        <v/>
      </c>
      <c r="I670" t="s">
        <v>4290</v>
      </c>
      <c r="J670" t="str">
        <f t="shared" si="86"/>
        <v/>
      </c>
      <c r="K670" t="str">
        <f t="shared" si="88"/>
        <v/>
      </c>
      <c r="L670" s="69"/>
      <c r="M670">
        <f>'TMIS US'!A661</f>
        <v>9527</v>
      </c>
      <c r="N670" t="str">
        <f>T('TMIS US'!B661)</f>
        <v/>
      </c>
      <c r="O670" t="s">
        <v>4290</v>
      </c>
      <c r="P670" t="str">
        <f t="shared" si="87"/>
        <v/>
      </c>
      <c r="Q670" t="str">
        <f t="shared" si="89"/>
        <v/>
      </c>
      <c r="R670" s="69"/>
      <c r="S670">
        <f>'TMIS CA'!A661</f>
        <v>9860</v>
      </c>
      <c r="T670" t="str">
        <f>T('TMIS CA'!B661)</f>
        <v/>
      </c>
      <c r="U670" t="s">
        <v>4290</v>
      </c>
      <c r="V670" t="str">
        <f t="shared" si="91"/>
        <v/>
      </c>
      <c r="W670" t="str">
        <f t="shared" si="90"/>
        <v/>
      </c>
    </row>
    <row r="671" spans="1:23">
      <c r="A671">
        <f>'IPTV US'!A662</f>
        <v>10928</v>
      </c>
      <c r="B671" t="str">
        <f>T('IPTV US'!B662)</f>
        <v/>
      </c>
      <c r="C671" t="s">
        <v>4290</v>
      </c>
      <c r="D671" t="str">
        <f t="shared" si="84"/>
        <v/>
      </c>
      <c r="E671" t="str">
        <f t="shared" si="85"/>
        <v/>
      </c>
      <c r="F671" s="68" t="s">
        <v>4289</v>
      </c>
      <c r="G671">
        <f>'IPTV CA'!A662</f>
        <v>11261</v>
      </c>
      <c r="H671" t="str">
        <f>T('IPTV CA'!B662)</f>
        <v>Rakuten Viki</v>
      </c>
      <c r="I671" t="s">
        <v>4288</v>
      </c>
      <c r="J671" t="str">
        <f t="shared" si="86"/>
        <v/>
      </c>
      <c r="K671" t="str">
        <f t="shared" si="88"/>
        <v/>
      </c>
      <c r="L671" s="69"/>
      <c r="M671">
        <f>'TMIS US'!A662</f>
        <v>9528</v>
      </c>
      <c r="N671" t="str">
        <f>T('TMIS US'!B662)</f>
        <v/>
      </c>
      <c r="O671" t="s">
        <v>4290</v>
      </c>
      <c r="P671" t="str">
        <f t="shared" si="87"/>
        <v/>
      </c>
      <c r="Q671" t="str">
        <f t="shared" si="89"/>
        <v/>
      </c>
      <c r="R671" s="69"/>
      <c r="S671">
        <f>'TMIS CA'!A662</f>
        <v>9861</v>
      </c>
      <c r="T671" t="str">
        <f>T('TMIS CA'!B662)</f>
        <v>Rakuten Viki</v>
      </c>
      <c r="U671" t="s">
        <v>4288</v>
      </c>
      <c r="V671" t="str">
        <f t="shared" si="91"/>
        <v/>
      </c>
      <c r="W671" t="str">
        <f t="shared" si="90"/>
        <v/>
      </c>
    </row>
    <row r="672" spans="1:23">
      <c r="A672">
        <f>'IPTV US'!A663</f>
        <v>10929</v>
      </c>
      <c r="B672" t="str">
        <f>T('IPTV US'!B663)</f>
        <v>PBS Antiques Roadshow</v>
      </c>
      <c r="C672" t="s">
        <v>4288</v>
      </c>
      <c r="D672" t="str">
        <f t="shared" si="84"/>
        <v/>
      </c>
      <c r="E672" t="str">
        <f t="shared" si="85"/>
        <v/>
      </c>
      <c r="F672" s="68" t="s">
        <v>4289</v>
      </c>
      <c r="G672">
        <f>'IPTV CA'!A663</f>
        <v>11262</v>
      </c>
      <c r="H672" t="str">
        <f>T('IPTV CA'!B663)</f>
        <v/>
      </c>
      <c r="I672" t="s">
        <v>4290</v>
      </c>
      <c r="J672" t="str">
        <f t="shared" si="86"/>
        <v/>
      </c>
      <c r="K672" t="str">
        <f t="shared" si="88"/>
        <v/>
      </c>
      <c r="L672" s="69"/>
      <c r="M672">
        <f>'TMIS US'!A663</f>
        <v>9529</v>
      </c>
      <c r="N672" t="str">
        <f>T('TMIS US'!B663)</f>
        <v>PBS Antiques Roadshow</v>
      </c>
      <c r="O672" t="s">
        <v>4288</v>
      </c>
      <c r="P672" t="str">
        <f t="shared" si="87"/>
        <v/>
      </c>
      <c r="Q672" t="str">
        <f t="shared" si="89"/>
        <v/>
      </c>
      <c r="R672" s="69"/>
      <c r="S672">
        <f>'TMIS CA'!A663</f>
        <v>9862</v>
      </c>
      <c r="T672" t="str">
        <f>T('TMIS CA'!B663)</f>
        <v/>
      </c>
      <c r="U672" t="s">
        <v>4290</v>
      </c>
      <c r="V672" t="str">
        <f t="shared" si="91"/>
        <v/>
      </c>
      <c r="W672" t="str">
        <f t="shared" si="90"/>
        <v/>
      </c>
    </row>
    <row r="673" spans="1:23">
      <c r="A673">
        <f>'IPTV US'!A664</f>
        <v>10930</v>
      </c>
      <c r="B673" t="str">
        <f>T('IPTV US'!B664)</f>
        <v>Antiques Road Trip</v>
      </c>
      <c r="C673" t="s">
        <v>4288</v>
      </c>
      <c r="D673" t="str">
        <f t="shared" si="84"/>
        <v/>
      </c>
      <c r="E673" t="str">
        <f t="shared" si="85"/>
        <v/>
      </c>
      <c r="F673" s="68" t="s">
        <v>4289</v>
      </c>
      <c r="G673">
        <f>'IPTV CA'!A664</f>
        <v>11263</v>
      </c>
      <c r="H673" t="str">
        <f>T('IPTV CA'!B664)</f>
        <v/>
      </c>
      <c r="I673" t="s">
        <v>4290</v>
      </c>
      <c r="J673" t="str">
        <f t="shared" si="86"/>
        <v/>
      </c>
      <c r="K673" t="str">
        <f t="shared" si="88"/>
        <v/>
      </c>
      <c r="L673" s="69"/>
      <c r="M673">
        <f>'TMIS US'!A664</f>
        <v>9530</v>
      </c>
      <c r="N673" t="str">
        <f>T('TMIS US'!B664)</f>
        <v>Antiques Road Trip</v>
      </c>
      <c r="O673" t="s">
        <v>4288</v>
      </c>
      <c r="P673" t="str">
        <f t="shared" si="87"/>
        <v/>
      </c>
      <c r="Q673" t="str">
        <f t="shared" si="89"/>
        <v/>
      </c>
      <c r="R673" s="69"/>
      <c r="S673">
        <f>'TMIS CA'!A664</f>
        <v>9863</v>
      </c>
      <c r="T673" t="str">
        <f>T('TMIS CA'!B664)</f>
        <v/>
      </c>
      <c r="U673" t="s">
        <v>4290</v>
      </c>
      <c r="V673" t="str">
        <f t="shared" si="91"/>
        <v/>
      </c>
      <c r="W673" t="str">
        <f t="shared" si="90"/>
        <v/>
      </c>
    </row>
    <row r="674" spans="1:23">
      <c r="A674">
        <f>'IPTV US'!A665</f>
        <v>10931</v>
      </c>
      <c r="B674" t="str">
        <f>T('IPTV US'!B665)</f>
        <v>5-Minute Crafts</v>
      </c>
      <c r="C674" t="s">
        <v>4288</v>
      </c>
      <c r="D674" t="str">
        <f t="shared" si="84"/>
        <v/>
      </c>
      <c r="E674" t="str">
        <f t="shared" si="85"/>
        <v/>
      </c>
      <c r="F674" s="68" t="s">
        <v>4289</v>
      </c>
      <c r="G674">
        <f>'IPTV CA'!A665</f>
        <v>11264</v>
      </c>
      <c r="H674" t="str">
        <f>T('IPTV CA'!B665)</f>
        <v>Aliwko</v>
      </c>
      <c r="I674" t="s">
        <v>4288</v>
      </c>
      <c r="J674" t="str">
        <f t="shared" si="86"/>
        <v/>
      </c>
      <c r="K674" t="str">
        <f t="shared" si="88"/>
        <v/>
      </c>
      <c r="L674" s="69"/>
      <c r="M674">
        <f>'TMIS US'!A665</f>
        <v>9531</v>
      </c>
      <c r="N674" t="str">
        <f>T('TMIS US'!B665)</f>
        <v>5-Minute Crafts</v>
      </c>
      <c r="O674" t="s">
        <v>4288</v>
      </c>
      <c r="P674" t="str">
        <f t="shared" si="87"/>
        <v/>
      </c>
      <c r="Q674" t="str">
        <f t="shared" si="89"/>
        <v/>
      </c>
      <c r="R674" s="69"/>
      <c r="S674">
        <f>'TMIS CA'!A665</f>
        <v>9864</v>
      </c>
      <c r="T674" t="str">
        <f>T('TMIS CA'!B665)</f>
        <v>Aliwko</v>
      </c>
      <c r="U674" t="s">
        <v>4288</v>
      </c>
      <c r="V674" t="str">
        <f t="shared" si="91"/>
        <v/>
      </c>
      <c r="W674" t="str">
        <f t="shared" si="90"/>
        <v/>
      </c>
    </row>
    <row r="675" spans="1:23">
      <c r="A675">
        <f>'IPTV US'!A666</f>
        <v>10932</v>
      </c>
      <c r="B675" t="str">
        <f>T('IPTV US'!B666)</f>
        <v/>
      </c>
      <c r="C675" t="s">
        <v>4290</v>
      </c>
      <c r="D675" t="str">
        <f t="shared" si="84"/>
        <v/>
      </c>
      <c r="E675" t="str">
        <f t="shared" si="85"/>
        <v/>
      </c>
      <c r="F675" s="68" t="s">
        <v>4289</v>
      </c>
      <c r="G675">
        <f>'IPTV CA'!A666</f>
        <v>11265</v>
      </c>
      <c r="H675" t="str">
        <f>T('IPTV CA'!B666)</f>
        <v>OnDemandChina</v>
      </c>
      <c r="I675" t="s">
        <v>4288</v>
      </c>
      <c r="J675" t="str">
        <f t="shared" si="86"/>
        <v/>
      </c>
      <c r="K675" t="str">
        <f t="shared" si="88"/>
        <v/>
      </c>
      <c r="L675" s="69"/>
      <c r="M675">
        <f>'TMIS US'!A666</f>
        <v>9532</v>
      </c>
      <c r="N675" t="str">
        <f>T('TMIS US'!B666)</f>
        <v/>
      </c>
      <c r="O675" t="s">
        <v>4290</v>
      </c>
      <c r="P675" t="str">
        <f t="shared" si="87"/>
        <v/>
      </c>
      <c r="Q675" t="str">
        <f t="shared" si="89"/>
        <v/>
      </c>
      <c r="R675" s="69"/>
      <c r="S675">
        <f>'TMIS CA'!A666</f>
        <v>9865</v>
      </c>
      <c r="T675" t="str">
        <f>T('TMIS CA'!B666)</f>
        <v>OnDemandChina</v>
      </c>
      <c r="U675" t="s">
        <v>4288</v>
      </c>
      <c r="V675" t="str">
        <f t="shared" si="91"/>
        <v/>
      </c>
      <c r="W675" t="str">
        <f t="shared" si="90"/>
        <v/>
      </c>
    </row>
    <row r="676" spans="1:23">
      <c r="A676">
        <f>'IPTV US'!A667</f>
        <v>10933</v>
      </c>
      <c r="B676" t="str">
        <f>T('IPTV US'!B667)</f>
        <v/>
      </c>
      <c r="C676" t="s">
        <v>4290</v>
      </c>
      <c r="D676" t="str">
        <f t="shared" si="84"/>
        <v/>
      </c>
      <c r="E676" t="str">
        <f t="shared" si="85"/>
        <v/>
      </c>
      <c r="F676" s="68" t="s">
        <v>4289</v>
      </c>
      <c r="G676">
        <f>'IPTV CA'!A667</f>
        <v>11266</v>
      </c>
      <c r="H676" t="str">
        <f>T('IPTV CA'!B667)</f>
        <v/>
      </c>
      <c r="I676" t="s">
        <v>4290</v>
      </c>
      <c r="J676" t="str">
        <f t="shared" si="86"/>
        <v/>
      </c>
      <c r="K676" t="str">
        <f t="shared" si="88"/>
        <v/>
      </c>
      <c r="L676" s="69"/>
      <c r="M676">
        <f>'TMIS US'!A667</f>
        <v>9533</v>
      </c>
      <c r="N676" t="str">
        <f>T('TMIS US'!B667)</f>
        <v/>
      </c>
      <c r="O676" t="s">
        <v>4290</v>
      </c>
      <c r="P676" t="str">
        <f t="shared" si="87"/>
        <v/>
      </c>
      <c r="Q676" t="str">
        <f t="shared" si="89"/>
        <v/>
      </c>
      <c r="R676" s="69"/>
      <c r="S676">
        <f>'TMIS CA'!A667</f>
        <v>9866</v>
      </c>
      <c r="T676" t="str">
        <f>T('TMIS CA'!B667)</f>
        <v/>
      </c>
      <c r="U676" t="s">
        <v>4290</v>
      </c>
      <c r="V676" t="str">
        <f t="shared" si="91"/>
        <v/>
      </c>
      <c r="W676" t="str">
        <f t="shared" si="90"/>
        <v/>
      </c>
    </row>
    <row r="677" spans="1:23">
      <c r="A677">
        <f>'IPTV US'!A668</f>
        <v>10934</v>
      </c>
      <c r="B677" t="str">
        <f>T('IPTV US'!B668)</f>
        <v>CraftsyTV</v>
      </c>
      <c r="C677" t="s">
        <v>4288</v>
      </c>
      <c r="D677" t="str">
        <f t="shared" si="84"/>
        <v/>
      </c>
      <c r="E677" t="str">
        <f t="shared" si="85"/>
        <v/>
      </c>
      <c r="F677" s="68" t="s">
        <v>4289</v>
      </c>
      <c r="G677">
        <f>'IPTV CA'!A668</f>
        <v>11267</v>
      </c>
      <c r="H677" t="str">
        <f>T('IPTV CA'!B668)</f>
        <v/>
      </c>
      <c r="I677" t="s">
        <v>4290</v>
      </c>
      <c r="J677" t="str">
        <f t="shared" si="86"/>
        <v/>
      </c>
      <c r="K677" t="str">
        <f t="shared" si="88"/>
        <v/>
      </c>
      <c r="L677" s="69"/>
      <c r="M677">
        <f>'TMIS US'!A668</f>
        <v>9534</v>
      </c>
      <c r="N677" t="str">
        <f>T('TMIS US'!B668)</f>
        <v>CraftsyTV</v>
      </c>
      <c r="O677" t="s">
        <v>4288</v>
      </c>
      <c r="P677" t="str">
        <f t="shared" si="87"/>
        <v/>
      </c>
      <c r="Q677" t="str">
        <f t="shared" si="89"/>
        <v/>
      </c>
      <c r="R677" s="69"/>
      <c r="S677">
        <f>'TMIS CA'!A668</f>
        <v>9867</v>
      </c>
      <c r="T677" t="str">
        <f>T('TMIS CA'!B668)</f>
        <v/>
      </c>
      <c r="U677" t="s">
        <v>4290</v>
      </c>
      <c r="V677" t="str">
        <f t="shared" si="91"/>
        <v/>
      </c>
      <c r="W677" t="str">
        <f t="shared" si="90"/>
        <v/>
      </c>
    </row>
    <row r="678" spans="1:23">
      <c r="A678">
        <f>'IPTV US'!A669</f>
        <v>10935</v>
      </c>
      <c r="B678" t="str">
        <f>T('IPTV US'!B669)</f>
        <v>Home.Made.Nation</v>
      </c>
      <c r="C678" t="s">
        <v>4288</v>
      </c>
      <c r="D678" t="str">
        <f t="shared" si="84"/>
        <v/>
      </c>
      <c r="E678" t="str">
        <f t="shared" si="85"/>
        <v/>
      </c>
      <c r="F678" s="68" t="s">
        <v>4289</v>
      </c>
      <c r="G678">
        <f>'IPTV CA'!A669</f>
        <v>11268</v>
      </c>
      <c r="H678" t="str">
        <f>T('IPTV CA'!B669)</f>
        <v>NEW K.MOVIES</v>
      </c>
      <c r="I678" t="s">
        <v>4288</v>
      </c>
      <c r="J678" t="str">
        <f t="shared" si="86"/>
        <v/>
      </c>
      <c r="K678" t="str">
        <f t="shared" si="88"/>
        <v/>
      </c>
      <c r="L678" s="69"/>
      <c r="M678">
        <f>'TMIS US'!A669</f>
        <v>9535</v>
      </c>
      <c r="N678" t="str">
        <f>T('TMIS US'!B669)</f>
        <v>Home.Made.Nation</v>
      </c>
      <c r="O678" t="s">
        <v>4288</v>
      </c>
      <c r="P678" t="str">
        <f t="shared" si="87"/>
        <v/>
      </c>
      <c r="Q678" t="str">
        <f t="shared" si="89"/>
        <v/>
      </c>
      <c r="R678" s="69"/>
      <c r="S678">
        <f>'TMIS CA'!A669</f>
        <v>9868</v>
      </c>
      <c r="T678" t="str">
        <f>T('TMIS CA'!B669)</f>
        <v>NEW K.MOVIES</v>
      </c>
      <c r="U678" t="s">
        <v>4288</v>
      </c>
      <c r="V678" t="str">
        <f t="shared" si="91"/>
        <v/>
      </c>
      <c r="W678" t="str">
        <f t="shared" si="90"/>
        <v/>
      </c>
    </row>
    <row r="679" spans="1:23">
      <c r="A679">
        <f>'IPTV US'!A670</f>
        <v>10936</v>
      </c>
      <c r="B679" t="str">
        <f>T('IPTV US'!B670)</f>
        <v>How To</v>
      </c>
      <c r="C679" t="s">
        <v>4288</v>
      </c>
      <c r="D679" t="str">
        <f t="shared" si="84"/>
        <v/>
      </c>
      <c r="E679" t="str">
        <f t="shared" si="85"/>
        <v/>
      </c>
      <c r="F679" s="68" t="s">
        <v>4289</v>
      </c>
      <c r="G679">
        <f>'IPTV CA'!A670</f>
        <v>11269</v>
      </c>
      <c r="H679" t="str">
        <f>T('IPTV CA'!B670)</f>
        <v>AsianCrush</v>
      </c>
      <c r="I679" t="s">
        <v>4288</v>
      </c>
      <c r="J679" t="str">
        <f t="shared" si="86"/>
        <v/>
      </c>
      <c r="K679" t="str">
        <f t="shared" si="88"/>
        <v/>
      </c>
      <c r="L679" s="69"/>
      <c r="M679">
        <f>'TMIS US'!A670</f>
        <v>9536</v>
      </c>
      <c r="N679" t="str">
        <f>T('TMIS US'!B670)</f>
        <v>How To</v>
      </c>
      <c r="O679" t="s">
        <v>4288</v>
      </c>
      <c r="P679" t="str">
        <f t="shared" si="87"/>
        <v/>
      </c>
      <c r="Q679" t="str">
        <f t="shared" si="89"/>
        <v/>
      </c>
      <c r="R679" s="69"/>
      <c r="S679">
        <f>'TMIS CA'!A670</f>
        <v>9869</v>
      </c>
      <c r="T679" t="str">
        <f>T('TMIS CA'!B670)</f>
        <v>AsianCrush</v>
      </c>
      <c r="U679" t="s">
        <v>4288</v>
      </c>
      <c r="V679" t="str">
        <f t="shared" si="91"/>
        <v/>
      </c>
      <c r="W679" t="str">
        <f t="shared" si="90"/>
        <v/>
      </c>
    </row>
    <row r="680" spans="1:23">
      <c r="A680">
        <f>'IPTV US'!A671</f>
        <v>10937</v>
      </c>
      <c r="B680" t="str">
        <f>T('IPTV US'!B671)</f>
        <v>Unique Lives</v>
      </c>
      <c r="C680" t="s">
        <v>4288</v>
      </c>
      <c r="D680" t="str">
        <f t="shared" si="84"/>
        <v/>
      </c>
      <c r="E680" t="str">
        <f t="shared" si="85"/>
        <v/>
      </c>
      <c r="F680" s="68" t="s">
        <v>4289</v>
      </c>
      <c r="G680">
        <f>'IPTV CA'!A671</f>
        <v>11270</v>
      </c>
      <c r="H680" t="str">
        <f>T('IPTV CA'!B671)</f>
        <v>TVB Pearl Drama</v>
      </c>
      <c r="I680" t="s">
        <v>4288</v>
      </c>
      <c r="J680" t="str">
        <f t="shared" si="86"/>
        <v/>
      </c>
      <c r="K680" t="str">
        <f t="shared" si="88"/>
        <v/>
      </c>
      <c r="L680" s="69"/>
      <c r="M680">
        <f>'TMIS US'!A671</f>
        <v>9537</v>
      </c>
      <c r="N680" t="str">
        <f>T('TMIS US'!B671)</f>
        <v>Unique Lives</v>
      </c>
      <c r="O680" t="s">
        <v>4288</v>
      </c>
      <c r="P680" t="str">
        <f t="shared" si="87"/>
        <v/>
      </c>
      <c r="Q680" t="str">
        <f t="shared" si="89"/>
        <v/>
      </c>
      <c r="R680" s="69"/>
      <c r="S680">
        <f>'TMIS CA'!A671</f>
        <v>9870</v>
      </c>
      <c r="T680" t="str">
        <f>T('TMIS CA'!B671)</f>
        <v>TVB Pearl Drama</v>
      </c>
      <c r="U680" t="s">
        <v>4288</v>
      </c>
      <c r="V680" t="str">
        <f t="shared" si="91"/>
        <v/>
      </c>
      <c r="W680" t="str">
        <f t="shared" si="90"/>
        <v/>
      </c>
    </row>
    <row r="681" spans="1:23">
      <c r="A681">
        <f>'IPTV US'!A672</f>
        <v>10938</v>
      </c>
      <c r="B681" t="str">
        <f>T('IPTV US'!B672)</f>
        <v>4UV</v>
      </c>
      <c r="C681" t="s">
        <v>4288</v>
      </c>
      <c r="D681" t="str">
        <f t="shared" si="84"/>
        <v/>
      </c>
      <c r="E681" t="str">
        <f t="shared" si="85"/>
        <v/>
      </c>
      <c r="F681" s="68" t="s">
        <v>4289</v>
      </c>
      <c r="G681">
        <f>'IPTV CA'!A672</f>
        <v>11271</v>
      </c>
      <c r="H681" t="str">
        <f>T('IPTV CA'!B672)</f>
        <v>Wu Tang Collection</v>
      </c>
      <c r="I681" t="s">
        <v>4288</v>
      </c>
      <c r="J681" t="str">
        <f t="shared" si="86"/>
        <v/>
      </c>
      <c r="K681" t="str">
        <f t="shared" si="88"/>
        <v/>
      </c>
      <c r="L681" s="69"/>
      <c r="M681">
        <f>'TMIS US'!A672</f>
        <v>9538</v>
      </c>
      <c r="N681" t="str">
        <f>T('TMIS US'!B672)</f>
        <v>4UV</v>
      </c>
      <c r="O681" t="s">
        <v>4288</v>
      </c>
      <c r="P681" t="str">
        <f t="shared" si="87"/>
        <v/>
      </c>
      <c r="Q681" t="str">
        <f t="shared" si="89"/>
        <v/>
      </c>
      <c r="R681" s="69"/>
      <c r="S681">
        <f>'TMIS CA'!A672</f>
        <v>9871</v>
      </c>
      <c r="T681" t="str">
        <f>T('TMIS CA'!B672)</f>
        <v>Wu Tang Collection</v>
      </c>
      <c r="U681" t="s">
        <v>4288</v>
      </c>
      <c r="V681" t="str">
        <f t="shared" si="91"/>
        <v/>
      </c>
      <c r="W681" t="str">
        <f t="shared" si="90"/>
        <v/>
      </c>
    </row>
    <row r="682" spans="1:23">
      <c r="A682">
        <f>'IPTV US'!A673</f>
        <v>10939</v>
      </c>
      <c r="B682" t="str">
        <f>T('IPTV US'!B673)</f>
        <v>The Boat Show</v>
      </c>
      <c r="C682" t="s">
        <v>4288</v>
      </c>
      <c r="D682" t="str">
        <f t="shared" si="84"/>
        <v/>
      </c>
      <c r="E682" t="str">
        <f t="shared" si="85"/>
        <v/>
      </c>
      <c r="F682" s="68" t="s">
        <v>4289</v>
      </c>
      <c r="G682">
        <f>'IPTV CA'!A673</f>
        <v>11272</v>
      </c>
      <c r="H682" t="str">
        <f>T('IPTV CA'!B673)</f>
        <v>Movieitaly Channel</v>
      </c>
      <c r="I682" t="s">
        <v>4288</v>
      </c>
      <c r="J682" t="str">
        <f t="shared" si="86"/>
        <v/>
      </c>
      <c r="K682" t="str">
        <f t="shared" si="88"/>
        <v/>
      </c>
      <c r="L682" s="69"/>
      <c r="M682">
        <f>'TMIS US'!A673</f>
        <v>9539</v>
      </c>
      <c r="N682" t="str">
        <f>T('TMIS US'!B673)</f>
        <v>The Boat Show</v>
      </c>
      <c r="O682" t="s">
        <v>4288</v>
      </c>
      <c r="P682" t="str">
        <f t="shared" si="87"/>
        <v/>
      </c>
      <c r="Q682" t="str">
        <f t="shared" si="89"/>
        <v/>
      </c>
      <c r="R682" s="69"/>
      <c r="S682">
        <f>'TMIS CA'!A673</f>
        <v>9872</v>
      </c>
      <c r="T682" t="str">
        <f>T('TMIS CA'!B673)</f>
        <v>Movieitaly Channel</v>
      </c>
      <c r="U682" t="s">
        <v>4288</v>
      </c>
      <c r="V682" t="str">
        <f t="shared" si="91"/>
        <v/>
      </c>
      <c r="W682" t="str">
        <f t="shared" si="90"/>
        <v/>
      </c>
    </row>
    <row r="683" spans="1:23">
      <c r="A683">
        <f>'IPTV US'!A674</f>
        <v>10940</v>
      </c>
      <c r="B683" t="str">
        <f>T('IPTV US'!B674)</f>
        <v/>
      </c>
      <c r="C683" t="s">
        <v>4290</v>
      </c>
      <c r="D683" t="str">
        <f t="shared" si="84"/>
        <v/>
      </c>
      <c r="E683" t="str">
        <f t="shared" si="85"/>
        <v/>
      </c>
      <c r="F683" s="68" t="s">
        <v>4289</v>
      </c>
      <c r="G683">
        <f>'IPTV CA'!A674</f>
        <v>11273</v>
      </c>
      <c r="H683" t="str">
        <f>T('IPTV CA'!B674)</f>
        <v>AfroLandTV</v>
      </c>
      <c r="I683" t="s">
        <v>4288</v>
      </c>
      <c r="J683" t="str">
        <f t="shared" si="86"/>
        <v/>
      </c>
      <c r="K683" t="str">
        <f t="shared" si="88"/>
        <v/>
      </c>
      <c r="L683" s="69"/>
      <c r="M683">
        <f>'TMIS US'!A674</f>
        <v>9540</v>
      </c>
      <c r="N683" t="str">
        <f>T('TMIS US'!B674)</f>
        <v/>
      </c>
      <c r="O683" t="s">
        <v>4290</v>
      </c>
      <c r="P683" t="str">
        <f t="shared" si="87"/>
        <v/>
      </c>
      <c r="Q683" t="str">
        <f t="shared" si="89"/>
        <v/>
      </c>
      <c r="R683" s="69"/>
      <c r="S683">
        <f>'TMIS CA'!A674</f>
        <v>9873</v>
      </c>
      <c r="T683" t="str">
        <f>T('TMIS CA'!B674)</f>
        <v>AfroLandTV</v>
      </c>
      <c r="U683" t="s">
        <v>4288</v>
      </c>
      <c r="V683" t="str">
        <f t="shared" si="91"/>
        <v/>
      </c>
      <c r="W683" t="str">
        <f t="shared" si="90"/>
        <v/>
      </c>
    </row>
    <row r="684" spans="1:23">
      <c r="A684">
        <f>'IPTV US'!A675</f>
        <v>10941</v>
      </c>
      <c r="B684" t="str">
        <f>T('IPTV US'!B675)</f>
        <v/>
      </c>
      <c r="C684" t="s">
        <v>4290</v>
      </c>
      <c r="D684" t="str">
        <f t="shared" si="84"/>
        <v/>
      </c>
      <c r="E684" t="str">
        <f t="shared" si="85"/>
        <v/>
      </c>
      <c r="F684" s="68" t="s">
        <v>4289</v>
      </c>
      <c r="G684">
        <f>'IPTV CA'!A675</f>
        <v>11274</v>
      </c>
      <c r="H684" t="str">
        <f>T('IPTV CA'!B675)</f>
        <v>Nolly Africa HD</v>
      </c>
      <c r="I684" t="s">
        <v>4288</v>
      </c>
      <c r="J684" t="str">
        <f t="shared" si="86"/>
        <v/>
      </c>
      <c r="K684" t="str">
        <f t="shared" si="88"/>
        <v/>
      </c>
      <c r="L684" s="69"/>
      <c r="M684">
        <f>'TMIS US'!A675</f>
        <v>9541</v>
      </c>
      <c r="N684" t="str">
        <f>T('TMIS US'!B675)</f>
        <v/>
      </c>
      <c r="O684" t="s">
        <v>4290</v>
      </c>
      <c r="P684" t="str">
        <f t="shared" si="87"/>
        <v/>
      </c>
      <c r="Q684" t="str">
        <f t="shared" si="89"/>
        <v/>
      </c>
      <c r="R684" s="69"/>
      <c r="S684">
        <f>'TMIS CA'!A675</f>
        <v>9874</v>
      </c>
      <c r="T684" t="str">
        <f>T('TMIS CA'!B675)</f>
        <v>Nolly Africa HD</v>
      </c>
      <c r="U684" t="s">
        <v>4288</v>
      </c>
      <c r="V684" t="str">
        <f t="shared" si="91"/>
        <v/>
      </c>
      <c r="W684" t="str">
        <f t="shared" si="90"/>
        <v/>
      </c>
    </row>
    <row r="685" spans="1:23">
      <c r="A685">
        <f>'IPTV US'!A676</f>
        <v>10942</v>
      </c>
      <c r="B685" t="str">
        <f>T('IPTV US'!B676)</f>
        <v>BBC Travel</v>
      </c>
      <c r="C685" t="s">
        <v>4288</v>
      </c>
      <c r="D685" t="str">
        <f t="shared" si="84"/>
        <v/>
      </c>
      <c r="E685" t="str">
        <f t="shared" si="85"/>
        <v/>
      </c>
      <c r="F685" s="68" t="s">
        <v>4289</v>
      </c>
      <c r="G685">
        <f>'IPTV CA'!A676</f>
        <v>11275</v>
      </c>
      <c r="H685" t="str">
        <f>T('IPTV CA'!B676)</f>
        <v>Unity in Black by kweliTV</v>
      </c>
      <c r="I685" t="s">
        <v>4288</v>
      </c>
      <c r="J685" t="str">
        <f t="shared" si="86"/>
        <v/>
      </c>
      <c r="K685" t="str">
        <f t="shared" si="88"/>
        <v/>
      </c>
      <c r="L685" s="69"/>
      <c r="M685">
        <f>'TMIS US'!A676</f>
        <v>9542</v>
      </c>
      <c r="N685" t="str">
        <f>T('TMIS US'!B676)</f>
        <v>BBC Travel</v>
      </c>
      <c r="O685" t="s">
        <v>4288</v>
      </c>
      <c r="P685" t="str">
        <f t="shared" si="87"/>
        <v/>
      </c>
      <c r="Q685" t="str">
        <f t="shared" si="89"/>
        <v/>
      </c>
      <c r="R685" s="69"/>
      <c r="S685">
        <f>'TMIS CA'!A676</f>
        <v>9875</v>
      </c>
      <c r="T685" t="str">
        <f>T('TMIS CA'!B676)</f>
        <v>Unity in Black by kweliTV</v>
      </c>
      <c r="U685" t="s">
        <v>4288</v>
      </c>
      <c r="V685" t="str">
        <f t="shared" si="91"/>
        <v/>
      </c>
      <c r="W685" t="str">
        <f t="shared" si="90"/>
        <v/>
      </c>
    </row>
    <row r="686" spans="1:23">
      <c r="A686">
        <f>'IPTV US'!A677</f>
        <v>10943</v>
      </c>
      <c r="B686" t="str">
        <f>T('IPTV US'!B677)</f>
        <v>GoUSA TV</v>
      </c>
      <c r="C686" t="s">
        <v>4288</v>
      </c>
      <c r="D686" t="str">
        <f t="shared" si="84"/>
        <v/>
      </c>
      <c r="E686" t="str">
        <f t="shared" si="85"/>
        <v/>
      </c>
      <c r="F686" s="68" t="s">
        <v>4289</v>
      </c>
      <c r="G686">
        <f>'IPTV CA'!A677</f>
        <v>11276</v>
      </c>
      <c r="H686" t="str">
        <f>T('IPTV CA'!B677)</f>
        <v>MHz Now</v>
      </c>
      <c r="I686" t="s">
        <v>4288</v>
      </c>
      <c r="J686" t="str">
        <f t="shared" si="86"/>
        <v/>
      </c>
      <c r="K686" t="str">
        <f t="shared" si="88"/>
        <v/>
      </c>
      <c r="L686" s="69"/>
      <c r="M686">
        <f>'TMIS US'!A677</f>
        <v>9543</v>
      </c>
      <c r="N686" t="str">
        <f>T('TMIS US'!B677)</f>
        <v>GoUSA TV</v>
      </c>
      <c r="O686" t="s">
        <v>4288</v>
      </c>
      <c r="P686" t="str">
        <f t="shared" si="87"/>
        <v/>
      </c>
      <c r="Q686" t="str">
        <f t="shared" si="89"/>
        <v/>
      </c>
      <c r="R686" s="69"/>
      <c r="S686">
        <f>'TMIS CA'!A677</f>
        <v>9876</v>
      </c>
      <c r="T686" t="str">
        <f>T('TMIS CA'!B677)</f>
        <v>MHz Now</v>
      </c>
      <c r="U686" t="s">
        <v>4288</v>
      </c>
      <c r="V686" t="str">
        <f t="shared" si="91"/>
        <v/>
      </c>
      <c r="W686" t="str">
        <f t="shared" si="90"/>
        <v/>
      </c>
    </row>
    <row r="687" spans="1:23">
      <c r="A687">
        <f>'IPTV US'!A678</f>
        <v>10944</v>
      </c>
      <c r="B687" t="str">
        <f>T('IPTV US'!B678)</f>
        <v>GoTraveler</v>
      </c>
      <c r="C687" t="s">
        <v>4288</v>
      </c>
      <c r="D687" t="str">
        <f t="shared" si="84"/>
        <v/>
      </c>
      <c r="E687" t="str">
        <f t="shared" si="85"/>
        <v/>
      </c>
      <c r="F687" s="68" t="s">
        <v>4289</v>
      </c>
      <c r="G687">
        <f>'IPTV CA'!A678</f>
        <v>11277</v>
      </c>
      <c r="H687" t="str">
        <f>T('IPTV CA'!B678)</f>
        <v>Euronews Deutsch</v>
      </c>
      <c r="I687" t="s">
        <v>4288</v>
      </c>
      <c r="J687" t="str">
        <f t="shared" si="86"/>
        <v/>
      </c>
      <c r="K687" t="str">
        <f t="shared" si="88"/>
        <v/>
      </c>
      <c r="L687" s="69"/>
      <c r="M687">
        <f>'TMIS US'!A678</f>
        <v>9544</v>
      </c>
      <c r="N687" t="str">
        <f>T('TMIS US'!B678)</f>
        <v>GoTraveler</v>
      </c>
      <c r="O687" t="s">
        <v>4288</v>
      </c>
      <c r="P687" t="str">
        <f t="shared" si="87"/>
        <v/>
      </c>
      <c r="Q687" t="str">
        <f t="shared" si="89"/>
        <v/>
      </c>
      <c r="R687" s="69"/>
      <c r="S687">
        <f>'TMIS CA'!A678</f>
        <v>9877</v>
      </c>
      <c r="T687" t="str">
        <f>T('TMIS CA'!B678)</f>
        <v>Euronews Deutsch</v>
      </c>
      <c r="U687" t="s">
        <v>4288</v>
      </c>
      <c r="V687" t="str">
        <f t="shared" si="91"/>
        <v/>
      </c>
      <c r="W687" t="str">
        <f t="shared" si="90"/>
        <v/>
      </c>
    </row>
    <row r="688" spans="1:23">
      <c r="A688">
        <f>'IPTV US'!A679</f>
        <v>10945</v>
      </c>
      <c r="B688" t="str">
        <f>T('IPTV US'!B679)</f>
        <v/>
      </c>
      <c r="C688" t="s">
        <v>4290</v>
      </c>
      <c r="D688" t="str">
        <f t="shared" si="84"/>
        <v/>
      </c>
      <c r="E688" t="str">
        <f t="shared" si="85"/>
        <v/>
      </c>
      <c r="F688" s="68" t="s">
        <v>4289</v>
      </c>
      <c r="G688">
        <f>'IPTV CA'!A679</f>
        <v>11278</v>
      </c>
      <c r="H688" t="str">
        <f>T('IPTV CA'!B679)</f>
        <v>Euronews Italiano</v>
      </c>
      <c r="I688" t="s">
        <v>4288</v>
      </c>
      <c r="J688" t="str">
        <f t="shared" si="86"/>
        <v/>
      </c>
      <c r="K688" t="str">
        <f t="shared" si="88"/>
        <v/>
      </c>
      <c r="L688" s="69"/>
      <c r="M688">
        <f>'TMIS US'!A679</f>
        <v>9545</v>
      </c>
      <c r="N688" t="str">
        <f>T('TMIS US'!B679)</f>
        <v/>
      </c>
      <c r="O688" t="s">
        <v>4290</v>
      </c>
      <c r="P688" t="str">
        <f t="shared" si="87"/>
        <v/>
      </c>
      <c r="Q688" t="str">
        <f t="shared" si="89"/>
        <v/>
      </c>
      <c r="R688" s="69"/>
      <c r="S688">
        <f>'TMIS CA'!A679</f>
        <v>9878</v>
      </c>
      <c r="T688" t="str">
        <f>T('TMIS CA'!B679)</f>
        <v>Euronews Italiano</v>
      </c>
      <c r="U688" t="s">
        <v>4288</v>
      </c>
      <c r="V688" t="str">
        <f t="shared" si="91"/>
        <v/>
      </c>
      <c r="W688" t="str">
        <f t="shared" si="90"/>
        <v/>
      </c>
    </row>
    <row r="689" spans="1:23">
      <c r="A689">
        <f>'IPTV US'!A680</f>
        <v>10946</v>
      </c>
      <c r="B689" t="str">
        <f>T('IPTV US'!B680)</f>
        <v/>
      </c>
      <c r="C689" t="s">
        <v>4290</v>
      </c>
      <c r="D689" t="str">
        <f t="shared" si="84"/>
        <v/>
      </c>
      <c r="E689" t="str">
        <f t="shared" si="85"/>
        <v/>
      </c>
      <c r="F689" s="68" t="s">
        <v>4289</v>
      </c>
      <c r="G689">
        <f>'IPTV CA'!A680</f>
        <v>11279</v>
      </c>
      <c r="H689" t="str">
        <f>T('IPTV CA'!B680)</f>
        <v>Euronews Portuguese</v>
      </c>
      <c r="I689" t="s">
        <v>4288</v>
      </c>
      <c r="J689" t="str">
        <f t="shared" si="86"/>
        <v/>
      </c>
      <c r="K689" t="str">
        <f t="shared" si="88"/>
        <v/>
      </c>
      <c r="L689" s="69"/>
      <c r="M689">
        <f>'TMIS US'!A680</f>
        <v>9546</v>
      </c>
      <c r="N689" t="str">
        <f>T('TMIS US'!B680)</f>
        <v/>
      </c>
      <c r="O689" t="s">
        <v>4290</v>
      </c>
      <c r="P689" t="str">
        <f t="shared" si="87"/>
        <v/>
      </c>
      <c r="Q689" t="str">
        <f t="shared" si="89"/>
        <v/>
      </c>
      <c r="R689" s="69"/>
      <c r="S689">
        <f>'TMIS CA'!A680</f>
        <v>9879</v>
      </c>
      <c r="T689" t="str">
        <f>T('TMIS CA'!B680)</f>
        <v>Euronews Portuguese</v>
      </c>
      <c r="U689" t="s">
        <v>4288</v>
      </c>
      <c r="V689" t="str">
        <f t="shared" si="91"/>
        <v/>
      </c>
      <c r="W689" t="str">
        <f t="shared" si="90"/>
        <v/>
      </c>
    </row>
    <row r="690" spans="1:23">
      <c r="A690">
        <f>'IPTV US'!A681</f>
        <v>10947</v>
      </c>
      <c r="B690" t="str">
        <f>T('IPTV US'!B681)</f>
        <v>Places &amp; Spaces</v>
      </c>
      <c r="C690" t="s">
        <v>4288</v>
      </c>
      <c r="D690" t="str">
        <f t="shared" si="84"/>
        <v/>
      </c>
      <c r="E690" t="str">
        <f t="shared" si="85"/>
        <v/>
      </c>
      <c r="F690" s="68" t="s">
        <v>4289</v>
      </c>
      <c r="G690">
        <f>'IPTV CA'!A681</f>
        <v>11280</v>
      </c>
      <c r="H690" t="str">
        <f>T('IPTV CA'!B681)</f>
        <v/>
      </c>
      <c r="I690" t="s">
        <v>4290</v>
      </c>
      <c r="J690" t="str">
        <f t="shared" si="86"/>
        <v/>
      </c>
      <c r="K690" t="str">
        <f t="shared" si="88"/>
        <v/>
      </c>
      <c r="L690" s="69"/>
      <c r="M690">
        <f>'TMIS US'!A681</f>
        <v>9547</v>
      </c>
      <c r="N690" t="str">
        <f>T('TMIS US'!B681)</f>
        <v>Places &amp; Spaces</v>
      </c>
      <c r="O690" t="s">
        <v>4288</v>
      </c>
      <c r="P690" t="str">
        <f t="shared" si="87"/>
        <v/>
      </c>
      <c r="Q690" t="str">
        <f t="shared" si="89"/>
        <v/>
      </c>
      <c r="R690" s="69"/>
      <c r="S690">
        <f>'TMIS CA'!A681</f>
        <v>9880</v>
      </c>
      <c r="T690" t="str">
        <f>T('TMIS CA'!B681)</f>
        <v/>
      </c>
      <c r="U690" t="s">
        <v>4290</v>
      </c>
      <c r="V690" t="str">
        <f t="shared" si="91"/>
        <v/>
      </c>
      <c r="W690" t="str">
        <f t="shared" si="90"/>
        <v/>
      </c>
    </row>
    <row r="691" spans="1:23">
      <c r="A691">
        <f>'IPTV US'!A682</f>
        <v>10948</v>
      </c>
      <c r="B691" t="str">
        <f>T('IPTV US'!B682)</f>
        <v>Sweet Escapes</v>
      </c>
      <c r="C691" t="s">
        <v>4288</v>
      </c>
      <c r="D691" t="str">
        <f t="shared" si="84"/>
        <v/>
      </c>
      <c r="E691" t="str">
        <f t="shared" si="85"/>
        <v/>
      </c>
      <c r="F691" s="68" t="s">
        <v>4289</v>
      </c>
      <c r="G691">
        <f>'IPTV CA'!A682</f>
        <v>11281</v>
      </c>
      <c r="H691" t="str">
        <f>T('IPTV CA'!B682)</f>
        <v/>
      </c>
      <c r="I691" t="s">
        <v>4290</v>
      </c>
      <c r="J691" t="str">
        <f t="shared" si="86"/>
        <v/>
      </c>
      <c r="K691" t="str">
        <f t="shared" si="88"/>
        <v/>
      </c>
      <c r="L691" s="69"/>
      <c r="M691">
        <f>'TMIS US'!A682</f>
        <v>9548</v>
      </c>
      <c r="N691" t="str">
        <f>T('TMIS US'!B682)</f>
        <v>Sweet Escapes</v>
      </c>
      <c r="O691" t="s">
        <v>4288</v>
      </c>
      <c r="P691" t="str">
        <f t="shared" si="87"/>
        <v/>
      </c>
      <c r="Q691" t="str">
        <f t="shared" si="89"/>
        <v/>
      </c>
      <c r="R691" s="69"/>
      <c r="S691">
        <f>'TMIS CA'!A682</f>
        <v>9881</v>
      </c>
      <c r="T691" t="str">
        <f>T('TMIS CA'!B682)</f>
        <v/>
      </c>
      <c r="U691" t="s">
        <v>4290</v>
      </c>
      <c r="V691" t="str">
        <f t="shared" si="91"/>
        <v/>
      </c>
      <c r="W691" t="str">
        <f t="shared" si="90"/>
        <v/>
      </c>
    </row>
    <row r="692" spans="1:23">
      <c r="A692">
        <f>'IPTV US'!A683</f>
        <v>10949</v>
      </c>
      <c r="B692" t="str">
        <f>T('IPTV US'!B683)</f>
        <v/>
      </c>
      <c r="C692" t="s">
        <v>4290</v>
      </c>
      <c r="D692" t="str">
        <f t="shared" si="84"/>
        <v/>
      </c>
      <c r="E692" t="str">
        <f t="shared" si="85"/>
        <v/>
      </c>
      <c r="F692" s="68" t="s">
        <v>4289</v>
      </c>
      <c r="G692">
        <f>'IPTV CA'!A683</f>
        <v>11282</v>
      </c>
      <c r="H692" t="str">
        <f>T('IPTV CA'!B683)</f>
        <v/>
      </c>
      <c r="I692" t="s">
        <v>4290</v>
      </c>
      <c r="J692" t="str">
        <f t="shared" si="86"/>
        <v/>
      </c>
      <c r="K692" t="str">
        <f t="shared" si="88"/>
        <v/>
      </c>
      <c r="L692" s="69"/>
      <c r="M692">
        <f>'TMIS US'!A683</f>
        <v>9549</v>
      </c>
      <c r="N692" t="str">
        <f>T('TMIS US'!B683)</f>
        <v/>
      </c>
      <c r="O692" t="s">
        <v>4290</v>
      </c>
      <c r="P692" t="str">
        <f t="shared" si="87"/>
        <v/>
      </c>
      <c r="Q692" t="str">
        <f t="shared" si="89"/>
        <v/>
      </c>
      <c r="R692" s="69"/>
      <c r="S692">
        <f>'TMIS CA'!A683</f>
        <v>9882</v>
      </c>
      <c r="T692" t="str">
        <f>T('TMIS CA'!B683)</f>
        <v/>
      </c>
      <c r="U692" t="s">
        <v>4290</v>
      </c>
      <c r="V692" t="str">
        <f t="shared" si="91"/>
        <v/>
      </c>
      <c r="W692" t="str">
        <f t="shared" si="90"/>
        <v/>
      </c>
    </row>
    <row r="693" spans="1:23">
      <c r="A693">
        <f>'IPTV US'!A684</f>
        <v>10950</v>
      </c>
      <c r="B693" t="str">
        <f>T('IPTV US'!B684)</f>
        <v/>
      </c>
      <c r="C693" t="s">
        <v>4290</v>
      </c>
      <c r="D693" t="str">
        <f t="shared" si="84"/>
        <v/>
      </c>
      <c r="E693" t="str">
        <f t="shared" si="85"/>
        <v/>
      </c>
      <c r="F693" s="68" t="s">
        <v>4289</v>
      </c>
      <c r="G693">
        <f>'IPTV CA'!A684</f>
        <v>11283</v>
      </c>
      <c r="H693" t="str">
        <f>T('IPTV CA'!B684)</f>
        <v/>
      </c>
      <c r="I693" t="s">
        <v>4290</v>
      </c>
      <c r="J693" t="str">
        <f t="shared" si="86"/>
        <v/>
      </c>
      <c r="K693" t="str">
        <f t="shared" si="88"/>
        <v/>
      </c>
      <c r="L693" s="69"/>
      <c r="M693">
        <f>'TMIS US'!A684</f>
        <v>9550</v>
      </c>
      <c r="N693" t="str">
        <f>T('TMIS US'!B684)</f>
        <v/>
      </c>
      <c r="O693" t="s">
        <v>4290</v>
      </c>
      <c r="P693" t="str">
        <f t="shared" si="87"/>
        <v/>
      </c>
      <c r="Q693" t="str">
        <f t="shared" si="89"/>
        <v/>
      </c>
      <c r="R693" s="69"/>
      <c r="S693">
        <f>'TMIS CA'!A684</f>
        <v>9883</v>
      </c>
      <c r="T693" t="str">
        <f>T('TMIS CA'!B684)</f>
        <v/>
      </c>
      <c r="U693" t="s">
        <v>4290</v>
      </c>
      <c r="V693" t="str">
        <f t="shared" si="91"/>
        <v/>
      </c>
      <c r="W693" t="str">
        <f t="shared" si="90"/>
        <v/>
      </c>
    </row>
    <row r="694" spans="1:23">
      <c r="A694">
        <f>'IPTV US'!A685</f>
        <v>10951</v>
      </c>
      <c r="B694" t="str">
        <f>T('IPTV US'!B685)</f>
        <v>BBC Earth</v>
      </c>
      <c r="C694" t="s">
        <v>4288</v>
      </c>
      <c r="D694" t="str">
        <f t="shared" si="84"/>
        <v/>
      </c>
      <c r="E694" t="str">
        <f t="shared" si="85"/>
        <v/>
      </c>
      <c r="F694" s="68" t="s">
        <v>4289</v>
      </c>
      <c r="G694">
        <f>'IPTV CA'!A685</f>
        <v>11284</v>
      </c>
      <c r="H694" t="str">
        <f>T('IPTV CA'!B685)</f>
        <v>AXS TV Now</v>
      </c>
      <c r="I694" t="s">
        <v>4288</v>
      </c>
      <c r="J694" t="str">
        <f t="shared" si="86"/>
        <v/>
      </c>
      <c r="K694" t="str">
        <f t="shared" si="88"/>
        <v/>
      </c>
      <c r="L694" s="69"/>
      <c r="M694">
        <f>'TMIS US'!A685</f>
        <v>9551</v>
      </c>
      <c r="N694" t="str">
        <f>T('TMIS US'!B685)</f>
        <v>BBC Earth</v>
      </c>
      <c r="O694" t="s">
        <v>4288</v>
      </c>
      <c r="P694" t="str">
        <f t="shared" si="87"/>
        <v/>
      </c>
      <c r="Q694" t="str">
        <f t="shared" si="89"/>
        <v/>
      </c>
      <c r="R694" s="69"/>
      <c r="S694">
        <f>'TMIS CA'!A685</f>
        <v>9884</v>
      </c>
      <c r="T694" t="str">
        <f>T('TMIS CA'!B685)</f>
        <v>AXS TV Now</v>
      </c>
      <c r="U694" t="s">
        <v>4288</v>
      </c>
      <c r="V694" t="str">
        <f t="shared" si="91"/>
        <v/>
      </c>
      <c r="W694" t="str">
        <f t="shared" si="90"/>
        <v/>
      </c>
    </row>
    <row r="695" spans="1:23">
      <c r="A695">
        <f>'IPTV US'!A686</f>
        <v>10952</v>
      </c>
      <c r="B695" t="str">
        <f>T('IPTV US'!B686)</f>
        <v>Real Wild</v>
      </c>
      <c r="C695" t="s">
        <v>4288</v>
      </c>
      <c r="D695" t="str">
        <f t="shared" si="84"/>
        <v/>
      </c>
      <c r="E695" t="str">
        <f t="shared" si="85"/>
        <v/>
      </c>
      <c r="F695" s="68" t="s">
        <v>4289</v>
      </c>
      <c r="G695">
        <f>'IPTV CA'!A686</f>
        <v>11285</v>
      </c>
      <c r="H695" t="str">
        <f>T('IPTV CA'!B686)</f>
        <v/>
      </c>
      <c r="I695" t="s">
        <v>4290</v>
      </c>
      <c r="J695" t="str">
        <f t="shared" si="86"/>
        <v/>
      </c>
      <c r="K695" t="str">
        <f t="shared" si="88"/>
        <v/>
      </c>
      <c r="L695" s="69"/>
      <c r="M695">
        <f>'TMIS US'!A686</f>
        <v>9552</v>
      </c>
      <c r="N695" t="str">
        <f>T('TMIS US'!B686)</f>
        <v>Real Wild</v>
      </c>
      <c r="O695" t="s">
        <v>4288</v>
      </c>
      <c r="P695" t="str">
        <f t="shared" si="87"/>
        <v/>
      </c>
      <c r="Q695" t="str">
        <f t="shared" si="89"/>
        <v/>
      </c>
      <c r="R695" s="69"/>
      <c r="S695">
        <f>'TMIS CA'!A686</f>
        <v>9885</v>
      </c>
      <c r="T695" t="str">
        <f>T('TMIS CA'!B686)</f>
        <v/>
      </c>
      <c r="U695" t="s">
        <v>4290</v>
      </c>
      <c r="V695" t="str">
        <f t="shared" si="91"/>
        <v/>
      </c>
      <c r="W695" t="str">
        <f t="shared" si="90"/>
        <v/>
      </c>
    </row>
    <row r="696" spans="1:23">
      <c r="A696">
        <f>'IPTV US'!A687</f>
        <v>10953</v>
      </c>
      <c r="B696" t="str">
        <f>T('IPTV US'!B687)</f>
        <v>WildEarth</v>
      </c>
      <c r="C696" t="s">
        <v>4288</v>
      </c>
      <c r="D696" t="str">
        <f t="shared" si="84"/>
        <v/>
      </c>
      <c r="E696" t="str">
        <f t="shared" si="85"/>
        <v/>
      </c>
      <c r="F696" s="68" t="s">
        <v>4289</v>
      </c>
      <c r="G696">
        <f>'IPTV CA'!A687</f>
        <v>11286</v>
      </c>
      <c r="H696" t="str">
        <f>T('IPTV CA'!B687)</f>
        <v/>
      </c>
      <c r="I696" t="s">
        <v>4290</v>
      </c>
      <c r="J696" t="str">
        <f t="shared" si="86"/>
        <v/>
      </c>
      <c r="K696" t="str">
        <f t="shared" si="88"/>
        <v/>
      </c>
      <c r="L696" s="69"/>
      <c r="M696">
        <f>'TMIS US'!A687</f>
        <v>9553</v>
      </c>
      <c r="N696" t="str">
        <f>T('TMIS US'!B687)</f>
        <v>WildEarth</v>
      </c>
      <c r="O696" t="s">
        <v>4288</v>
      </c>
      <c r="P696" t="str">
        <f t="shared" si="87"/>
        <v/>
      </c>
      <c r="Q696" t="str">
        <f t="shared" si="89"/>
        <v/>
      </c>
      <c r="R696" s="69"/>
      <c r="S696">
        <f>'TMIS CA'!A687</f>
        <v>9886</v>
      </c>
      <c r="T696" t="str">
        <f>T('TMIS CA'!B687)</f>
        <v/>
      </c>
      <c r="U696" t="s">
        <v>4290</v>
      </c>
      <c r="V696" t="str">
        <f t="shared" si="91"/>
        <v/>
      </c>
      <c r="W696" t="str">
        <f t="shared" si="90"/>
        <v/>
      </c>
    </row>
    <row r="697" spans="1:23">
      <c r="A697">
        <f>'IPTV US'!A688</f>
        <v>10954</v>
      </c>
      <c r="B697" t="str">
        <f>T('IPTV US'!B688)</f>
        <v>EarthXtra</v>
      </c>
      <c r="C697" t="s">
        <v>4288</v>
      </c>
      <c r="D697" t="str">
        <f t="shared" si="84"/>
        <v/>
      </c>
      <c r="E697" t="str">
        <f t="shared" si="85"/>
        <v/>
      </c>
      <c r="F697" s="68" t="s">
        <v>4289</v>
      </c>
      <c r="G697">
        <f>'IPTV CA'!A688</f>
        <v>11287</v>
      </c>
      <c r="H697" t="str">
        <f>T('IPTV CA'!B688)</f>
        <v/>
      </c>
      <c r="I697" t="s">
        <v>4290</v>
      </c>
      <c r="J697" t="str">
        <f t="shared" si="86"/>
        <v/>
      </c>
      <c r="K697" t="str">
        <f t="shared" si="88"/>
        <v/>
      </c>
      <c r="L697" s="69"/>
      <c r="M697">
        <f>'TMIS US'!A688</f>
        <v>9554</v>
      </c>
      <c r="N697" t="str">
        <f>T('TMIS US'!B688)</f>
        <v>EarthXtra</v>
      </c>
      <c r="O697" t="s">
        <v>4288</v>
      </c>
      <c r="P697" t="str">
        <f t="shared" si="87"/>
        <v/>
      </c>
      <c r="Q697" t="str">
        <f t="shared" si="89"/>
        <v/>
      </c>
      <c r="R697" s="69"/>
      <c r="S697">
        <f>'TMIS CA'!A688</f>
        <v>9887</v>
      </c>
      <c r="T697" t="str">
        <f>T('TMIS CA'!B688)</f>
        <v/>
      </c>
      <c r="U697" t="s">
        <v>4290</v>
      </c>
      <c r="V697" t="str">
        <f t="shared" si="91"/>
        <v/>
      </c>
      <c r="W697" t="str">
        <f t="shared" si="90"/>
        <v/>
      </c>
    </row>
    <row r="698" spans="1:23">
      <c r="A698">
        <f>'IPTV US'!A689</f>
        <v>10955</v>
      </c>
      <c r="B698" t="str">
        <f>T('IPTV US'!B689)</f>
        <v>MagellanTV NOW</v>
      </c>
      <c r="C698" t="s">
        <v>4288</v>
      </c>
      <c r="D698" t="str">
        <f t="shared" si="84"/>
        <v/>
      </c>
      <c r="E698" t="str">
        <f t="shared" si="85"/>
        <v/>
      </c>
      <c r="F698" s="68" t="s">
        <v>4289</v>
      </c>
      <c r="G698">
        <f>'IPTV CA'!A689</f>
        <v>11288</v>
      </c>
      <c r="H698" t="str">
        <f>T('IPTV CA'!B689)</f>
        <v/>
      </c>
      <c r="I698" t="s">
        <v>4290</v>
      </c>
      <c r="J698" t="str">
        <f t="shared" si="86"/>
        <v/>
      </c>
      <c r="K698" t="str">
        <f t="shared" si="88"/>
        <v/>
      </c>
      <c r="L698" s="69"/>
      <c r="M698">
        <f>'TMIS US'!A689</f>
        <v>9555</v>
      </c>
      <c r="N698" t="str">
        <f>T('TMIS US'!B689)</f>
        <v>MagellanTV NOW</v>
      </c>
      <c r="O698" t="s">
        <v>4288</v>
      </c>
      <c r="P698" t="str">
        <f t="shared" si="87"/>
        <v/>
      </c>
      <c r="Q698" t="str">
        <f t="shared" si="89"/>
        <v/>
      </c>
      <c r="R698" s="69"/>
      <c r="S698">
        <f>'TMIS CA'!A689</f>
        <v>9888</v>
      </c>
      <c r="T698" t="str">
        <f>T('TMIS CA'!B689)</f>
        <v/>
      </c>
      <c r="U698" t="s">
        <v>4290</v>
      </c>
      <c r="V698" t="str">
        <f t="shared" si="91"/>
        <v/>
      </c>
      <c r="W698" t="str">
        <f t="shared" si="90"/>
        <v/>
      </c>
    </row>
    <row r="699" spans="1:23">
      <c r="A699">
        <f>'IPTV US'!A690</f>
        <v>10956</v>
      </c>
      <c r="B699" t="str">
        <f>T('IPTV US'!B690)</f>
        <v>Mysterious Worlds</v>
      </c>
      <c r="C699" t="s">
        <v>4288</v>
      </c>
      <c r="D699" t="str">
        <f t="shared" si="84"/>
        <v/>
      </c>
      <c r="E699" t="str">
        <f t="shared" si="85"/>
        <v/>
      </c>
      <c r="F699" s="68" t="s">
        <v>4289</v>
      </c>
      <c r="G699">
        <f>'IPTV CA'!A690</f>
        <v>11289</v>
      </c>
      <c r="H699" t="str">
        <f>T('IPTV CA'!B690)</f>
        <v>Music Legends</v>
      </c>
      <c r="I699" t="s">
        <v>4288</v>
      </c>
      <c r="J699" t="str">
        <f t="shared" si="86"/>
        <v/>
      </c>
      <c r="K699" t="str">
        <f t="shared" si="88"/>
        <v/>
      </c>
      <c r="L699" s="69"/>
      <c r="M699">
        <f>'TMIS US'!A690</f>
        <v>9556</v>
      </c>
      <c r="N699" t="str">
        <f>T('TMIS US'!B690)</f>
        <v>Mysterious Worlds</v>
      </c>
      <c r="O699" t="s">
        <v>4288</v>
      </c>
      <c r="P699" t="str">
        <f t="shared" si="87"/>
        <v/>
      </c>
      <c r="Q699" t="str">
        <f t="shared" si="89"/>
        <v/>
      </c>
      <c r="R699" s="69"/>
      <c r="S699">
        <f>'TMIS CA'!A690</f>
        <v>9889</v>
      </c>
      <c r="T699" t="str">
        <f>T('TMIS CA'!B690)</f>
        <v>Music Legends</v>
      </c>
      <c r="U699" t="s">
        <v>4288</v>
      </c>
      <c r="V699" t="str">
        <f t="shared" si="91"/>
        <v/>
      </c>
      <c r="W699" t="str">
        <f t="shared" si="90"/>
        <v/>
      </c>
    </row>
    <row r="700" spans="1:23">
      <c r="A700">
        <f>'IPTV US'!A691</f>
        <v>10957</v>
      </c>
      <c r="B700" t="str">
        <f>T('IPTV US'!B691)</f>
        <v/>
      </c>
      <c r="C700" t="s">
        <v>4290</v>
      </c>
      <c r="D700" t="str">
        <f t="shared" si="84"/>
        <v/>
      </c>
      <c r="E700" t="str">
        <f t="shared" si="85"/>
        <v/>
      </c>
      <c r="F700" s="68" t="s">
        <v>4289</v>
      </c>
      <c r="G700">
        <f>'IPTV CA'!A691</f>
        <v>11290</v>
      </c>
      <c r="H700" t="str">
        <f>T('IPTV CA'!B691)</f>
        <v>Qwest TV</v>
      </c>
      <c r="I700" t="s">
        <v>4288</v>
      </c>
      <c r="J700" t="str">
        <f t="shared" si="86"/>
        <v/>
      </c>
      <c r="K700" t="str">
        <f t="shared" si="88"/>
        <v/>
      </c>
      <c r="L700" s="69"/>
      <c r="M700">
        <f>'TMIS US'!A691</f>
        <v>9557</v>
      </c>
      <c r="N700" t="str">
        <f>T('TMIS US'!B691)</f>
        <v/>
      </c>
      <c r="O700" t="s">
        <v>4290</v>
      </c>
      <c r="P700" t="str">
        <f t="shared" si="87"/>
        <v/>
      </c>
      <c r="Q700" t="str">
        <f t="shared" si="89"/>
        <v/>
      </c>
      <c r="R700" s="69"/>
      <c r="S700">
        <f>'TMIS CA'!A691</f>
        <v>9890</v>
      </c>
      <c r="T700" t="str">
        <f>T('TMIS CA'!B691)</f>
        <v>Qwest TV</v>
      </c>
      <c r="U700" t="s">
        <v>4288</v>
      </c>
      <c r="V700" t="str">
        <f t="shared" si="91"/>
        <v/>
      </c>
      <c r="W700" t="str">
        <f t="shared" si="90"/>
        <v/>
      </c>
    </row>
    <row r="701" spans="1:23">
      <c r="A701">
        <f>'IPTV US'!A692</f>
        <v>10958</v>
      </c>
      <c r="B701" t="str">
        <f>T('IPTV US'!B692)</f>
        <v/>
      </c>
      <c r="C701" t="s">
        <v>4290</v>
      </c>
      <c r="D701" t="str">
        <f t="shared" si="84"/>
        <v/>
      </c>
      <c r="E701" t="str">
        <f t="shared" si="85"/>
        <v/>
      </c>
      <c r="F701" s="68" t="s">
        <v>4289</v>
      </c>
      <c r="G701">
        <f>'IPTV CA'!A692</f>
        <v>11291</v>
      </c>
      <c r="H701" t="str">
        <f>T('IPTV CA'!B692)</f>
        <v/>
      </c>
      <c r="I701" t="s">
        <v>4290</v>
      </c>
      <c r="J701" t="str">
        <f t="shared" si="86"/>
        <v/>
      </c>
      <c r="K701" t="str">
        <f t="shared" si="88"/>
        <v/>
      </c>
      <c r="L701" s="69"/>
      <c r="M701">
        <f>'TMIS US'!A692</f>
        <v>9558</v>
      </c>
      <c r="N701" t="str">
        <f>T('TMIS US'!B692)</f>
        <v/>
      </c>
      <c r="O701" t="s">
        <v>4290</v>
      </c>
      <c r="P701" t="str">
        <f t="shared" si="87"/>
        <v/>
      </c>
      <c r="Q701" t="str">
        <f t="shared" si="89"/>
        <v/>
      </c>
      <c r="R701" s="69"/>
      <c r="S701">
        <f>'TMIS CA'!A692</f>
        <v>9891</v>
      </c>
      <c r="T701" t="str">
        <f>T('TMIS CA'!B692)</f>
        <v/>
      </c>
      <c r="U701" t="s">
        <v>4290</v>
      </c>
      <c r="V701" t="str">
        <f t="shared" si="91"/>
        <v/>
      </c>
      <c r="W701" t="str">
        <f t="shared" si="90"/>
        <v/>
      </c>
    </row>
    <row r="702" spans="1:23">
      <c r="A702">
        <f>'IPTV US'!A693</f>
        <v>10959</v>
      </c>
      <c r="B702" t="str">
        <f>T('IPTV US'!B693)</f>
        <v>Torque Presented By History</v>
      </c>
      <c r="C702" t="s">
        <v>4288</v>
      </c>
      <c r="D702" t="str">
        <f t="shared" si="84"/>
        <v/>
      </c>
      <c r="E702" t="str">
        <f t="shared" si="85"/>
        <v/>
      </c>
      <c r="F702" s="68" t="s">
        <v>4289</v>
      </c>
      <c r="G702">
        <f>'IPTV CA'!A693</f>
        <v>11292</v>
      </c>
      <c r="H702" t="str">
        <f>T('IPTV CA'!B693)</f>
        <v/>
      </c>
      <c r="I702" t="s">
        <v>4290</v>
      </c>
      <c r="J702" t="str">
        <f t="shared" si="86"/>
        <v/>
      </c>
      <c r="K702" t="str">
        <f t="shared" si="88"/>
        <v/>
      </c>
      <c r="L702" s="69"/>
      <c r="M702">
        <f>'TMIS US'!A693</f>
        <v>9559</v>
      </c>
      <c r="N702" t="str">
        <f>T('TMIS US'!B693)</f>
        <v>Torque Presented By History</v>
      </c>
      <c r="O702" t="s">
        <v>4288</v>
      </c>
      <c r="P702" t="str">
        <f t="shared" si="87"/>
        <v/>
      </c>
      <c r="Q702" t="str">
        <f t="shared" si="89"/>
        <v/>
      </c>
      <c r="R702" s="69"/>
      <c r="S702">
        <f>'TMIS CA'!A693</f>
        <v>9892</v>
      </c>
      <c r="T702" t="str">
        <f>T('TMIS CA'!B693)</f>
        <v/>
      </c>
      <c r="U702" t="s">
        <v>4290</v>
      </c>
      <c r="V702" t="str">
        <f t="shared" si="91"/>
        <v/>
      </c>
      <c r="W702" t="str">
        <f t="shared" si="90"/>
        <v/>
      </c>
    </row>
    <row r="703" spans="1:23">
      <c r="A703">
        <f>'IPTV US'!A694</f>
        <v>10960</v>
      </c>
      <c r="B703" t="str">
        <f>T('IPTV US'!B694)</f>
        <v>Top Gear</v>
      </c>
      <c r="C703" t="s">
        <v>4288</v>
      </c>
      <c r="D703" t="str">
        <f t="shared" si="84"/>
        <v/>
      </c>
      <c r="E703" t="str">
        <f t="shared" si="85"/>
        <v/>
      </c>
      <c r="F703" s="68" t="s">
        <v>4289</v>
      </c>
      <c r="G703">
        <f>'IPTV CA'!A694</f>
        <v>11293</v>
      </c>
      <c r="H703" t="str">
        <f>T('IPTV CA'!B694)</f>
        <v>TRACE UK</v>
      </c>
      <c r="I703" t="s">
        <v>4288</v>
      </c>
      <c r="J703" t="str">
        <f t="shared" si="86"/>
        <v/>
      </c>
      <c r="K703" t="str">
        <f t="shared" si="88"/>
        <v/>
      </c>
      <c r="L703" s="69"/>
      <c r="M703">
        <f>'TMIS US'!A694</f>
        <v>9560</v>
      </c>
      <c r="N703" t="str">
        <f>T('TMIS US'!B694)</f>
        <v>Top Gear</v>
      </c>
      <c r="O703" t="s">
        <v>4288</v>
      </c>
      <c r="P703" t="str">
        <f t="shared" si="87"/>
        <v/>
      </c>
      <c r="Q703" t="str">
        <f t="shared" si="89"/>
        <v/>
      </c>
      <c r="R703" s="69"/>
      <c r="S703">
        <f>'TMIS CA'!A694</f>
        <v>9893</v>
      </c>
      <c r="T703" t="str">
        <f>T('TMIS CA'!B694)</f>
        <v>TRACE UK</v>
      </c>
      <c r="U703" t="s">
        <v>4288</v>
      </c>
      <c r="V703" t="str">
        <f t="shared" si="91"/>
        <v/>
      </c>
      <c r="W703" t="str">
        <f t="shared" si="90"/>
        <v/>
      </c>
    </row>
    <row r="704" spans="1:23">
      <c r="A704">
        <f>'IPTV US'!A695</f>
        <v>10961</v>
      </c>
      <c r="B704" t="str">
        <f>T('IPTV US'!B695)</f>
        <v>Motorsport.tv</v>
      </c>
      <c r="C704" t="s">
        <v>4288</v>
      </c>
      <c r="D704" t="str">
        <f t="shared" si="84"/>
        <v/>
      </c>
      <c r="E704" t="str">
        <f t="shared" si="85"/>
        <v/>
      </c>
      <c r="F704" s="68" t="s">
        <v>4289</v>
      </c>
      <c r="G704">
        <f>'IPTV CA'!A695</f>
        <v>11294</v>
      </c>
      <c r="H704" t="str">
        <f>T('IPTV CA'!B695)</f>
        <v>TRACE Urban</v>
      </c>
      <c r="I704" t="s">
        <v>4288</v>
      </c>
      <c r="J704" t="str">
        <f t="shared" si="86"/>
        <v/>
      </c>
      <c r="K704" t="str">
        <f t="shared" si="88"/>
        <v/>
      </c>
      <c r="L704" s="69"/>
      <c r="M704">
        <f>'TMIS US'!A695</f>
        <v>9561</v>
      </c>
      <c r="N704" t="str">
        <f>T('TMIS US'!B695)</f>
        <v>Motorsport.tv</v>
      </c>
      <c r="O704" t="s">
        <v>4288</v>
      </c>
      <c r="P704" t="str">
        <f t="shared" si="87"/>
        <v/>
      </c>
      <c r="Q704" t="str">
        <f t="shared" si="89"/>
        <v/>
      </c>
      <c r="R704" s="69"/>
      <c r="S704">
        <f>'TMIS CA'!A695</f>
        <v>9894</v>
      </c>
      <c r="T704" t="str">
        <f>T('TMIS CA'!B695)</f>
        <v>TRACE Urban</v>
      </c>
      <c r="U704" t="s">
        <v>4288</v>
      </c>
      <c r="V704" t="str">
        <f t="shared" si="91"/>
        <v/>
      </c>
      <c r="W704" t="str">
        <f t="shared" si="90"/>
        <v/>
      </c>
    </row>
    <row r="705" spans="1:23">
      <c r="A705">
        <f>'IPTV US'!A696</f>
        <v>10962</v>
      </c>
      <c r="B705" t="str">
        <f>T('IPTV US'!B696)</f>
        <v>Fifth Gear (UK)</v>
      </c>
      <c r="C705" t="s">
        <v>4288</v>
      </c>
      <c r="D705" t="str">
        <f t="shared" si="84"/>
        <v/>
      </c>
      <c r="E705" t="str">
        <f t="shared" si="85"/>
        <v/>
      </c>
      <c r="F705" s="68" t="s">
        <v>4289</v>
      </c>
      <c r="G705">
        <f>'IPTV CA'!A696</f>
        <v>11295</v>
      </c>
      <c r="H705" t="str">
        <f>T('IPTV CA'!B696)</f>
        <v>TRACE Brazuca</v>
      </c>
      <c r="I705" t="s">
        <v>4288</v>
      </c>
      <c r="J705" t="str">
        <f t="shared" si="86"/>
        <v/>
      </c>
      <c r="K705" t="str">
        <f t="shared" si="88"/>
        <v/>
      </c>
      <c r="L705" s="69"/>
      <c r="M705">
        <f>'TMIS US'!A696</f>
        <v>9562</v>
      </c>
      <c r="N705" t="str">
        <f>T('TMIS US'!B696)</f>
        <v>Fifth Gear (UK)</v>
      </c>
      <c r="O705" t="s">
        <v>4288</v>
      </c>
      <c r="P705" t="str">
        <f t="shared" si="87"/>
        <v/>
      </c>
      <c r="Q705" t="str">
        <f t="shared" si="89"/>
        <v/>
      </c>
      <c r="R705" s="69"/>
      <c r="S705">
        <f>'TMIS CA'!A696</f>
        <v>9895</v>
      </c>
      <c r="T705" t="str">
        <f>T('TMIS CA'!B696)</f>
        <v>TRACE Brazuca</v>
      </c>
      <c r="U705" t="s">
        <v>4288</v>
      </c>
      <c r="V705" t="str">
        <f t="shared" si="91"/>
        <v/>
      </c>
      <c r="W705" t="str">
        <f t="shared" si="90"/>
        <v/>
      </c>
    </row>
    <row r="706" spans="1:23">
      <c r="A706">
        <f>'IPTV US'!A697</f>
        <v>10963</v>
      </c>
      <c r="B706" t="str">
        <f>T('IPTV US'!B697)</f>
        <v>Racing America</v>
      </c>
      <c r="C706" t="s">
        <v>4288</v>
      </c>
      <c r="D706" t="str">
        <f t="shared" si="84"/>
        <v/>
      </c>
      <c r="E706" t="str">
        <f t="shared" si="85"/>
        <v/>
      </c>
      <c r="F706" s="68" t="s">
        <v>4289</v>
      </c>
      <c r="G706">
        <f>'IPTV CA'!A697</f>
        <v>11296</v>
      </c>
      <c r="H706" t="str">
        <f>T('IPTV CA'!B697)</f>
        <v>TRACE Latina</v>
      </c>
      <c r="I706" t="s">
        <v>4288</v>
      </c>
      <c r="J706" t="str">
        <f t="shared" si="86"/>
        <v/>
      </c>
      <c r="K706" t="str">
        <f t="shared" si="88"/>
        <v/>
      </c>
      <c r="L706" s="69"/>
      <c r="M706">
        <f>'TMIS US'!A697</f>
        <v>9563</v>
      </c>
      <c r="N706" t="str">
        <f>T('TMIS US'!B697)</f>
        <v>Racing America</v>
      </c>
      <c r="O706" t="s">
        <v>4288</v>
      </c>
      <c r="P706" t="str">
        <f t="shared" si="87"/>
        <v/>
      </c>
      <c r="Q706" t="str">
        <f t="shared" si="89"/>
        <v/>
      </c>
      <c r="R706" s="69"/>
      <c r="S706">
        <f>'TMIS CA'!A697</f>
        <v>9896</v>
      </c>
      <c r="T706" t="str">
        <f>T('TMIS CA'!B697)</f>
        <v>TRACE Latina</v>
      </c>
      <c r="U706" t="s">
        <v>4288</v>
      </c>
      <c r="V706" t="str">
        <f t="shared" si="91"/>
        <v/>
      </c>
      <c r="W706" t="str">
        <f t="shared" si="90"/>
        <v/>
      </c>
    </row>
    <row r="707" spans="1:23">
      <c r="A707">
        <f>'IPTV US'!A698</f>
        <v>10964</v>
      </c>
      <c r="B707" t="str">
        <f>T('IPTV US'!B698)</f>
        <v>MAVTV Select</v>
      </c>
      <c r="C707" t="s">
        <v>4288</v>
      </c>
      <c r="D707" t="str">
        <f t="shared" si="84"/>
        <v/>
      </c>
      <c r="E707" t="str">
        <f t="shared" si="85"/>
        <v/>
      </c>
      <c r="F707" s="68" t="s">
        <v>4289</v>
      </c>
      <c r="G707">
        <f>'IPTV CA'!A698</f>
        <v>11297</v>
      </c>
      <c r="H707" t="str">
        <f>T('IPTV CA'!B698)</f>
        <v>NEW K-POP</v>
      </c>
      <c r="I707" t="s">
        <v>4288</v>
      </c>
      <c r="J707" t="str">
        <f t="shared" si="86"/>
        <v/>
      </c>
      <c r="K707" t="str">
        <f t="shared" si="88"/>
        <v/>
      </c>
      <c r="L707" s="69"/>
      <c r="M707">
        <f>'TMIS US'!A698</f>
        <v>9564</v>
      </c>
      <c r="N707" t="str">
        <f>T('TMIS US'!B698)</f>
        <v>MAVTV Select</v>
      </c>
      <c r="O707" t="s">
        <v>4288</v>
      </c>
      <c r="P707" t="str">
        <f t="shared" si="87"/>
        <v/>
      </c>
      <c r="Q707" t="str">
        <f t="shared" si="89"/>
        <v/>
      </c>
      <c r="R707" s="69"/>
      <c r="S707">
        <f>'TMIS CA'!A698</f>
        <v>9897</v>
      </c>
      <c r="T707" t="str">
        <f>T('TMIS CA'!B698)</f>
        <v>NEW K-POP</v>
      </c>
      <c r="U707" t="s">
        <v>4288</v>
      </c>
      <c r="V707" t="str">
        <f t="shared" si="91"/>
        <v/>
      </c>
      <c r="W707" t="str">
        <f t="shared" si="90"/>
        <v/>
      </c>
    </row>
    <row r="708" spans="1:23">
      <c r="A708">
        <f>'IPTV US'!A699</f>
        <v>10965</v>
      </c>
      <c r="B708" t="str">
        <f>T('IPTV US'!B699)</f>
        <v>Choppertown</v>
      </c>
      <c r="C708" t="s">
        <v>4288</v>
      </c>
      <c r="D708" t="str">
        <f t="shared" si="84"/>
        <v/>
      </c>
      <c r="E708" t="str">
        <f t="shared" si="85"/>
        <v/>
      </c>
      <c r="F708" s="68" t="s">
        <v>4289</v>
      </c>
      <c r="G708">
        <f>'IPTV CA'!A699</f>
        <v>11298</v>
      </c>
      <c r="H708" t="str">
        <f>T('IPTV CA'!B699)</f>
        <v>YG TV</v>
      </c>
      <c r="I708" t="s">
        <v>4288</v>
      </c>
      <c r="J708" t="str">
        <f t="shared" si="86"/>
        <v/>
      </c>
      <c r="K708" t="str">
        <f t="shared" si="88"/>
        <v/>
      </c>
      <c r="L708" s="69"/>
      <c r="M708">
        <f>'TMIS US'!A699</f>
        <v>9565</v>
      </c>
      <c r="N708" t="str">
        <f>T('TMIS US'!B699)</f>
        <v>Choppertown</v>
      </c>
      <c r="O708" t="s">
        <v>4288</v>
      </c>
      <c r="P708" t="str">
        <f t="shared" si="87"/>
        <v/>
      </c>
      <c r="Q708" t="str">
        <f t="shared" si="89"/>
        <v/>
      </c>
      <c r="R708" s="69"/>
      <c r="S708">
        <f>'TMIS CA'!A699</f>
        <v>9898</v>
      </c>
      <c r="T708" t="str">
        <f>T('TMIS CA'!B699)</f>
        <v>YG TV</v>
      </c>
      <c r="U708" t="s">
        <v>4288</v>
      </c>
      <c r="V708" t="str">
        <f t="shared" si="91"/>
        <v/>
      </c>
      <c r="W708" t="str">
        <f t="shared" si="90"/>
        <v/>
      </c>
    </row>
    <row r="709" spans="1:23">
      <c r="A709">
        <f>'IPTV US'!A700</f>
        <v>10966</v>
      </c>
      <c r="B709" t="str">
        <f>T('IPTV US'!B700)</f>
        <v/>
      </c>
      <c r="C709" t="s">
        <v>4290</v>
      </c>
      <c r="D709" t="str">
        <f t="shared" si="84"/>
        <v/>
      </c>
      <c r="E709" t="str">
        <f t="shared" si="85"/>
        <v/>
      </c>
      <c r="F709" s="68" t="s">
        <v>4289</v>
      </c>
      <c r="G709">
        <f>'IPTV CA'!A700</f>
        <v>11299</v>
      </c>
      <c r="H709" t="str">
        <f>T('IPTV CA'!B700)</f>
        <v>party tyme karaoke</v>
      </c>
      <c r="I709" t="s">
        <v>4288</v>
      </c>
      <c r="J709" t="str">
        <f t="shared" si="86"/>
        <v/>
      </c>
      <c r="K709" t="str">
        <f t="shared" si="88"/>
        <v/>
      </c>
      <c r="L709" s="69"/>
      <c r="M709">
        <f>'TMIS US'!A700</f>
        <v>9566</v>
      </c>
      <c r="N709" t="str">
        <f>T('TMIS US'!B700)</f>
        <v/>
      </c>
      <c r="O709" t="s">
        <v>4290</v>
      </c>
      <c r="P709" t="str">
        <f t="shared" si="87"/>
        <v/>
      </c>
      <c r="Q709" t="str">
        <f t="shared" si="89"/>
        <v/>
      </c>
      <c r="R709" s="69"/>
      <c r="S709">
        <f>'TMIS CA'!A700</f>
        <v>9899</v>
      </c>
      <c r="T709" t="str">
        <f>T('TMIS CA'!B700)</f>
        <v>party tyme karaoke</v>
      </c>
      <c r="U709" t="s">
        <v>4288</v>
      </c>
      <c r="V709" t="str">
        <f t="shared" si="91"/>
        <v/>
      </c>
      <c r="W709" t="str">
        <f t="shared" si="90"/>
        <v/>
      </c>
    </row>
    <row r="710" spans="1:23">
      <c r="A710">
        <f>'IPTV US'!A701</f>
        <v>10967</v>
      </c>
      <c r="B710" t="str">
        <f>T('IPTV US'!B701)</f>
        <v/>
      </c>
      <c r="C710" t="s">
        <v>4290</v>
      </c>
      <c r="D710" t="str">
        <f t="shared" si="84"/>
        <v/>
      </c>
      <c r="E710" t="str">
        <f t="shared" si="85"/>
        <v/>
      </c>
      <c r="F710" s="68" t="s">
        <v>4289</v>
      </c>
      <c r="G710">
        <f>'IPTV CA'!A701</f>
        <v>11300</v>
      </c>
      <c r="H710" t="str">
        <f>T('IPTV CA'!B701)</f>
        <v>Radio-Canada INFO</v>
      </c>
      <c r="I710" t="s">
        <v>4288</v>
      </c>
      <c r="J710" t="str">
        <f t="shared" si="86"/>
        <v/>
      </c>
      <c r="K710" t="str">
        <f t="shared" si="88"/>
        <v/>
      </c>
      <c r="L710" s="69"/>
      <c r="M710">
        <f>'TMIS US'!A701</f>
        <v>9567</v>
      </c>
      <c r="N710" t="str">
        <f>T('TMIS US'!B701)</f>
        <v/>
      </c>
      <c r="O710" t="s">
        <v>4290</v>
      </c>
      <c r="P710" t="str">
        <f t="shared" si="87"/>
        <v/>
      </c>
      <c r="Q710" t="str">
        <f t="shared" si="89"/>
        <v/>
      </c>
      <c r="R710" s="69"/>
      <c r="S710">
        <f>'TMIS CA'!A701</f>
        <v>9900</v>
      </c>
      <c r="T710" t="str">
        <f>T('TMIS CA'!B701)</f>
        <v>Radio-Canada INFO</v>
      </c>
      <c r="U710" t="s">
        <v>4288</v>
      </c>
      <c r="V710" t="str">
        <f t="shared" si="91"/>
        <v/>
      </c>
      <c r="W710" t="str">
        <f t="shared" si="90"/>
        <v/>
      </c>
    </row>
    <row r="711" spans="1:23">
      <c r="A711">
        <f>'IPTV US'!A702</f>
        <v>10968</v>
      </c>
      <c r="B711" t="str">
        <f>T('IPTV US'!B702)</f>
        <v>NBC Sports NOW</v>
      </c>
      <c r="C711" t="s">
        <v>4288</v>
      </c>
      <c r="D711" t="str">
        <f t="shared" si="84"/>
        <v/>
      </c>
      <c r="E711" t="str">
        <f t="shared" si="85"/>
        <v/>
      </c>
      <c r="F711" s="68" t="s">
        <v>4289</v>
      </c>
      <c r="G711">
        <f>'IPTV CA'!A702</f>
        <v>0</v>
      </c>
      <c r="H711" t="str">
        <f>T('IPTV CA'!B702)</f>
        <v/>
      </c>
      <c r="I711" t="s">
        <v>4290</v>
      </c>
      <c r="J711" t="str">
        <f t="shared" si="86"/>
        <v/>
      </c>
      <c r="K711" t="str">
        <f t="shared" si="88"/>
        <v/>
      </c>
      <c r="L711" s="69"/>
      <c r="M711">
        <f>'TMIS US'!A702</f>
        <v>9568</v>
      </c>
      <c r="N711" t="str">
        <f>T('TMIS US'!B702)</f>
        <v>NBC Sports NOW</v>
      </c>
      <c r="O711" t="s">
        <v>4288</v>
      </c>
      <c r="P711" t="str">
        <f t="shared" si="87"/>
        <v/>
      </c>
      <c r="Q711" t="str">
        <f t="shared" si="89"/>
        <v/>
      </c>
      <c r="R711" s="69"/>
      <c r="S711">
        <f>'TMIS CA'!A702</f>
        <v>0</v>
      </c>
      <c r="T711" t="str">
        <f>T('TMIS CA'!B702)</f>
        <v/>
      </c>
      <c r="U711" t="s">
        <v>4290</v>
      </c>
      <c r="V711" t="str">
        <f t="shared" si="91"/>
        <v/>
      </c>
      <c r="W711" t="str">
        <f t="shared" si="90"/>
        <v/>
      </c>
    </row>
    <row r="712" spans="1:23">
      <c r="A712">
        <f>'IPTV US'!A703</f>
        <v>10969</v>
      </c>
      <c r="B712" t="str">
        <f>T('IPTV US'!B703)</f>
        <v>PokerGO</v>
      </c>
      <c r="C712" t="s">
        <v>4288</v>
      </c>
      <c r="D712" t="str">
        <f t="shared" si="84"/>
        <v/>
      </c>
      <c r="E712" t="str">
        <f t="shared" si="85"/>
        <v/>
      </c>
      <c r="F712" s="68" t="s">
        <v>4289</v>
      </c>
      <c r="G712">
        <f>'IPTV CA'!A703</f>
        <v>0</v>
      </c>
      <c r="H712" t="str">
        <f>T('IPTV CA'!B703)</f>
        <v/>
      </c>
      <c r="I712" t="s">
        <v>4290</v>
      </c>
      <c r="J712" t="str">
        <f t="shared" si="86"/>
        <v/>
      </c>
      <c r="K712" t="str">
        <f t="shared" si="88"/>
        <v/>
      </c>
      <c r="L712" s="69"/>
      <c r="M712">
        <f>'TMIS US'!A703</f>
        <v>9569</v>
      </c>
      <c r="N712" t="str">
        <f>T('TMIS US'!B703)</f>
        <v>PokerGO</v>
      </c>
      <c r="O712" t="s">
        <v>4288</v>
      </c>
      <c r="P712" t="str">
        <f t="shared" si="87"/>
        <v/>
      </c>
      <c r="Q712" t="str">
        <f t="shared" si="89"/>
        <v/>
      </c>
      <c r="R712" s="69"/>
      <c r="S712">
        <f>'TMIS CA'!A703</f>
        <v>0</v>
      </c>
      <c r="T712" t="str">
        <f>T('TMIS CA'!B703)</f>
        <v/>
      </c>
      <c r="U712" t="s">
        <v>4290</v>
      </c>
      <c r="V712" t="str">
        <f t="shared" si="91"/>
        <v/>
      </c>
      <c r="W712" t="str">
        <f t="shared" si="90"/>
        <v/>
      </c>
    </row>
    <row r="713" spans="1:23">
      <c r="A713">
        <f>'IPTV US'!A704</f>
        <v>10970</v>
      </c>
      <c r="B713" t="str">
        <f>T('IPTV US'!B704)</f>
        <v/>
      </c>
      <c r="C713" t="s">
        <v>4290</v>
      </c>
      <c r="D713" t="str">
        <f t="shared" si="84"/>
        <v/>
      </c>
      <c r="E713" t="str">
        <f t="shared" si="85"/>
        <v/>
      </c>
      <c r="F713" s="68" t="s">
        <v>4289</v>
      </c>
      <c r="G713">
        <f>'IPTV CA'!A704</f>
        <v>0</v>
      </c>
      <c r="H713" t="str">
        <f>T('IPTV CA'!B704)</f>
        <v/>
      </c>
      <c r="I713" t="s">
        <v>4290</v>
      </c>
      <c r="J713" t="str">
        <f t="shared" si="86"/>
        <v/>
      </c>
      <c r="K713" t="str">
        <f t="shared" si="88"/>
        <v/>
      </c>
      <c r="L713" s="69"/>
      <c r="M713">
        <f>'TMIS US'!A704</f>
        <v>9570</v>
      </c>
      <c r="N713" t="str">
        <f>T('TMIS US'!B704)</f>
        <v/>
      </c>
      <c r="O713" t="s">
        <v>4290</v>
      </c>
      <c r="P713" t="str">
        <f t="shared" si="87"/>
        <v/>
      </c>
      <c r="Q713" t="str">
        <f t="shared" si="89"/>
        <v/>
      </c>
      <c r="R713" s="69"/>
      <c r="S713">
        <f>'TMIS CA'!A704</f>
        <v>0</v>
      </c>
      <c r="T713" t="str">
        <f>T('TMIS CA'!B704)</f>
        <v/>
      </c>
      <c r="U713" t="s">
        <v>4290</v>
      </c>
      <c r="V713" t="str">
        <f t="shared" si="91"/>
        <v/>
      </c>
      <c r="W713" t="str">
        <f t="shared" si="90"/>
        <v/>
      </c>
    </row>
    <row r="714" spans="1:23">
      <c r="A714">
        <f>'IPTV US'!A705</f>
        <v>10971</v>
      </c>
      <c r="B714" t="str">
        <f>T('IPTV US'!B705)</f>
        <v>Poker Night TV</v>
      </c>
      <c r="C714" t="s">
        <v>4288</v>
      </c>
      <c r="D714" t="str">
        <f t="shared" si="84"/>
        <v/>
      </c>
      <c r="E714" t="str">
        <f t="shared" si="85"/>
        <v/>
      </c>
      <c r="F714" s="68" t="s">
        <v>4289</v>
      </c>
      <c r="G714">
        <f>'IPTV CA'!A705</f>
        <v>0</v>
      </c>
      <c r="H714" t="str">
        <f>T('IPTV CA'!B705)</f>
        <v/>
      </c>
      <c r="I714" t="s">
        <v>4290</v>
      </c>
      <c r="J714" t="str">
        <f t="shared" si="86"/>
        <v/>
      </c>
      <c r="K714" t="str">
        <f t="shared" si="88"/>
        <v/>
      </c>
      <c r="L714" s="69"/>
      <c r="M714">
        <f>'TMIS US'!A705</f>
        <v>9571</v>
      </c>
      <c r="N714" t="str">
        <f>T('TMIS US'!B705)</f>
        <v>Poker Night TV</v>
      </c>
      <c r="O714" t="s">
        <v>4288</v>
      </c>
      <c r="P714" t="str">
        <f t="shared" si="87"/>
        <v/>
      </c>
      <c r="Q714" t="str">
        <f t="shared" si="89"/>
        <v/>
      </c>
      <c r="R714" s="69"/>
      <c r="S714">
        <f>'TMIS CA'!A705</f>
        <v>0</v>
      </c>
      <c r="T714" t="str">
        <f>T('TMIS CA'!B705)</f>
        <v/>
      </c>
      <c r="U714" t="s">
        <v>4290</v>
      </c>
      <c r="V714" t="str">
        <f t="shared" si="91"/>
        <v/>
      </c>
      <c r="W714" t="str">
        <f t="shared" si="90"/>
        <v/>
      </c>
    </row>
    <row r="715" spans="1:23">
      <c r="A715">
        <f>'IPTV US'!A706</f>
        <v>10972</v>
      </c>
      <c r="B715" t="str">
        <f>T('IPTV US'!B706)</f>
        <v>Triton Poker</v>
      </c>
      <c r="C715" t="s">
        <v>4288</v>
      </c>
      <c r="D715" t="str">
        <f t="shared" ref="D715:D778" si="92">IF(C715="Active",IF(B715="","Please Notify - Channel Removed",""),"")</f>
        <v/>
      </c>
      <c r="E715" t="str">
        <f t="shared" ref="E715:E778" si="93">IF(C715="Vacant",IF(B715="","","Please Notify - Channel Added"),"")</f>
        <v/>
      </c>
      <c r="F715" s="68" t="s">
        <v>4289</v>
      </c>
      <c r="G715">
        <f>'IPTV CA'!A706</f>
        <v>0</v>
      </c>
      <c r="H715" t="str">
        <f>T('IPTV CA'!B706)</f>
        <v/>
      </c>
      <c r="I715" t="s">
        <v>4290</v>
      </c>
      <c r="J715" t="str">
        <f t="shared" ref="J715:J778" si="94">IF(I715="Active",IF(H715="","Please Notify - Channel Removed",""),"")</f>
        <v/>
      </c>
      <c r="K715" t="str">
        <f t="shared" si="88"/>
        <v/>
      </c>
      <c r="L715" s="69"/>
      <c r="M715">
        <f>'TMIS US'!A706</f>
        <v>9572</v>
      </c>
      <c r="N715" t="str">
        <f>T('TMIS US'!B706)</f>
        <v>Triton Poker</v>
      </c>
      <c r="O715" t="s">
        <v>4288</v>
      </c>
      <c r="P715" t="str">
        <f t="shared" ref="P715:P778" si="95">IF(O715="Active",IF(N715="","Please Notify - Channel Removed",""),"")</f>
        <v/>
      </c>
      <c r="Q715" t="str">
        <f t="shared" si="89"/>
        <v/>
      </c>
      <c r="R715" s="69"/>
      <c r="S715">
        <f>'TMIS CA'!A706</f>
        <v>0</v>
      </c>
      <c r="T715" t="str">
        <f>T('TMIS CA'!B706)</f>
        <v/>
      </c>
      <c r="U715" t="s">
        <v>4290</v>
      </c>
      <c r="V715" t="str">
        <f t="shared" si="91"/>
        <v/>
      </c>
      <c r="W715" t="str">
        <f t="shared" si="90"/>
        <v/>
      </c>
    </row>
    <row r="716" spans="1:23">
      <c r="A716">
        <f>'IPTV US'!A707</f>
        <v>10973</v>
      </c>
      <c r="B716" t="str">
        <f>T('IPTV US'!B707)</f>
        <v>FIFA+</v>
      </c>
      <c r="C716" t="s">
        <v>4288</v>
      </c>
      <c r="D716" t="str">
        <f t="shared" si="92"/>
        <v/>
      </c>
      <c r="E716" t="str">
        <f t="shared" si="93"/>
        <v/>
      </c>
      <c r="F716" s="68" t="s">
        <v>4289</v>
      </c>
      <c r="G716">
        <f>'IPTV CA'!A707</f>
        <v>0</v>
      </c>
      <c r="H716" t="str">
        <f>T('IPTV CA'!B707)</f>
        <v/>
      </c>
      <c r="I716" t="s">
        <v>4290</v>
      </c>
      <c r="J716" t="str">
        <f t="shared" si="94"/>
        <v/>
      </c>
      <c r="K716" t="str">
        <f t="shared" ref="K716:K779" si="96">IF(I716="Vacant",IF(H716="","","Please Notify - Channel Added"),"")</f>
        <v/>
      </c>
      <c r="L716" s="69"/>
      <c r="M716">
        <f>'TMIS US'!A707</f>
        <v>9573</v>
      </c>
      <c r="N716" t="str">
        <f>T('TMIS US'!B707)</f>
        <v>FIFA+</v>
      </c>
      <c r="O716" t="s">
        <v>4288</v>
      </c>
      <c r="P716" t="str">
        <f t="shared" si="95"/>
        <v/>
      </c>
      <c r="Q716" t="str">
        <f t="shared" ref="Q716:Q779" si="97">IF(O716="Vacant",IF(N716="","","Please Notify - Channel Added"),"")</f>
        <v/>
      </c>
      <c r="R716" s="69"/>
      <c r="S716">
        <f>'TMIS CA'!A707</f>
        <v>0</v>
      </c>
      <c r="T716" t="str">
        <f>T('TMIS CA'!B707)</f>
        <v/>
      </c>
      <c r="U716" t="s">
        <v>4290</v>
      </c>
      <c r="V716" t="str">
        <f t="shared" si="91"/>
        <v/>
      </c>
      <c r="W716" t="str">
        <f t="shared" ref="W716:W779" si="98">IF(U716="Vacant",IF(T716="","","Please Notify - Channel Added"),"")</f>
        <v/>
      </c>
    </row>
    <row r="717" spans="1:23">
      <c r="A717">
        <f>'IPTV US'!A708</f>
        <v>10974</v>
      </c>
      <c r="B717" t="str">
        <f>T('IPTV US'!B708)</f>
        <v>Fubo Sports Network</v>
      </c>
      <c r="C717" t="s">
        <v>4288</v>
      </c>
      <c r="D717" t="str">
        <f t="shared" si="92"/>
        <v/>
      </c>
      <c r="E717" t="str">
        <f t="shared" si="93"/>
        <v/>
      </c>
      <c r="F717" s="68" t="s">
        <v>4289</v>
      </c>
      <c r="G717">
        <f>'IPTV CA'!A708</f>
        <v>0</v>
      </c>
      <c r="H717" t="str">
        <f>T('IPTV CA'!B708)</f>
        <v/>
      </c>
      <c r="I717" t="s">
        <v>4290</v>
      </c>
      <c r="J717" t="str">
        <f t="shared" si="94"/>
        <v/>
      </c>
      <c r="K717" t="str">
        <f t="shared" si="96"/>
        <v/>
      </c>
      <c r="L717" s="69"/>
      <c r="M717">
        <f>'TMIS US'!A708</f>
        <v>9574</v>
      </c>
      <c r="N717" t="str">
        <f>T('TMIS US'!B708)</f>
        <v>Fubo Sports Network</v>
      </c>
      <c r="O717" t="s">
        <v>4288</v>
      </c>
      <c r="P717" t="str">
        <f t="shared" si="95"/>
        <v/>
      </c>
      <c r="Q717" t="str">
        <f t="shared" si="97"/>
        <v/>
      </c>
      <c r="R717" s="69"/>
      <c r="S717">
        <f>'TMIS CA'!A708</f>
        <v>0</v>
      </c>
      <c r="T717" t="str">
        <f>T('TMIS CA'!B708)</f>
        <v/>
      </c>
      <c r="U717" t="s">
        <v>4290</v>
      </c>
      <c r="V717" t="str">
        <f t="shared" si="91"/>
        <v/>
      </c>
      <c r="W717" t="str">
        <f t="shared" si="98"/>
        <v/>
      </c>
    </row>
    <row r="718" spans="1:23">
      <c r="A718">
        <f>'IPTV US'!A709</f>
        <v>10975</v>
      </c>
      <c r="B718" t="str">
        <f>T('IPTV US'!B709)</f>
        <v/>
      </c>
      <c r="C718" t="s">
        <v>4290</v>
      </c>
      <c r="D718" t="str">
        <f t="shared" si="92"/>
        <v/>
      </c>
      <c r="E718" t="str">
        <f t="shared" si="93"/>
        <v/>
      </c>
      <c r="F718" s="68" t="s">
        <v>4289</v>
      </c>
      <c r="G718">
        <f>'IPTV CA'!A709</f>
        <v>0</v>
      </c>
      <c r="H718" t="str">
        <f>T('IPTV CA'!B709)</f>
        <v/>
      </c>
      <c r="I718" t="s">
        <v>4290</v>
      </c>
      <c r="J718" t="str">
        <f t="shared" si="94"/>
        <v/>
      </c>
      <c r="K718" t="str">
        <f t="shared" si="96"/>
        <v/>
      </c>
      <c r="L718" s="69"/>
      <c r="M718">
        <f>'TMIS US'!A709</f>
        <v>9575</v>
      </c>
      <c r="N718" t="str">
        <f>T('TMIS US'!B709)</f>
        <v/>
      </c>
      <c r="O718" t="s">
        <v>4290</v>
      </c>
      <c r="P718" t="str">
        <f t="shared" si="95"/>
        <v/>
      </c>
      <c r="Q718" t="str">
        <f t="shared" si="97"/>
        <v/>
      </c>
      <c r="R718" s="69"/>
      <c r="S718">
        <f>'TMIS CA'!A709</f>
        <v>0</v>
      </c>
      <c r="T718" t="str">
        <f>T('TMIS CA'!B709)</f>
        <v/>
      </c>
      <c r="U718" t="s">
        <v>4290</v>
      </c>
      <c r="V718" t="str">
        <f t="shared" ref="V718:V781" si="99">IF(U718="Active",IF(T718="","Please Notify - Channel Removed",""),"")</f>
        <v/>
      </c>
      <c r="W718" t="str">
        <f t="shared" si="98"/>
        <v/>
      </c>
    </row>
    <row r="719" spans="1:23">
      <c r="A719">
        <f>'IPTV US'!A710</f>
        <v>10976</v>
      </c>
      <c r="B719" t="str">
        <f>T('IPTV US'!B710)</f>
        <v/>
      </c>
      <c r="C719" t="s">
        <v>4290</v>
      </c>
      <c r="D719" t="str">
        <f t="shared" si="92"/>
        <v/>
      </c>
      <c r="E719" t="str">
        <f t="shared" si="93"/>
        <v/>
      </c>
      <c r="F719" s="68" t="s">
        <v>4289</v>
      </c>
      <c r="G719">
        <f>'IPTV CA'!A710</f>
        <v>0</v>
      </c>
      <c r="H719" t="str">
        <f>T('IPTV CA'!B710)</f>
        <v/>
      </c>
      <c r="I719" t="s">
        <v>4290</v>
      </c>
      <c r="J719" t="str">
        <f t="shared" si="94"/>
        <v/>
      </c>
      <c r="K719" t="str">
        <f t="shared" si="96"/>
        <v/>
      </c>
      <c r="L719" s="69"/>
      <c r="M719">
        <f>'TMIS US'!A710</f>
        <v>9576</v>
      </c>
      <c r="N719" t="str">
        <f>T('TMIS US'!B710)</f>
        <v/>
      </c>
      <c r="O719" t="s">
        <v>4290</v>
      </c>
      <c r="P719" t="str">
        <f t="shared" si="95"/>
        <v/>
      </c>
      <c r="Q719" t="str">
        <f t="shared" si="97"/>
        <v/>
      </c>
      <c r="R719" s="69"/>
      <c r="S719">
        <f>'TMIS CA'!A710</f>
        <v>0</v>
      </c>
      <c r="T719" t="str">
        <f>T('TMIS CA'!B710)</f>
        <v/>
      </c>
      <c r="U719" t="s">
        <v>4290</v>
      </c>
      <c r="V719" t="str">
        <f t="shared" si="99"/>
        <v/>
      </c>
      <c r="W719" t="str">
        <f t="shared" si="98"/>
        <v/>
      </c>
    </row>
    <row r="720" spans="1:23">
      <c r="A720">
        <f>'IPTV US'!A711</f>
        <v>10977</v>
      </c>
      <c r="B720" t="str">
        <f>T('IPTV US'!B711)</f>
        <v>PursuitUP</v>
      </c>
      <c r="C720" t="s">
        <v>4288</v>
      </c>
      <c r="D720" t="str">
        <f t="shared" si="92"/>
        <v/>
      </c>
      <c r="E720" t="str">
        <f t="shared" si="93"/>
        <v/>
      </c>
      <c r="F720" s="68" t="s">
        <v>4289</v>
      </c>
      <c r="G720">
        <f>'IPTV CA'!A711</f>
        <v>0</v>
      </c>
      <c r="H720" t="str">
        <f>T('IPTV CA'!B711)</f>
        <v/>
      </c>
      <c r="I720" t="s">
        <v>4290</v>
      </c>
      <c r="J720" t="str">
        <f t="shared" si="94"/>
        <v/>
      </c>
      <c r="K720" t="str">
        <f t="shared" si="96"/>
        <v/>
      </c>
      <c r="L720" s="69"/>
      <c r="M720">
        <f>'TMIS US'!A711</f>
        <v>9577</v>
      </c>
      <c r="N720" t="str">
        <f>T('TMIS US'!B711)</f>
        <v>PursuitUP</v>
      </c>
      <c r="O720" t="s">
        <v>4288</v>
      </c>
      <c r="P720" t="str">
        <f t="shared" si="95"/>
        <v/>
      </c>
      <c r="Q720" t="str">
        <f t="shared" si="97"/>
        <v/>
      </c>
      <c r="R720" s="69"/>
      <c r="S720">
        <f>'TMIS CA'!A711</f>
        <v>0</v>
      </c>
      <c r="T720" t="str">
        <f>T('TMIS CA'!B711)</f>
        <v/>
      </c>
      <c r="U720" t="s">
        <v>4290</v>
      </c>
      <c r="V720" t="str">
        <f t="shared" si="99"/>
        <v/>
      </c>
      <c r="W720" t="str">
        <f t="shared" si="98"/>
        <v/>
      </c>
    </row>
    <row r="721" spans="1:23">
      <c r="A721">
        <f>'IPTV US'!A712</f>
        <v>10978</v>
      </c>
      <c r="B721" t="str">
        <f>T('IPTV US'!B712)</f>
        <v>Outside</v>
      </c>
      <c r="C721" t="s">
        <v>4288</v>
      </c>
      <c r="D721" t="str">
        <f t="shared" si="92"/>
        <v/>
      </c>
      <c r="E721" t="str">
        <f t="shared" si="93"/>
        <v/>
      </c>
      <c r="F721" s="68" t="s">
        <v>4289</v>
      </c>
      <c r="G721">
        <f>'IPTV CA'!A712</f>
        <v>0</v>
      </c>
      <c r="H721" t="str">
        <f>T('IPTV CA'!B712)</f>
        <v/>
      </c>
      <c r="I721" t="s">
        <v>4290</v>
      </c>
      <c r="J721" t="str">
        <f t="shared" si="94"/>
        <v/>
      </c>
      <c r="K721" t="str">
        <f t="shared" si="96"/>
        <v/>
      </c>
      <c r="L721" s="69"/>
      <c r="M721">
        <f>'TMIS US'!A712</f>
        <v>9578</v>
      </c>
      <c r="N721" t="str">
        <f>T('TMIS US'!B712)</f>
        <v>Outside</v>
      </c>
      <c r="O721" t="s">
        <v>4288</v>
      </c>
      <c r="P721" t="str">
        <f t="shared" si="95"/>
        <v/>
      </c>
      <c r="Q721" t="str">
        <f t="shared" si="97"/>
        <v/>
      </c>
      <c r="R721" s="69"/>
      <c r="S721">
        <f>'TMIS CA'!A712</f>
        <v>0</v>
      </c>
      <c r="T721" t="str">
        <f>T('TMIS CA'!B712)</f>
        <v/>
      </c>
      <c r="U721" t="s">
        <v>4290</v>
      </c>
      <c r="V721" t="str">
        <f t="shared" si="99"/>
        <v/>
      </c>
      <c r="W721" t="str">
        <f t="shared" si="98"/>
        <v/>
      </c>
    </row>
    <row r="722" spans="1:23">
      <c r="A722">
        <f>'IPTV US'!A713</f>
        <v>10979</v>
      </c>
      <c r="B722" t="str">
        <f>T('IPTV US'!B713)</f>
        <v>Wired2Fish</v>
      </c>
      <c r="C722" t="s">
        <v>4288</v>
      </c>
      <c r="D722" t="str">
        <f t="shared" si="92"/>
        <v/>
      </c>
      <c r="E722" t="str">
        <f t="shared" si="93"/>
        <v/>
      </c>
      <c r="F722" s="68" t="s">
        <v>4289</v>
      </c>
      <c r="G722">
        <f>'IPTV CA'!A713</f>
        <v>0</v>
      </c>
      <c r="H722" t="str">
        <f>T('IPTV CA'!B713)</f>
        <v/>
      </c>
      <c r="I722" t="s">
        <v>4290</v>
      </c>
      <c r="J722" t="str">
        <f t="shared" si="94"/>
        <v/>
      </c>
      <c r="K722" t="str">
        <f t="shared" si="96"/>
        <v/>
      </c>
      <c r="L722" s="69"/>
      <c r="M722">
        <f>'TMIS US'!A713</f>
        <v>9579</v>
      </c>
      <c r="N722" t="str">
        <f>T('TMIS US'!B713)</f>
        <v>Wired2Fish</v>
      </c>
      <c r="O722" t="s">
        <v>4288</v>
      </c>
      <c r="P722" t="str">
        <f t="shared" si="95"/>
        <v/>
      </c>
      <c r="Q722" t="str">
        <f t="shared" si="97"/>
        <v/>
      </c>
      <c r="R722" s="69"/>
      <c r="S722">
        <f>'TMIS CA'!A713</f>
        <v>0</v>
      </c>
      <c r="T722" t="str">
        <f>T('TMIS CA'!B713)</f>
        <v/>
      </c>
      <c r="U722" t="s">
        <v>4290</v>
      </c>
      <c r="V722" t="str">
        <f t="shared" si="99"/>
        <v/>
      </c>
      <c r="W722" t="str">
        <f t="shared" si="98"/>
        <v/>
      </c>
    </row>
    <row r="723" spans="1:23">
      <c r="A723">
        <f>'IPTV US'!A714</f>
        <v>10980</v>
      </c>
      <c r="B723" t="str">
        <f>T('IPTV US'!B714)</f>
        <v>Game &amp; Fish TV</v>
      </c>
      <c r="C723" t="s">
        <v>4288</v>
      </c>
      <c r="D723" t="str">
        <f t="shared" si="92"/>
        <v/>
      </c>
      <c r="E723" t="str">
        <f t="shared" si="93"/>
        <v/>
      </c>
      <c r="F723" s="68" t="s">
        <v>4289</v>
      </c>
      <c r="G723">
        <f>'IPTV CA'!A714</f>
        <v>0</v>
      </c>
      <c r="H723" t="str">
        <f>T('IPTV CA'!B714)</f>
        <v/>
      </c>
      <c r="I723" t="s">
        <v>4290</v>
      </c>
      <c r="J723" t="str">
        <f t="shared" si="94"/>
        <v/>
      </c>
      <c r="K723" t="str">
        <f t="shared" si="96"/>
        <v/>
      </c>
      <c r="L723" s="69"/>
      <c r="M723">
        <f>'TMIS US'!A714</f>
        <v>9580</v>
      </c>
      <c r="N723" t="str">
        <f>T('TMIS US'!B714)</f>
        <v>Game &amp; Fish TV</v>
      </c>
      <c r="O723" t="s">
        <v>4288</v>
      </c>
      <c r="P723" t="str">
        <f t="shared" si="95"/>
        <v/>
      </c>
      <c r="Q723" t="str">
        <f t="shared" si="97"/>
        <v/>
      </c>
      <c r="R723" s="69"/>
      <c r="S723">
        <f>'TMIS CA'!A714</f>
        <v>0</v>
      </c>
      <c r="T723" t="str">
        <f>T('TMIS CA'!B714)</f>
        <v/>
      </c>
      <c r="U723" t="s">
        <v>4290</v>
      </c>
      <c r="V723" t="str">
        <f t="shared" si="99"/>
        <v/>
      </c>
      <c r="W723" t="str">
        <f t="shared" si="98"/>
        <v/>
      </c>
    </row>
    <row r="724" spans="1:23">
      <c r="A724">
        <f>'IPTV US'!A715</f>
        <v>10981</v>
      </c>
      <c r="B724" t="str">
        <f>T('IPTV US'!B715)</f>
        <v>GOLFPASS</v>
      </c>
      <c r="C724" t="s">
        <v>4288</v>
      </c>
      <c r="D724" t="str">
        <f t="shared" si="92"/>
        <v/>
      </c>
      <c r="E724" t="str">
        <f t="shared" si="93"/>
        <v/>
      </c>
      <c r="F724" s="68" t="s">
        <v>4289</v>
      </c>
      <c r="G724">
        <f>'IPTV CA'!A715</f>
        <v>0</v>
      </c>
      <c r="H724" t="str">
        <f>T('IPTV CA'!B715)</f>
        <v/>
      </c>
      <c r="I724" t="s">
        <v>4290</v>
      </c>
      <c r="J724" t="str">
        <f t="shared" si="94"/>
        <v/>
      </c>
      <c r="K724" t="str">
        <f t="shared" si="96"/>
        <v/>
      </c>
      <c r="L724" s="69"/>
      <c r="M724">
        <f>'TMIS US'!A715</f>
        <v>9581</v>
      </c>
      <c r="N724" t="str">
        <f>T('TMIS US'!B715)</f>
        <v>GOLFPASS</v>
      </c>
      <c r="O724" t="s">
        <v>4288</v>
      </c>
      <c r="P724" t="str">
        <f t="shared" si="95"/>
        <v/>
      </c>
      <c r="Q724" t="str">
        <f t="shared" si="97"/>
        <v/>
      </c>
      <c r="R724" s="69"/>
      <c r="S724">
        <f>'TMIS CA'!A715</f>
        <v>0</v>
      </c>
      <c r="T724" t="str">
        <f>T('TMIS CA'!B715)</f>
        <v/>
      </c>
      <c r="U724" t="s">
        <v>4290</v>
      </c>
      <c r="V724" t="str">
        <f t="shared" si="99"/>
        <v/>
      </c>
      <c r="W724" t="str">
        <f t="shared" si="98"/>
        <v/>
      </c>
    </row>
    <row r="725" spans="1:23">
      <c r="A725">
        <f>'IPTV US'!A716</f>
        <v>10982</v>
      </c>
      <c r="B725" t="str">
        <f>T('IPTV US'!B716)</f>
        <v>Court Sports Network</v>
      </c>
      <c r="C725" t="s">
        <v>4288</v>
      </c>
      <c r="D725" t="str">
        <f t="shared" si="92"/>
        <v/>
      </c>
      <c r="E725" t="str">
        <f t="shared" si="93"/>
        <v/>
      </c>
      <c r="F725" s="68" t="s">
        <v>4289</v>
      </c>
      <c r="G725">
        <f>'IPTV CA'!A716</f>
        <v>0</v>
      </c>
      <c r="H725" t="str">
        <f>T('IPTV CA'!B716)</f>
        <v/>
      </c>
      <c r="I725" t="s">
        <v>4290</v>
      </c>
      <c r="J725" t="str">
        <f t="shared" si="94"/>
        <v/>
      </c>
      <c r="K725" t="str">
        <f t="shared" si="96"/>
        <v/>
      </c>
      <c r="L725" s="69"/>
      <c r="M725">
        <f>'TMIS US'!A716</f>
        <v>9582</v>
      </c>
      <c r="N725" t="str">
        <f>T('TMIS US'!B716)</f>
        <v>Court Sports Network</v>
      </c>
      <c r="O725" t="s">
        <v>4288</v>
      </c>
      <c r="P725" t="str">
        <f t="shared" si="95"/>
        <v/>
      </c>
      <c r="Q725" t="str">
        <f t="shared" si="97"/>
        <v/>
      </c>
      <c r="R725" s="69"/>
      <c r="S725">
        <f>'TMIS CA'!A716</f>
        <v>0</v>
      </c>
      <c r="T725" t="str">
        <f>T('TMIS CA'!B716)</f>
        <v/>
      </c>
      <c r="U725" t="s">
        <v>4290</v>
      </c>
      <c r="V725" t="str">
        <f t="shared" si="99"/>
        <v/>
      </c>
      <c r="W725" t="str">
        <f t="shared" si="98"/>
        <v/>
      </c>
    </row>
    <row r="726" spans="1:23">
      <c r="A726">
        <f>'IPTV US'!A717</f>
        <v>10983</v>
      </c>
      <c r="B726" t="str">
        <f>T('IPTV US'!B717)</f>
        <v/>
      </c>
      <c r="C726" t="s">
        <v>4290</v>
      </c>
      <c r="D726" t="str">
        <f t="shared" si="92"/>
        <v/>
      </c>
      <c r="E726" t="str">
        <f t="shared" si="93"/>
        <v/>
      </c>
      <c r="F726" s="68" t="s">
        <v>4289</v>
      </c>
      <c r="G726">
        <f>'IPTV CA'!A717</f>
        <v>0</v>
      </c>
      <c r="H726" t="str">
        <f>T('IPTV CA'!B717)</f>
        <v/>
      </c>
      <c r="I726" t="s">
        <v>4290</v>
      </c>
      <c r="J726" t="str">
        <f t="shared" si="94"/>
        <v/>
      </c>
      <c r="K726" t="str">
        <f t="shared" si="96"/>
        <v/>
      </c>
      <c r="L726" s="69"/>
      <c r="M726">
        <f>'TMIS US'!A717</f>
        <v>9583</v>
      </c>
      <c r="N726" t="str">
        <f>T('TMIS US'!B717)</f>
        <v/>
      </c>
      <c r="O726" t="s">
        <v>4290</v>
      </c>
      <c r="P726" t="str">
        <f t="shared" si="95"/>
        <v/>
      </c>
      <c r="Q726" t="str">
        <f t="shared" si="97"/>
        <v/>
      </c>
      <c r="R726" s="69"/>
      <c r="S726">
        <f>'TMIS CA'!A717</f>
        <v>0</v>
      </c>
      <c r="T726" t="str">
        <f>T('TMIS CA'!B717)</f>
        <v/>
      </c>
      <c r="U726" t="s">
        <v>4290</v>
      </c>
      <c r="V726" t="str">
        <f t="shared" si="99"/>
        <v/>
      </c>
      <c r="W726" t="str">
        <f t="shared" si="98"/>
        <v/>
      </c>
    </row>
    <row r="727" spans="1:23">
      <c r="A727">
        <f>'IPTV US'!A718</f>
        <v>10984</v>
      </c>
      <c r="B727" t="str">
        <f>T('IPTV US'!B718)</f>
        <v/>
      </c>
      <c r="C727" t="s">
        <v>4290</v>
      </c>
      <c r="D727" t="str">
        <f t="shared" si="92"/>
        <v/>
      </c>
      <c r="E727" t="str">
        <f t="shared" si="93"/>
        <v/>
      </c>
      <c r="F727" s="68" t="s">
        <v>4289</v>
      </c>
      <c r="G727">
        <f>'IPTV CA'!A718</f>
        <v>0</v>
      </c>
      <c r="H727" t="str">
        <f>T('IPTV CA'!B718)</f>
        <v/>
      </c>
      <c r="I727" t="s">
        <v>4290</v>
      </c>
      <c r="J727" t="str">
        <f t="shared" si="94"/>
        <v/>
      </c>
      <c r="K727" t="str">
        <f t="shared" si="96"/>
        <v/>
      </c>
      <c r="L727" s="69"/>
      <c r="M727">
        <f>'TMIS US'!A718</f>
        <v>9584</v>
      </c>
      <c r="N727" t="str">
        <f>T('TMIS US'!B718)</f>
        <v/>
      </c>
      <c r="O727" t="s">
        <v>4290</v>
      </c>
      <c r="P727" t="str">
        <f t="shared" si="95"/>
        <v/>
      </c>
      <c r="Q727" t="str">
        <f t="shared" si="97"/>
        <v/>
      </c>
      <c r="R727" s="69"/>
      <c r="S727">
        <f>'TMIS CA'!A718</f>
        <v>0</v>
      </c>
      <c r="T727" t="str">
        <f>T('TMIS CA'!B718)</f>
        <v/>
      </c>
      <c r="U727" t="s">
        <v>4290</v>
      </c>
      <c r="V727" t="str">
        <f t="shared" si="99"/>
        <v/>
      </c>
      <c r="W727" t="str">
        <f t="shared" si="98"/>
        <v/>
      </c>
    </row>
    <row r="728" spans="1:23">
      <c r="A728">
        <f>'IPTV US'!A719</f>
        <v>10985</v>
      </c>
      <c r="B728" t="str">
        <f>T('IPTV US'!B719)</f>
        <v>T2</v>
      </c>
      <c r="C728" t="s">
        <v>4288</v>
      </c>
      <c r="D728" t="str">
        <f t="shared" si="92"/>
        <v/>
      </c>
      <c r="E728" t="str">
        <f t="shared" si="93"/>
        <v/>
      </c>
      <c r="F728" s="68" t="s">
        <v>4289</v>
      </c>
      <c r="G728">
        <f>'IPTV CA'!A719</f>
        <v>0</v>
      </c>
      <c r="H728" t="str">
        <f>T('IPTV CA'!B719)</f>
        <v/>
      </c>
      <c r="I728" t="s">
        <v>4290</v>
      </c>
      <c r="J728" t="str">
        <f t="shared" si="94"/>
        <v/>
      </c>
      <c r="K728" t="str">
        <f t="shared" si="96"/>
        <v/>
      </c>
      <c r="L728" s="69"/>
      <c r="M728">
        <f>'TMIS US'!A719</f>
        <v>9585</v>
      </c>
      <c r="N728" t="str">
        <f>T('TMIS US'!B719)</f>
        <v>T2</v>
      </c>
      <c r="O728" t="s">
        <v>4288</v>
      </c>
      <c r="P728" t="str">
        <f t="shared" si="95"/>
        <v/>
      </c>
      <c r="Q728" t="str">
        <f t="shared" si="97"/>
        <v/>
      </c>
      <c r="R728" s="69"/>
      <c r="S728">
        <f>'TMIS CA'!A719</f>
        <v>0</v>
      </c>
      <c r="T728" t="str">
        <f>T('TMIS CA'!B719)</f>
        <v/>
      </c>
      <c r="U728" t="s">
        <v>4290</v>
      </c>
      <c r="V728" t="str">
        <f t="shared" si="99"/>
        <v/>
      </c>
      <c r="W728" t="str">
        <f t="shared" si="98"/>
        <v/>
      </c>
    </row>
    <row r="729" spans="1:23">
      <c r="A729">
        <f>'IPTV US'!A720</f>
        <v>10986</v>
      </c>
      <c r="B729" t="str">
        <f>T('IPTV US'!B720)</f>
        <v>PickelballTV</v>
      </c>
      <c r="C729" t="s">
        <v>4288</v>
      </c>
      <c r="D729" t="str">
        <f t="shared" si="92"/>
        <v/>
      </c>
      <c r="E729" t="str">
        <f t="shared" si="93"/>
        <v/>
      </c>
      <c r="F729" s="68" t="s">
        <v>4289</v>
      </c>
      <c r="G729">
        <f>'IPTV CA'!A720</f>
        <v>0</v>
      </c>
      <c r="H729" t="str">
        <f>T('IPTV CA'!B720)</f>
        <v/>
      </c>
      <c r="I729" t="s">
        <v>4290</v>
      </c>
      <c r="J729" t="str">
        <f t="shared" si="94"/>
        <v/>
      </c>
      <c r="K729" t="str">
        <f t="shared" si="96"/>
        <v/>
      </c>
      <c r="L729" s="69"/>
      <c r="M729">
        <f>'TMIS US'!A720</f>
        <v>9586</v>
      </c>
      <c r="N729" t="str">
        <f>T('TMIS US'!B720)</f>
        <v>PickelballTV</v>
      </c>
      <c r="O729" t="s">
        <v>4288</v>
      </c>
      <c r="P729" t="str">
        <f t="shared" si="95"/>
        <v/>
      </c>
      <c r="Q729" t="str">
        <f t="shared" si="97"/>
        <v/>
      </c>
      <c r="R729" s="69"/>
      <c r="S729">
        <f>'TMIS CA'!A720</f>
        <v>0</v>
      </c>
      <c r="T729" t="str">
        <f>T('TMIS CA'!B720)</f>
        <v/>
      </c>
      <c r="U729" t="s">
        <v>4290</v>
      </c>
      <c r="V729" t="str">
        <f t="shared" si="99"/>
        <v/>
      </c>
      <c r="W729" t="str">
        <f t="shared" si="98"/>
        <v/>
      </c>
    </row>
    <row r="730" spans="1:23">
      <c r="A730">
        <f>'IPTV US'!A721</f>
        <v>10987</v>
      </c>
      <c r="B730" t="str">
        <f>T('IPTV US'!B721)</f>
        <v>PickleTV</v>
      </c>
      <c r="C730" t="s">
        <v>4288</v>
      </c>
      <c r="D730" t="str">
        <f t="shared" si="92"/>
        <v/>
      </c>
      <c r="E730" t="str">
        <f t="shared" si="93"/>
        <v/>
      </c>
      <c r="F730" s="68" t="s">
        <v>4289</v>
      </c>
      <c r="G730">
        <f>'IPTV CA'!A721</f>
        <v>0</v>
      </c>
      <c r="H730" t="str">
        <f>T('IPTV CA'!B721)</f>
        <v/>
      </c>
      <c r="I730" t="s">
        <v>4290</v>
      </c>
      <c r="J730" t="str">
        <f t="shared" si="94"/>
        <v/>
      </c>
      <c r="K730" t="str">
        <f t="shared" si="96"/>
        <v/>
      </c>
      <c r="L730" s="69"/>
      <c r="M730">
        <f>'TMIS US'!A721</f>
        <v>9587</v>
      </c>
      <c r="N730" t="str">
        <f>T('TMIS US'!B721)</f>
        <v>PickleTV</v>
      </c>
      <c r="O730" t="s">
        <v>4288</v>
      </c>
      <c r="P730" t="str">
        <f t="shared" si="95"/>
        <v/>
      </c>
      <c r="Q730" t="str">
        <f t="shared" si="97"/>
        <v/>
      </c>
      <c r="R730" s="69"/>
      <c r="S730">
        <f>'TMIS CA'!A721</f>
        <v>0</v>
      </c>
      <c r="T730" t="str">
        <f>T('TMIS CA'!B721)</f>
        <v/>
      </c>
      <c r="U730" t="s">
        <v>4290</v>
      </c>
      <c r="V730" t="str">
        <f t="shared" si="99"/>
        <v/>
      </c>
      <c r="W730" t="str">
        <f t="shared" si="98"/>
        <v/>
      </c>
    </row>
    <row r="731" spans="1:23">
      <c r="A731">
        <f>'IPTV US'!A722</f>
        <v>10988</v>
      </c>
      <c r="B731" t="str">
        <f>T('IPTV US'!B722)</f>
        <v>Women's Sports Network</v>
      </c>
      <c r="C731" t="s">
        <v>4288</v>
      </c>
      <c r="D731" t="str">
        <f t="shared" si="92"/>
        <v/>
      </c>
      <c r="E731" t="str">
        <f t="shared" si="93"/>
        <v/>
      </c>
      <c r="F731" s="68" t="s">
        <v>4289</v>
      </c>
      <c r="G731">
        <f>'IPTV CA'!A722</f>
        <v>0</v>
      </c>
      <c r="H731" t="str">
        <f>T('IPTV CA'!B722)</f>
        <v/>
      </c>
      <c r="I731" t="s">
        <v>4290</v>
      </c>
      <c r="J731" t="str">
        <f t="shared" si="94"/>
        <v/>
      </c>
      <c r="K731" t="str">
        <f t="shared" si="96"/>
        <v/>
      </c>
      <c r="L731" s="69"/>
      <c r="M731">
        <f>'TMIS US'!A722</f>
        <v>9588</v>
      </c>
      <c r="N731" t="str">
        <f>T('TMIS US'!B722)</f>
        <v>Women's Sports Network</v>
      </c>
      <c r="O731" t="s">
        <v>4288</v>
      </c>
      <c r="P731" t="str">
        <f t="shared" si="95"/>
        <v/>
      </c>
      <c r="Q731" t="str">
        <f t="shared" si="97"/>
        <v/>
      </c>
      <c r="R731" s="69"/>
      <c r="S731">
        <f>'TMIS CA'!A722</f>
        <v>0</v>
      </c>
      <c r="T731" t="str">
        <f>T('TMIS CA'!B722)</f>
        <v/>
      </c>
      <c r="U731" t="s">
        <v>4290</v>
      </c>
      <c r="V731" t="str">
        <f t="shared" si="99"/>
        <v/>
      </c>
      <c r="W731" t="str">
        <f t="shared" si="98"/>
        <v/>
      </c>
    </row>
    <row r="732" spans="1:23">
      <c r="A732">
        <f>'IPTV US'!A723</f>
        <v>10989</v>
      </c>
      <c r="B732" t="str">
        <f>T('IPTV US'!B723)</f>
        <v/>
      </c>
      <c r="C732" t="s">
        <v>4290</v>
      </c>
      <c r="D732" t="str">
        <f t="shared" si="92"/>
        <v/>
      </c>
      <c r="E732" t="str">
        <f t="shared" si="93"/>
        <v/>
      </c>
      <c r="F732" s="68" t="s">
        <v>4289</v>
      </c>
      <c r="G732">
        <f>'IPTV CA'!A723</f>
        <v>0</v>
      </c>
      <c r="H732" t="str">
        <f>T('IPTV CA'!B723)</f>
        <v/>
      </c>
      <c r="I732" t="s">
        <v>4290</v>
      </c>
      <c r="J732" t="str">
        <f t="shared" si="94"/>
        <v/>
      </c>
      <c r="K732" t="str">
        <f t="shared" si="96"/>
        <v/>
      </c>
      <c r="L732" s="69"/>
      <c r="M732">
        <f>'TMIS US'!A723</f>
        <v>9589</v>
      </c>
      <c r="N732" t="str">
        <f>T('TMIS US'!B723)</f>
        <v/>
      </c>
      <c r="O732" t="s">
        <v>4290</v>
      </c>
      <c r="P732" t="str">
        <f t="shared" si="95"/>
        <v/>
      </c>
      <c r="Q732" t="str">
        <f t="shared" si="97"/>
        <v/>
      </c>
      <c r="R732" s="69"/>
      <c r="S732">
        <f>'TMIS CA'!A723</f>
        <v>0</v>
      </c>
      <c r="T732" t="str">
        <f>T('TMIS CA'!B723)</f>
        <v/>
      </c>
      <c r="U732" t="s">
        <v>4290</v>
      </c>
      <c r="V732" t="str">
        <f t="shared" si="99"/>
        <v/>
      </c>
      <c r="W732" t="str">
        <f t="shared" si="98"/>
        <v/>
      </c>
    </row>
    <row r="733" spans="1:23">
      <c r="A733">
        <f>'IPTV US'!A724</f>
        <v>10990</v>
      </c>
      <c r="B733" t="str">
        <f>T('IPTV US'!B724)</f>
        <v/>
      </c>
      <c r="C733" t="s">
        <v>4290</v>
      </c>
      <c r="D733" t="str">
        <f t="shared" si="92"/>
        <v/>
      </c>
      <c r="E733" t="str">
        <f t="shared" si="93"/>
        <v/>
      </c>
      <c r="F733" s="68" t="s">
        <v>4289</v>
      </c>
      <c r="G733">
        <f>'IPTV CA'!A724</f>
        <v>0</v>
      </c>
      <c r="H733" t="str">
        <f>T('IPTV CA'!B724)</f>
        <v/>
      </c>
      <c r="I733" t="s">
        <v>4290</v>
      </c>
      <c r="J733" t="str">
        <f t="shared" si="94"/>
        <v/>
      </c>
      <c r="K733" t="str">
        <f t="shared" si="96"/>
        <v/>
      </c>
      <c r="L733" s="69"/>
      <c r="M733">
        <f>'TMIS US'!A724</f>
        <v>9590</v>
      </c>
      <c r="N733" t="str">
        <f>T('TMIS US'!B724)</f>
        <v/>
      </c>
      <c r="O733" t="s">
        <v>4290</v>
      </c>
      <c r="P733" t="str">
        <f t="shared" si="95"/>
        <v/>
      </c>
      <c r="Q733" t="str">
        <f t="shared" si="97"/>
        <v/>
      </c>
      <c r="R733" s="69"/>
      <c r="S733">
        <f>'TMIS CA'!A724</f>
        <v>0</v>
      </c>
      <c r="T733" t="str">
        <f>T('TMIS CA'!B724)</f>
        <v/>
      </c>
      <c r="U733" t="s">
        <v>4290</v>
      </c>
      <c r="V733" t="str">
        <f t="shared" si="99"/>
        <v/>
      </c>
      <c r="W733" t="str">
        <f t="shared" si="98"/>
        <v/>
      </c>
    </row>
    <row r="734" spans="1:23">
      <c r="A734">
        <f>'IPTV US'!A725</f>
        <v>10991</v>
      </c>
      <c r="B734" t="str">
        <f>T('IPTV US'!B725)</f>
        <v>Strongman Champions</v>
      </c>
      <c r="C734" t="s">
        <v>4288</v>
      </c>
      <c r="D734" t="str">
        <f t="shared" si="92"/>
        <v/>
      </c>
      <c r="E734" t="str">
        <f t="shared" si="93"/>
        <v/>
      </c>
      <c r="F734" s="68" t="s">
        <v>4289</v>
      </c>
      <c r="G734">
        <f>'IPTV CA'!A725</f>
        <v>0</v>
      </c>
      <c r="H734" t="str">
        <f>T('IPTV CA'!B725)</f>
        <v/>
      </c>
      <c r="I734" t="s">
        <v>4290</v>
      </c>
      <c r="J734" t="str">
        <f t="shared" si="94"/>
        <v/>
      </c>
      <c r="K734" t="str">
        <f t="shared" si="96"/>
        <v/>
      </c>
      <c r="L734" s="69"/>
      <c r="M734">
        <f>'TMIS US'!A725</f>
        <v>9591</v>
      </c>
      <c r="N734" t="str">
        <f>T('TMIS US'!B725)</f>
        <v>Strongman Champions</v>
      </c>
      <c r="O734" t="s">
        <v>4288</v>
      </c>
      <c r="P734" t="str">
        <f t="shared" si="95"/>
        <v/>
      </c>
      <c r="Q734" t="str">
        <f t="shared" si="97"/>
        <v/>
      </c>
      <c r="R734" s="69"/>
      <c r="S734">
        <f>'TMIS CA'!A725</f>
        <v>0</v>
      </c>
      <c r="T734" t="str">
        <f>T('TMIS CA'!B725)</f>
        <v/>
      </c>
      <c r="U734" t="s">
        <v>4290</v>
      </c>
      <c r="V734" t="str">
        <f t="shared" si="99"/>
        <v/>
      </c>
      <c r="W734" t="str">
        <f t="shared" si="98"/>
        <v/>
      </c>
    </row>
    <row r="735" spans="1:23">
      <c r="A735">
        <f>'IPTV US'!A726</f>
        <v>10992</v>
      </c>
      <c r="B735" t="str">
        <f>T('IPTV US'!B726)</f>
        <v>UFC</v>
      </c>
      <c r="C735" t="s">
        <v>4288</v>
      </c>
      <c r="D735" t="str">
        <f t="shared" si="92"/>
        <v/>
      </c>
      <c r="E735" t="str">
        <f t="shared" si="93"/>
        <v/>
      </c>
      <c r="F735" s="68" t="s">
        <v>4289</v>
      </c>
      <c r="G735">
        <f>'IPTV CA'!A726</f>
        <v>0</v>
      </c>
      <c r="H735" t="str">
        <f>T('IPTV CA'!B726)</f>
        <v/>
      </c>
      <c r="I735" t="s">
        <v>4290</v>
      </c>
      <c r="J735" t="str">
        <f t="shared" si="94"/>
        <v/>
      </c>
      <c r="K735" t="str">
        <f t="shared" si="96"/>
        <v/>
      </c>
      <c r="L735" s="69"/>
      <c r="M735">
        <f>'TMIS US'!A726</f>
        <v>9592</v>
      </c>
      <c r="N735" t="str">
        <f>T('TMIS US'!B726)</f>
        <v>UFC</v>
      </c>
      <c r="O735" t="s">
        <v>4288</v>
      </c>
      <c r="P735" t="str">
        <f t="shared" si="95"/>
        <v/>
      </c>
      <c r="Q735" t="str">
        <f t="shared" si="97"/>
        <v/>
      </c>
      <c r="R735" s="69"/>
      <c r="S735">
        <f>'TMIS CA'!A726</f>
        <v>0</v>
      </c>
      <c r="T735" t="str">
        <f>T('TMIS CA'!B726)</f>
        <v/>
      </c>
      <c r="U735" t="s">
        <v>4290</v>
      </c>
      <c r="V735" t="str">
        <f t="shared" si="99"/>
        <v/>
      </c>
      <c r="W735" t="str">
        <f t="shared" si="98"/>
        <v/>
      </c>
    </row>
    <row r="736" spans="1:23">
      <c r="A736">
        <f>'IPTV US'!A727</f>
        <v>10993</v>
      </c>
      <c r="B736" t="str">
        <f>T('IPTV US'!B727)</f>
        <v/>
      </c>
      <c r="C736" t="s">
        <v>4290</v>
      </c>
      <c r="D736" t="str">
        <f t="shared" si="92"/>
        <v/>
      </c>
      <c r="E736" t="str">
        <f t="shared" si="93"/>
        <v/>
      </c>
      <c r="F736" s="68" t="s">
        <v>4289</v>
      </c>
      <c r="G736">
        <f>'IPTV CA'!A727</f>
        <v>0</v>
      </c>
      <c r="H736" t="str">
        <f>T('IPTV CA'!B727)</f>
        <v/>
      </c>
      <c r="I736" t="s">
        <v>4290</v>
      </c>
      <c r="J736" t="str">
        <f t="shared" si="94"/>
        <v/>
      </c>
      <c r="K736" t="str">
        <f t="shared" si="96"/>
        <v/>
      </c>
      <c r="L736" s="69"/>
      <c r="M736">
        <f>'TMIS US'!A727</f>
        <v>9593</v>
      </c>
      <c r="N736" t="str">
        <f>T('TMIS US'!B727)</f>
        <v/>
      </c>
      <c r="O736" t="s">
        <v>4290</v>
      </c>
      <c r="P736" t="str">
        <f t="shared" si="95"/>
        <v/>
      </c>
      <c r="Q736" t="str">
        <f t="shared" si="97"/>
        <v/>
      </c>
      <c r="R736" s="69"/>
      <c r="S736">
        <f>'TMIS CA'!A727</f>
        <v>0</v>
      </c>
      <c r="T736" t="str">
        <f>T('TMIS CA'!B727)</f>
        <v/>
      </c>
      <c r="U736" t="s">
        <v>4290</v>
      </c>
      <c r="V736" t="str">
        <f t="shared" si="99"/>
        <v/>
      </c>
      <c r="W736" t="str">
        <f t="shared" si="98"/>
        <v/>
      </c>
    </row>
    <row r="737" spans="1:23">
      <c r="A737">
        <f>'IPTV US'!A728</f>
        <v>10994</v>
      </c>
      <c r="B737" t="str">
        <f>T('IPTV US'!B728)</f>
        <v/>
      </c>
      <c r="C737" t="s">
        <v>4290</v>
      </c>
      <c r="D737" t="str">
        <f t="shared" si="92"/>
        <v/>
      </c>
      <c r="E737" t="str">
        <f t="shared" si="93"/>
        <v/>
      </c>
      <c r="F737" s="68" t="s">
        <v>4289</v>
      </c>
      <c r="G737">
        <f>'IPTV CA'!A728</f>
        <v>0</v>
      </c>
      <c r="H737" t="str">
        <f>T('IPTV CA'!B728)</f>
        <v/>
      </c>
      <c r="I737" t="s">
        <v>4290</v>
      </c>
      <c r="J737" t="str">
        <f t="shared" si="94"/>
        <v/>
      </c>
      <c r="K737" t="str">
        <f t="shared" si="96"/>
        <v/>
      </c>
      <c r="L737" s="69"/>
      <c r="M737">
        <f>'TMIS US'!A728</f>
        <v>9594</v>
      </c>
      <c r="N737" t="str">
        <f>T('TMIS US'!B728)</f>
        <v/>
      </c>
      <c r="O737" t="s">
        <v>4290</v>
      </c>
      <c r="P737" t="str">
        <f t="shared" si="95"/>
        <v/>
      </c>
      <c r="Q737" t="str">
        <f t="shared" si="97"/>
        <v/>
      </c>
      <c r="R737" s="69"/>
      <c r="S737">
        <f>'TMIS CA'!A728</f>
        <v>0</v>
      </c>
      <c r="T737" t="str">
        <f>T('TMIS CA'!B728)</f>
        <v/>
      </c>
      <c r="U737" t="s">
        <v>4290</v>
      </c>
      <c r="V737" t="str">
        <f t="shared" si="99"/>
        <v/>
      </c>
      <c r="W737" t="str">
        <f t="shared" si="98"/>
        <v/>
      </c>
    </row>
    <row r="738" spans="1:23">
      <c r="A738">
        <f>'IPTV US'!A729</f>
        <v>10995</v>
      </c>
      <c r="B738" t="str">
        <f>T('IPTV US'!B729)</f>
        <v>FUEL TV</v>
      </c>
      <c r="C738" t="s">
        <v>4288</v>
      </c>
      <c r="D738" t="str">
        <f t="shared" si="92"/>
        <v/>
      </c>
      <c r="E738" t="str">
        <f t="shared" si="93"/>
        <v/>
      </c>
      <c r="F738" s="68" t="s">
        <v>4289</v>
      </c>
      <c r="G738">
        <f>'IPTV CA'!A729</f>
        <v>0</v>
      </c>
      <c r="H738" t="str">
        <f>T('IPTV CA'!B729)</f>
        <v/>
      </c>
      <c r="I738" t="s">
        <v>4290</v>
      </c>
      <c r="J738" t="str">
        <f t="shared" si="94"/>
        <v/>
      </c>
      <c r="K738" t="str">
        <f t="shared" si="96"/>
        <v/>
      </c>
      <c r="L738" s="69"/>
      <c r="M738">
        <f>'TMIS US'!A729</f>
        <v>9595</v>
      </c>
      <c r="N738" t="str">
        <f>T('TMIS US'!B729)</f>
        <v>FUEL TV</v>
      </c>
      <c r="O738" t="s">
        <v>4288</v>
      </c>
      <c r="P738" t="str">
        <f t="shared" si="95"/>
        <v/>
      </c>
      <c r="Q738" t="str">
        <f t="shared" si="97"/>
        <v/>
      </c>
      <c r="R738" s="69"/>
      <c r="S738">
        <f>'TMIS CA'!A729</f>
        <v>0</v>
      </c>
      <c r="T738" t="str">
        <f>T('TMIS CA'!B729)</f>
        <v/>
      </c>
      <c r="U738" t="s">
        <v>4290</v>
      </c>
      <c r="V738" t="str">
        <f t="shared" si="99"/>
        <v/>
      </c>
      <c r="W738" t="str">
        <f t="shared" si="98"/>
        <v/>
      </c>
    </row>
    <row r="739" spans="1:23">
      <c r="A739">
        <f>'IPTV US'!A730</f>
        <v>10996</v>
      </c>
      <c r="B739" t="str">
        <f>T('IPTV US'!B730)</f>
        <v>Surfer</v>
      </c>
      <c r="C739" t="s">
        <v>4288</v>
      </c>
      <c r="D739" t="str">
        <f t="shared" si="92"/>
        <v/>
      </c>
      <c r="E739" t="str">
        <f t="shared" si="93"/>
        <v/>
      </c>
      <c r="F739" s="68" t="s">
        <v>4289</v>
      </c>
      <c r="G739">
        <f>'IPTV CA'!A730</f>
        <v>0</v>
      </c>
      <c r="H739" t="str">
        <f>T('IPTV CA'!B730)</f>
        <v/>
      </c>
      <c r="I739" t="s">
        <v>4290</v>
      </c>
      <c r="J739" t="str">
        <f t="shared" si="94"/>
        <v/>
      </c>
      <c r="K739" t="str">
        <f t="shared" si="96"/>
        <v/>
      </c>
      <c r="L739" s="69"/>
      <c r="M739">
        <f>'TMIS US'!A730</f>
        <v>9596</v>
      </c>
      <c r="N739" t="str">
        <f>T('TMIS US'!B730)</f>
        <v>Surfer</v>
      </c>
      <c r="O739" t="s">
        <v>4288</v>
      </c>
      <c r="P739" t="str">
        <f t="shared" si="95"/>
        <v/>
      </c>
      <c r="Q739" t="str">
        <f t="shared" si="97"/>
        <v/>
      </c>
      <c r="R739" s="69"/>
      <c r="S739">
        <f>'TMIS CA'!A730</f>
        <v>0</v>
      </c>
      <c r="T739" t="str">
        <f>T('TMIS CA'!B730)</f>
        <v/>
      </c>
      <c r="U739" t="s">
        <v>4290</v>
      </c>
      <c r="V739" t="str">
        <f t="shared" si="99"/>
        <v/>
      </c>
      <c r="W739" t="str">
        <f t="shared" si="98"/>
        <v/>
      </c>
    </row>
    <row r="740" spans="1:23">
      <c r="A740">
        <f>'IPTV US'!A731</f>
        <v>10997</v>
      </c>
      <c r="B740" t="str">
        <f>T('IPTV US'!B731)</f>
        <v>Surf Now TV</v>
      </c>
      <c r="C740" t="s">
        <v>4288</v>
      </c>
      <c r="D740" t="str">
        <f t="shared" si="92"/>
        <v/>
      </c>
      <c r="E740" t="str">
        <f t="shared" si="93"/>
        <v/>
      </c>
      <c r="F740" s="68" t="s">
        <v>4289</v>
      </c>
      <c r="G740">
        <f>'IPTV CA'!A731</f>
        <v>0</v>
      </c>
      <c r="H740" t="str">
        <f>T('IPTV CA'!B731)</f>
        <v/>
      </c>
      <c r="I740" t="s">
        <v>4290</v>
      </c>
      <c r="J740" t="str">
        <f t="shared" si="94"/>
        <v/>
      </c>
      <c r="K740" t="str">
        <f t="shared" si="96"/>
        <v/>
      </c>
      <c r="L740" s="69"/>
      <c r="M740">
        <f>'TMIS US'!A731</f>
        <v>9597</v>
      </c>
      <c r="N740" t="str">
        <f>T('TMIS US'!B731)</f>
        <v>Surf Now TV</v>
      </c>
      <c r="O740" t="s">
        <v>4288</v>
      </c>
      <c r="P740" t="str">
        <f t="shared" si="95"/>
        <v/>
      </c>
      <c r="Q740" t="str">
        <f t="shared" si="97"/>
        <v/>
      </c>
      <c r="R740" s="69"/>
      <c r="S740">
        <f>'TMIS CA'!A731</f>
        <v>0</v>
      </c>
      <c r="T740" t="str">
        <f>T('TMIS CA'!B731)</f>
        <v/>
      </c>
      <c r="U740" t="s">
        <v>4290</v>
      </c>
      <c r="V740" t="str">
        <f t="shared" si="99"/>
        <v/>
      </c>
      <c r="W740" t="str">
        <f t="shared" si="98"/>
        <v/>
      </c>
    </row>
    <row r="741" spans="1:23">
      <c r="A741">
        <f>'IPTV US'!A732</f>
        <v>10998</v>
      </c>
      <c r="B741" t="str">
        <f>T('IPTV US'!B732)</f>
        <v>Slopes tv</v>
      </c>
      <c r="C741" t="s">
        <v>4288</v>
      </c>
      <c r="D741" t="str">
        <f t="shared" si="92"/>
        <v/>
      </c>
      <c r="E741" t="str">
        <f t="shared" si="93"/>
        <v/>
      </c>
      <c r="F741" s="68" t="s">
        <v>4289</v>
      </c>
      <c r="G741">
        <f>'IPTV CA'!A732</f>
        <v>0</v>
      </c>
      <c r="H741" t="str">
        <f>T('IPTV CA'!B732)</f>
        <v/>
      </c>
      <c r="I741" t="s">
        <v>4290</v>
      </c>
      <c r="J741" t="str">
        <f t="shared" si="94"/>
        <v/>
      </c>
      <c r="K741" t="str">
        <f t="shared" si="96"/>
        <v/>
      </c>
      <c r="L741" s="69"/>
      <c r="M741">
        <f>'TMIS US'!A732</f>
        <v>9598</v>
      </c>
      <c r="N741" t="str">
        <f>T('TMIS US'!B732)</f>
        <v>Slopes tv</v>
      </c>
      <c r="O741" t="s">
        <v>4288</v>
      </c>
      <c r="P741" t="str">
        <f t="shared" si="95"/>
        <v/>
      </c>
      <c r="Q741" t="str">
        <f t="shared" si="97"/>
        <v/>
      </c>
      <c r="R741" s="69"/>
      <c r="S741">
        <f>'TMIS CA'!A732</f>
        <v>0</v>
      </c>
      <c r="T741" t="str">
        <f>T('TMIS CA'!B732)</f>
        <v/>
      </c>
      <c r="U741" t="s">
        <v>4290</v>
      </c>
      <c r="V741" t="str">
        <f t="shared" si="99"/>
        <v/>
      </c>
      <c r="W741" t="str">
        <f t="shared" si="98"/>
        <v/>
      </c>
    </row>
    <row r="742" spans="1:23">
      <c r="A742">
        <f>'IPTV US'!A733</f>
        <v>10999</v>
      </c>
      <c r="B742" t="str">
        <f>T('IPTV US'!B733)</f>
        <v>NESN NATION</v>
      </c>
      <c r="C742" t="s">
        <v>4288</v>
      </c>
      <c r="D742" t="str">
        <f t="shared" si="92"/>
        <v/>
      </c>
      <c r="E742" t="str">
        <f t="shared" si="93"/>
        <v/>
      </c>
      <c r="F742" s="68" t="s">
        <v>4289</v>
      </c>
      <c r="G742">
        <f>'IPTV CA'!A733</f>
        <v>0</v>
      </c>
      <c r="H742" t="str">
        <f>T('IPTV CA'!B733)</f>
        <v/>
      </c>
      <c r="I742" t="s">
        <v>4290</v>
      </c>
      <c r="J742" t="str">
        <f t="shared" si="94"/>
        <v/>
      </c>
      <c r="K742" t="str">
        <f t="shared" si="96"/>
        <v/>
      </c>
      <c r="L742" s="69"/>
      <c r="M742">
        <f>'TMIS US'!A733</f>
        <v>9599</v>
      </c>
      <c r="N742" t="str">
        <f>T('TMIS US'!B733)</f>
        <v>NESN NATION</v>
      </c>
      <c r="O742" t="s">
        <v>4288</v>
      </c>
      <c r="P742" t="str">
        <f t="shared" si="95"/>
        <v/>
      </c>
      <c r="Q742" t="str">
        <f t="shared" si="97"/>
        <v/>
      </c>
      <c r="R742" s="69"/>
      <c r="S742">
        <f>'TMIS CA'!A733</f>
        <v>0</v>
      </c>
      <c r="T742" t="str">
        <f>T('TMIS CA'!B733)</f>
        <v/>
      </c>
      <c r="U742" t="s">
        <v>4290</v>
      </c>
      <c r="V742" t="str">
        <f t="shared" si="99"/>
        <v/>
      </c>
      <c r="W742" t="str">
        <f t="shared" si="98"/>
        <v/>
      </c>
    </row>
    <row r="743" spans="1:23">
      <c r="A743">
        <f>'IPTV US'!A734</f>
        <v>11000</v>
      </c>
      <c r="B743" t="str">
        <f>T('IPTV US'!B734)</f>
        <v>Stadium</v>
      </c>
      <c r="C743" t="s">
        <v>4288</v>
      </c>
      <c r="D743" t="str">
        <f t="shared" si="92"/>
        <v/>
      </c>
      <c r="E743" t="str">
        <f t="shared" si="93"/>
        <v/>
      </c>
      <c r="F743" s="68" t="s">
        <v>4289</v>
      </c>
      <c r="G743">
        <f>'IPTV CA'!A734</f>
        <v>0</v>
      </c>
      <c r="H743" t="str">
        <f>T('IPTV CA'!B734)</f>
        <v/>
      </c>
      <c r="I743" t="s">
        <v>4290</v>
      </c>
      <c r="J743" t="str">
        <f t="shared" si="94"/>
        <v/>
      </c>
      <c r="K743" t="str">
        <f t="shared" si="96"/>
        <v/>
      </c>
      <c r="L743" s="69"/>
      <c r="M743">
        <f>'TMIS US'!A734</f>
        <v>9600</v>
      </c>
      <c r="N743" t="str">
        <f>T('TMIS US'!B734)</f>
        <v>Stadium</v>
      </c>
      <c r="O743" t="s">
        <v>4288</v>
      </c>
      <c r="P743" t="str">
        <f t="shared" si="95"/>
        <v/>
      </c>
      <c r="Q743" t="str">
        <f t="shared" si="97"/>
        <v/>
      </c>
      <c r="R743" s="69"/>
      <c r="S743">
        <f>'TMIS CA'!A734</f>
        <v>0</v>
      </c>
      <c r="T743" t="str">
        <f>T('TMIS CA'!B734)</f>
        <v/>
      </c>
      <c r="U743" t="s">
        <v>4290</v>
      </c>
      <c r="V743" t="str">
        <f t="shared" si="99"/>
        <v/>
      </c>
      <c r="W743" t="str">
        <f t="shared" si="98"/>
        <v/>
      </c>
    </row>
    <row r="744" spans="1:23">
      <c r="A744">
        <f>'IPTV US'!A735</f>
        <v>11001</v>
      </c>
      <c r="B744" t="str">
        <f>T('IPTV US'!B735)</f>
        <v>HBCUGO SPORTS</v>
      </c>
      <c r="C744" t="s">
        <v>4288</v>
      </c>
      <c r="D744" t="str">
        <f t="shared" si="92"/>
        <v/>
      </c>
      <c r="E744" t="str">
        <f t="shared" si="93"/>
        <v/>
      </c>
      <c r="F744" s="68" t="s">
        <v>4289</v>
      </c>
      <c r="G744">
        <f>'IPTV CA'!A735</f>
        <v>0</v>
      </c>
      <c r="H744" t="str">
        <f>T('IPTV CA'!B735)</f>
        <v/>
      </c>
      <c r="I744" t="s">
        <v>4290</v>
      </c>
      <c r="J744" t="str">
        <f t="shared" si="94"/>
        <v/>
      </c>
      <c r="K744" t="str">
        <f t="shared" si="96"/>
        <v/>
      </c>
      <c r="L744" s="69"/>
      <c r="M744">
        <f>'TMIS US'!A735</f>
        <v>9601</v>
      </c>
      <c r="N744" t="str">
        <f>T('TMIS US'!B735)</f>
        <v>HBCUGO SPORTS</v>
      </c>
      <c r="O744" t="s">
        <v>4288</v>
      </c>
      <c r="P744" t="str">
        <f t="shared" si="95"/>
        <v/>
      </c>
      <c r="Q744" t="str">
        <f t="shared" si="97"/>
        <v/>
      </c>
      <c r="R744" s="69"/>
      <c r="S744">
        <f>'TMIS CA'!A735</f>
        <v>0</v>
      </c>
      <c r="T744" t="str">
        <f>T('TMIS CA'!B735)</f>
        <v/>
      </c>
      <c r="U744" t="s">
        <v>4290</v>
      </c>
      <c r="V744" t="str">
        <f t="shared" si="99"/>
        <v/>
      </c>
      <c r="W744" t="str">
        <f t="shared" si="98"/>
        <v/>
      </c>
    </row>
    <row r="745" spans="1:23">
      <c r="A745">
        <f>'IPTV US'!A736</f>
        <v>11002</v>
      </c>
      <c r="B745" t="str">
        <f>T('IPTV US'!B736)</f>
        <v>The Jim Rome Show</v>
      </c>
      <c r="C745" t="s">
        <v>4288</v>
      </c>
      <c r="D745" t="str">
        <f t="shared" si="92"/>
        <v/>
      </c>
      <c r="E745" t="str">
        <f t="shared" si="93"/>
        <v/>
      </c>
      <c r="F745" s="68" t="s">
        <v>4289</v>
      </c>
      <c r="G745">
        <f>'IPTV CA'!A736</f>
        <v>0</v>
      </c>
      <c r="H745" t="str">
        <f>T('IPTV CA'!B736)</f>
        <v/>
      </c>
      <c r="I745" t="s">
        <v>4290</v>
      </c>
      <c r="J745" t="str">
        <f t="shared" si="94"/>
        <v/>
      </c>
      <c r="K745" t="str">
        <f t="shared" si="96"/>
        <v/>
      </c>
      <c r="L745" s="69"/>
      <c r="M745">
        <f>'TMIS US'!A736</f>
        <v>9602</v>
      </c>
      <c r="N745" t="str">
        <f>T('TMIS US'!B736)</f>
        <v>The Jim Rome Show</v>
      </c>
      <c r="O745" t="s">
        <v>4288</v>
      </c>
      <c r="P745" t="str">
        <f t="shared" si="95"/>
        <v/>
      </c>
      <c r="Q745" t="str">
        <f t="shared" si="97"/>
        <v/>
      </c>
      <c r="R745" s="69"/>
      <c r="S745">
        <f>'TMIS CA'!A736</f>
        <v>0</v>
      </c>
      <c r="T745" t="str">
        <f>T('TMIS CA'!B736)</f>
        <v/>
      </c>
      <c r="U745" t="s">
        <v>4290</v>
      </c>
      <c r="V745" t="str">
        <f t="shared" si="99"/>
        <v/>
      </c>
      <c r="W745" t="str">
        <f t="shared" si="98"/>
        <v/>
      </c>
    </row>
    <row r="746" spans="1:23">
      <c r="A746">
        <f>'IPTV US'!A737</f>
        <v>11003</v>
      </c>
      <c r="B746" t="str">
        <f>T('IPTV US'!B737)</f>
        <v>FanDuel TV Extra</v>
      </c>
      <c r="C746" t="s">
        <v>4288</v>
      </c>
      <c r="D746" t="str">
        <f t="shared" si="92"/>
        <v/>
      </c>
      <c r="E746" t="str">
        <f t="shared" si="93"/>
        <v/>
      </c>
      <c r="F746" s="68" t="s">
        <v>4289</v>
      </c>
      <c r="G746">
        <f>'IPTV CA'!A737</f>
        <v>0</v>
      </c>
      <c r="H746" t="str">
        <f>T('IPTV CA'!B737)</f>
        <v/>
      </c>
      <c r="I746" t="s">
        <v>4290</v>
      </c>
      <c r="J746" t="str">
        <f t="shared" si="94"/>
        <v/>
      </c>
      <c r="K746" t="str">
        <f t="shared" si="96"/>
        <v/>
      </c>
      <c r="L746" s="69"/>
      <c r="M746">
        <f>'TMIS US'!A737</f>
        <v>9603</v>
      </c>
      <c r="N746" t="str">
        <f>T('TMIS US'!B737)</f>
        <v>FanDuel TV Extra</v>
      </c>
      <c r="O746" t="s">
        <v>4288</v>
      </c>
      <c r="P746" t="str">
        <f t="shared" si="95"/>
        <v/>
      </c>
      <c r="Q746" t="str">
        <f t="shared" si="97"/>
        <v/>
      </c>
      <c r="R746" s="69"/>
      <c r="S746">
        <f>'TMIS CA'!A737</f>
        <v>0</v>
      </c>
      <c r="T746" t="str">
        <f>T('TMIS CA'!B737)</f>
        <v/>
      </c>
      <c r="U746" t="s">
        <v>4290</v>
      </c>
      <c r="V746" t="str">
        <f t="shared" si="99"/>
        <v/>
      </c>
      <c r="W746" t="str">
        <f t="shared" si="98"/>
        <v/>
      </c>
    </row>
    <row r="747" spans="1:23">
      <c r="A747">
        <f>'IPTV US'!A738</f>
        <v>11004</v>
      </c>
      <c r="B747" t="str">
        <f>T('IPTV US'!B738)</f>
        <v/>
      </c>
      <c r="C747" t="s">
        <v>4290</v>
      </c>
      <c r="D747" t="str">
        <f t="shared" si="92"/>
        <v/>
      </c>
      <c r="E747" t="str">
        <f t="shared" si="93"/>
        <v/>
      </c>
      <c r="F747" s="68" t="s">
        <v>4289</v>
      </c>
      <c r="G747">
        <f>'IPTV CA'!A738</f>
        <v>0</v>
      </c>
      <c r="H747" t="str">
        <f>T('IPTV CA'!B738)</f>
        <v/>
      </c>
      <c r="I747" t="s">
        <v>4290</v>
      </c>
      <c r="J747" t="str">
        <f t="shared" si="94"/>
        <v/>
      </c>
      <c r="K747" t="str">
        <f t="shared" si="96"/>
        <v/>
      </c>
      <c r="L747" s="69"/>
      <c r="M747">
        <f>'TMIS US'!A738</f>
        <v>9604</v>
      </c>
      <c r="N747" t="str">
        <f>T('TMIS US'!B738)</f>
        <v/>
      </c>
      <c r="O747" t="s">
        <v>4290</v>
      </c>
      <c r="P747" t="str">
        <f t="shared" si="95"/>
        <v/>
      </c>
      <c r="Q747" t="str">
        <f t="shared" si="97"/>
        <v/>
      </c>
      <c r="R747" s="69"/>
      <c r="S747">
        <f>'TMIS CA'!A738</f>
        <v>0</v>
      </c>
      <c r="T747" t="str">
        <f>T('TMIS CA'!B738)</f>
        <v/>
      </c>
      <c r="U747" t="s">
        <v>4290</v>
      </c>
      <c r="V747" t="str">
        <f t="shared" si="99"/>
        <v/>
      </c>
      <c r="W747" t="str">
        <f t="shared" si="98"/>
        <v/>
      </c>
    </row>
    <row r="748" spans="1:23">
      <c r="A748">
        <f>'IPTV US'!A739</f>
        <v>11005</v>
      </c>
      <c r="B748" t="str">
        <f>T('IPTV US'!B739)</f>
        <v>SportsGrid</v>
      </c>
      <c r="C748" t="s">
        <v>4288</v>
      </c>
      <c r="D748" t="str">
        <f t="shared" si="92"/>
        <v/>
      </c>
      <c r="E748" t="str">
        <f t="shared" si="93"/>
        <v/>
      </c>
      <c r="F748" s="68" t="s">
        <v>4289</v>
      </c>
      <c r="G748">
        <f>'IPTV CA'!A739</f>
        <v>0</v>
      </c>
      <c r="H748" t="str">
        <f>T('IPTV CA'!B739)</f>
        <v/>
      </c>
      <c r="I748" t="s">
        <v>4290</v>
      </c>
      <c r="J748" t="str">
        <f t="shared" si="94"/>
        <v/>
      </c>
      <c r="K748" t="str">
        <f t="shared" si="96"/>
        <v/>
      </c>
      <c r="L748" s="69"/>
      <c r="M748">
        <f>'TMIS US'!A739</f>
        <v>9605</v>
      </c>
      <c r="N748" t="str">
        <f>T('TMIS US'!B739)</f>
        <v>SportsGrid</v>
      </c>
      <c r="O748" t="s">
        <v>4288</v>
      </c>
      <c r="P748" t="str">
        <f t="shared" si="95"/>
        <v/>
      </c>
      <c r="Q748" t="str">
        <f t="shared" si="97"/>
        <v/>
      </c>
      <c r="R748" s="69"/>
      <c r="S748">
        <f>'TMIS CA'!A739</f>
        <v>0</v>
      </c>
      <c r="T748" t="str">
        <f>T('TMIS CA'!B739)</f>
        <v/>
      </c>
      <c r="U748" t="s">
        <v>4290</v>
      </c>
      <c r="V748" t="str">
        <f t="shared" si="99"/>
        <v/>
      </c>
      <c r="W748" t="str">
        <f t="shared" si="98"/>
        <v/>
      </c>
    </row>
    <row r="749" spans="1:23">
      <c r="A749">
        <f>'IPTV US'!A740</f>
        <v>11006</v>
      </c>
      <c r="B749" t="str">
        <f>T('IPTV US'!B740)</f>
        <v>ACCDN</v>
      </c>
      <c r="C749" t="s">
        <v>4288</v>
      </c>
      <c r="D749" t="str">
        <f t="shared" si="92"/>
        <v/>
      </c>
      <c r="E749" t="str">
        <f t="shared" si="93"/>
        <v/>
      </c>
      <c r="F749" s="68" t="s">
        <v>4289</v>
      </c>
      <c r="G749">
        <f>'IPTV CA'!A740</f>
        <v>0</v>
      </c>
      <c r="H749" t="str">
        <f>T('IPTV CA'!B740)</f>
        <v/>
      </c>
      <c r="I749" t="s">
        <v>4290</v>
      </c>
      <c r="J749" t="str">
        <f t="shared" si="94"/>
        <v/>
      </c>
      <c r="K749" t="str">
        <f t="shared" si="96"/>
        <v/>
      </c>
      <c r="L749" s="69"/>
      <c r="M749">
        <f>'TMIS US'!A740</f>
        <v>9606</v>
      </c>
      <c r="N749" t="str">
        <f>T('TMIS US'!B740)</f>
        <v>ACCDN</v>
      </c>
      <c r="O749" t="s">
        <v>4288</v>
      </c>
      <c r="P749" t="str">
        <f t="shared" si="95"/>
        <v/>
      </c>
      <c r="Q749" t="str">
        <f t="shared" si="97"/>
        <v/>
      </c>
      <c r="R749" s="69"/>
      <c r="S749">
        <f>'TMIS CA'!A740</f>
        <v>0</v>
      </c>
      <c r="T749" t="str">
        <f>T('TMIS CA'!B740)</f>
        <v/>
      </c>
      <c r="U749" t="s">
        <v>4290</v>
      </c>
      <c r="V749" t="str">
        <f t="shared" si="99"/>
        <v/>
      </c>
      <c r="W749" t="str">
        <f t="shared" si="98"/>
        <v/>
      </c>
    </row>
    <row r="750" spans="1:23">
      <c r="A750">
        <f>'IPTV US'!A741</f>
        <v>11007</v>
      </c>
      <c r="B750" t="str">
        <f>T('IPTV US'!B741)</f>
        <v/>
      </c>
      <c r="C750" t="s">
        <v>4290</v>
      </c>
      <c r="D750" t="str">
        <f t="shared" si="92"/>
        <v/>
      </c>
      <c r="E750" t="str">
        <f t="shared" si="93"/>
        <v/>
      </c>
      <c r="F750" s="68" t="s">
        <v>4289</v>
      </c>
      <c r="G750">
        <f>'IPTV CA'!A741</f>
        <v>0</v>
      </c>
      <c r="H750" t="str">
        <f>T('IPTV CA'!B741)</f>
        <v/>
      </c>
      <c r="I750" t="s">
        <v>4290</v>
      </c>
      <c r="J750" t="str">
        <f t="shared" si="94"/>
        <v/>
      </c>
      <c r="K750" t="str">
        <f t="shared" si="96"/>
        <v/>
      </c>
      <c r="L750" s="69"/>
      <c r="M750">
        <f>'TMIS US'!A741</f>
        <v>9607</v>
      </c>
      <c r="N750" t="str">
        <f>T('TMIS US'!B741)</f>
        <v/>
      </c>
      <c r="O750" t="s">
        <v>4290</v>
      </c>
      <c r="P750" t="str">
        <f t="shared" si="95"/>
        <v/>
      </c>
      <c r="Q750" t="str">
        <f t="shared" si="97"/>
        <v/>
      </c>
      <c r="R750" s="69"/>
      <c r="S750">
        <f>'TMIS CA'!A741</f>
        <v>0</v>
      </c>
      <c r="T750" t="str">
        <f>T('TMIS CA'!B741)</f>
        <v/>
      </c>
      <c r="U750" t="s">
        <v>4290</v>
      </c>
      <c r="V750" t="str">
        <f t="shared" si="99"/>
        <v/>
      </c>
      <c r="W750" t="str">
        <f t="shared" si="98"/>
        <v/>
      </c>
    </row>
    <row r="751" spans="1:23">
      <c r="A751">
        <f>'IPTV US'!A742</f>
        <v>11008</v>
      </c>
      <c r="B751" t="str">
        <f>T('IPTV US'!B742)</f>
        <v/>
      </c>
      <c r="C751" t="s">
        <v>4290</v>
      </c>
      <c r="D751" t="str">
        <f t="shared" si="92"/>
        <v/>
      </c>
      <c r="E751" t="str">
        <f t="shared" si="93"/>
        <v/>
      </c>
      <c r="F751" s="68" t="s">
        <v>4289</v>
      </c>
      <c r="G751">
        <f>'IPTV CA'!A742</f>
        <v>0</v>
      </c>
      <c r="H751" t="str">
        <f>T('IPTV CA'!B742)</f>
        <v/>
      </c>
      <c r="I751" t="s">
        <v>4290</v>
      </c>
      <c r="J751" t="str">
        <f t="shared" si="94"/>
        <v/>
      </c>
      <c r="K751" t="str">
        <f t="shared" si="96"/>
        <v/>
      </c>
      <c r="L751" s="69"/>
      <c r="M751">
        <f>'TMIS US'!A742</f>
        <v>9608</v>
      </c>
      <c r="N751" t="str">
        <f>T('TMIS US'!B742)</f>
        <v/>
      </c>
      <c r="O751" t="s">
        <v>4290</v>
      </c>
      <c r="P751" t="str">
        <f t="shared" si="95"/>
        <v/>
      </c>
      <c r="Q751" t="str">
        <f t="shared" si="97"/>
        <v/>
      </c>
      <c r="R751" s="69"/>
      <c r="S751">
        <f>'TMIS CA'!A742</f>
        <v>0</v>
      </c>
      <c r="T751" t="str">
        <f>T('TMIS CA'!B742)</f>
        <v/>
      </c>
      <c r="U751" t="s">
        <v>4290</v>
      </c>
      <c r="V751" t="str">
        <f t="shared" si="99"/>
        <v/>
      </c>
      <c r="W751" t="str">
        <f t="shared" si="98"/>
        <v/>
      </c>
    </row>
    <row r="752" spans="1:23">
      <c r="A752">
        <f>'IPTV US'!A743</f>
        <v>11009</v>
      </c>
      <c r="B752" t="str">
        <f>T('IPTV US'!B743)</f>
        <v>Dungeons &amp; Dragons Adventures</v>
      </c>
      <c r="C752" t="s">
        <v>4288</v>
      </c>
      <c r="D752" t="str">
        <f t="shared" si="92"/>
        <v/>
      </c>
      <c r="E752" t="str">
        <f t="shared" si="93"/>
        <v/>
      </c>
      <c r="F752" s="68" t="s">
        <v>4289</v>
      </c>
      <c r="G752">
        <f>'IPTV CA'!A743</f>
        <v>0</v>
      </c>
      <c r="H752" t="str">
        <f>T('IPTV CA'!B743)</f>
        <v/>
      </c>
      <c r="I752" t="s">
        <v>4290</v>
      </c>
      <c r="J752" t="str">
        <f t="shared" si="94"/>
        <v/>
      </c>
      <c r="K752" t="str">
        <f t="shared" si="96"/>
        <v/>
      </c>
      <c r="L752" s="69"/>
      <c r="M752">
        <f>'TMIS US'!A743</f>
        <v>9609</v>
      </c>
      <c r="N752" t="str">
        <f>T('TMIS US'!B743)</f>
        <v>Dungeons &amp; Dragons Adventures</v>
      </c>
      <c r="O752" t="s">
        <v>4288</v>
      </c>
      <c r="P752" t="str">
        <f t="shared" si="95"/>
        <v/>
      </c>
      <c r="Q752" t="str">
        <f t="shared" si="97"/>
        <v/>
      </c>
      <c r="R752" s="69"/>
      <c r="S752">
        <f>'TMIS CA'!A743</f>
        <v>0</v>
      </c>
      <c r="T752" t="str">
        <f>T('TMIS CA'!B743)</f>
        <v/>
      </c>
      <c r="U752" t="s">
        <v>4290</v>
      </c>
      <c r="V752" t="str">
        <f t="shared" si="99"/>
        <v/>
      </c>
      <c r="W752" t="str">
        <f t="shared" si="98"/>
        <v/>
      </c>
    </row>
    <row r="753" spans="1:23">
      <c r="A753">
        <f>'IPTV US'!A744</f>
        <v>11010</v>
      </c>
      <c r="B753" t="str">
        <f>T('IPTV US'!B744)</f>
        <v/>
      </c>
      <c r="C753" t="s">
        <v>4290</v>
      </c>
      <c r="D753" t="str">
        <f t="shared" si="92"/>
        <v/>
      </c>
      <c r="E753" t="str">
        <f t="shared" si="93"/>
        <v/>
      </c>
      <c r="F753" s="68" t="s">
        <v>4289</v>
      </c>
      <c r="G753">
        <f>'IPTV CA'!A744</f>
        <v>0</v>
      </c>
      <c r="H753" t="str">
        <f>T('IPTV CA'!B744)</f>
        <v/>
      </c>
      <c r="I753" t="s">
        <v>4290</v>
      </c>
      <c r="J753" t="str">
        <f t="shared" si="94"/>
        <v/>
      </c>
      <c r="K753" t="str">
        <f t="shared" si="96"/>
        <v/>
      </c>
      <c r="L753" s="69"/>
      <c r="M753">
        <f>'TMIS US'!A744</f>
        <v>9610</v>
      </c>
      <c r="N753" t="str">
        <f>T('TMIS US'!B744)</f>
        <v/>
      </c>
      <c r="O753" t="s">
        <v>4290</v>
      </c>
      <c r="P753" t="str">
        <f t="shared" si="95"/>
        <v/>
      </c>
      <c r="Q753" t="str">
        <f t="shared" si="97"/>
        <v/>
      </c>
      <c r="R753" s="69"/>
      <c r="S753">
        <f>'TMIS CA'!A744</f>
        <v>0</v>
      </c>
      <c r="T753" t="str">
        <f>T('TMIS CA'!B744)</f>
        <v/>
      </c>
      <c r="U753" t="s">
        <v>4290</v>
      </c>
      <c r="V753" t="str">
        <f t="shared" si="99"/>
        <v/>
      </c>
      <c r="W753" t="str">
        <f t="shared" si="98"/>
        <v/>
      </c>
    </row>
    <row r="754" spans="1:23">
      <c r="A754">
        <f>'IPTV US'!A745</f>
        <v>11011</v>
      </c>
      <c r="B754" t="str">
        <f>T('IPTV US'!B745)</f>
        <v/>
      </c>
      <c r="C754" t="s">
        <v>4290</v>
      </c>
      <c r="D754" t="str">
        <f t="shared" si="92"/>
        <v/>
      </c>
      <c r="E754" t="str">
        <f t="shared" si="93"/>
        <v/>
      </c>
      <c r="F754" s="68" t="s">
        <v>4289</v>
      </c>
      <c r="G754">
        <f>'IPTV CA'!A745</f>
        <v>0</v>
      </c>
      <c r="H754" t="str">
        <f>T('IPTV CA'!B745)</f>
        <v/>
      </c>
      <c r="I754" t="s">
        <v>4290</v>
      </c>
      <c r="J754" t="str">
        <f t="shared" si="94"/>
        <v/>
      </c>
      <c r="K754" t="str">
        <f t="shared" si="96"/>
        <v/>
      </c>
      <c r="L754" s="69"/>
      <c r="M754">
        <f>'TMIS US'!A745</f>
        <v>9611</v>
      </c>
      <c r="N754" t="str">
        <f>T('TMIS US'!B745)</f>
        <v/>
      </c>
      <c r="O754" t="s">
        <v>4290</v>
      </c>
      <c r="P754" t="str">
        <f t="shared" si="95"/>
        <v/>
      </c>
      <c r="Q754" t="str">
        <f t="shared" si="97"/>
        <v/>
      </c>
      <c r="R754" s="69"/>
      <c r="S754">
        <f>'TMIS CA'!A745</f>
        <v>0</v>
      </c>
      <c r="T754" t="str">
        <f>T('TMIS CA'!B745)</f>
        <v/>
      </c>
      <c r="U754" t="s">
        <v>4290</v>
      </c>
      <c r="V754" t="str">
        <f t="shared" si="99"/>
        <v/>
      </c>
      <c r="W754" t="str">
        <f t="shared" si="98"/>
        <v/>
      </c>
    </row>
    <row r="755" spans="1:23">
      <c r="A755">
        <f>'IPTV US'!A746</f>
        <v>11012</v>
      </c>
      <c r="B755" t="str">
        <f>T('IPTV US'!B746)</f>
        <v>RetroCrush</v>
      </c>
      <c r="C755" t="s">
        <v>4288</v>
      </c>
      <c r="D755" t="str">
        <f t="shared" si="92"/>
        <v/>
      </c>
      <c r="E755" t="str">
        <f t="shared" si="93"/>
        <v/>
      </c>
      <c r="F755" s="68" t="s">
        <v>4289</v>
      </c>
      <c r="G755">
        <f>'IPTV CA'!A746</f>
        <v>0</v>
      </c>
      <c r="H755" t="str">
        <f>T('IPTV CA'!B746)</f>
        <v/>
      </c>
      <c r="I755" t="s">
        <v>4290</v>
      </c>
      <c r="J755" t="str">
        <f t="shared" si="94"/>
        <v/>
      </c>
      <c r="K755" t="str">
        <f t="shared" si="96"/>
        <v/>
      </c>
      <c r="L755" s="69"/>
      <c r="M755">
        <f>'TMIS US'!A746</f>
        <v>9612</v>
      </c>
      <c r="N755" t="str">
        <f>T('TMIS US'!B746)</f>
        <v>RetroCrush</v>
      </c>
      <c r="O755" t="s">
        <v>4288</v>
      </c>
      <c r="P755" t="str">
        <f t="shared" si="95"/>
        <v/>
      </c>
      <c r="Q755" t="str">
        <f t="shared" si="97"/>
        <v/>
      </c>
      <c r="R755" s="69"/>
      <c r="S755">
        <f>'TMIS CA'!A746</f>
        <v>0</v>
      </c>
      <c r="T755" t="str">
        <f>T('TMIS CA'!B746)</f>
        <v/>
      </c>
      <c r="U755" t="s">
        <v>4290</v>
      </c>
      <c r="V755" t="str">
        <f t="shared" si="99"/>
        <v/>
      </c>
      <c r="W755" t="str">
        <f t="shared" si="98"/>
        <v/>
      </c>
    </row>
    <row r="756" spans="1:23">
      <c r="A756">
        <f>'IPTV US'!A747</f>
        <v>11013</v>
      </c>
      <c r="B756" t="str">
        <f>T('IPTV US'!B747)</f>
        <v/>
      </c>
      <c r="C756" t="s">
        <v>4290</v>
      </c>
      <c r="D756" t="str">
        <f t="shared" si="92"/>
        <v/>
      </c>
      <c r="E756" t="str">
        <f t="shared" si="93"/>
        <v/>
      </c>
      <c r="F756" s="68" t="s">
        <v>4289</v>
      </c>
      <c r="G756">
        <f>'IPTV CA'!A747</f>
        <v>0</v>
      </c>
      <c r="H756" t="str">
        <f>T('IPTV CA'!B747)</f>
        <v/>
      </c>
      <c r="I756" t="s">
        <v>4290</v>
      </c>
      <c r="J756" t="str">
        <f t="shared" si="94"/>
        <v/>
      </c>
      <c r="K756" t="str">
        <f t="shared" si="96"/>
        <v/>
      </c>
      <c r="L756" s="69"/>
      <c r="M756">
        <f>'TMIS US'!A747</f>
        <v>9613</v>
      </c>
      <c r="N756" t="str">
        <f>T('TMIS US'!B747)</f>
        <v/>
      </c>
      <c r="O756" t="s">
        <v>4290</v>
      </c>
      <c r="P756" t="str">
        <f t="shared" si="95"/>
        <v/>
      </c>
      <c r="Q756" t="str">
        <f t="shared" si="97"/>
        <v/>
      </c>
      <c r="R756" s="69"/>
      <c r="S756">
        <f>'TMIS CA'!A747</f>
        <v>0</v>
      </c>
      <c r="T756" t="str">
        <f>T('TMIS CA'!B747)</f>
        <v/>
      </c>
      <c r="U756" t="s">
        <v>4290</v>
      </c>
      <c r="V756" t="str">
        <f t="shared" si="99"/>
        <v/>
      </c>
      <c r="W756" t="str">
        <f t="shared" si="98"/>
        <v/>
      </c>
    </row>
    <row r="757" spans="1:23">
      <c r="A757">
        <f>'IPTV US'!A748</f>
        <v>11014</v>
      </c>
      <c r="B757" t="str">
        <f>T('IPTV US'!B748)</f>
        <v/>
      </c>
      <c r="C757" t="s">
        <v>4290</v>
      </c>
      <c r="D757" t="str">
        <f t="shared" si="92"/>
        <v/>
      </c>
      <c r="E757" t="str">
        <f t="shared" si="93"/>
        <v/>
      </c>
      <c r="F757" s="68" t="s">
        <v>4289</v>
      </c>
      <c r="G757">
        <f>'IPTV CA'!A748</f>
        <v>0</v>
      </c>
      <c r="H757" t="str">
        <f>T('IPTV CA'!B748)</f>
        <v/>
      </c>
      <c r="I757" t="s">
        <v>4290</v>
      </c>
      <c r="J757" t="str">
        <f t="shared" si="94"/>
        <v/>
      </c>
      <c r="K757" t="str">
        <f t="shared" si="96"/>
        <v/>
      </c>
      <c r="L757" s="69"/>
      <c r="M757">
        <f>'TMIS US'!A748</f>
        <v>9614</v>
      </c>
      <c r="N757" t="str">
        <f>T('TMIS US'!B748)</f>
        <v/>
      </c>
      <c r="O757" t="s">
        <v>4290</v>
      </c>
      <c r="P757" t="str">
        <f t="shared" si="95"/>
        <v/>
      </c>
      <c r="Q757" t="str">
        <f t="shared" si="97"/>
        <v/>
      </c>
      <c r="R757" s="69"/>
      <c r="S757">
        <f>'TMIS CA'!A748</f>
        <v>0</v>
      </c>
      <c r="T757" t="str">
        <f>T('TMIS CA'!B748)</f>
        <v/>
      </c>
      <c r="U757" t="s">
        <v>4290</v>
      </c>
      <c r="V757" t="str">
        <f t="shared" si="99"/>
        <v/>
      </c>
      <c r="W757" t="str">
        <f t="shared" si="98"/>
        <v/>
      </c>
    </row>
    <row r="758" spans="1:23">
      <c r="A758">
        <f>'IPTV US'!A749</f>
        <v>11015</v>
      </c>
      <c r="B758" t="str">
        <f>T('IPTV US'!B749)</f>
        <v>FilmRise Anime</v>
      </c>
      <c r="C758" t="s">
        <v>4288</v>
      </c>
      <c r="D758" t="str">
        <f t="shared" si="92"/>
        <v/>
      </c>
      <c r="E758" t="str">
        <f t="shared" si="93"/>
        <v/>
      </c>
      <c r="F758" s="68" t="s">
        <v>4289</v>
      </c>
      <c r="G758">
        <f>'IPTV CA'!A749</f>
        <v>0</v>
      </c>
      <c r="H758" t="str">
        <f>T('IPTV CA'!B749)</f>
        <v/>
      </c>
      <c r="I758" t="s">
        <v>4290</v>
      </c>
      <c r="J758" t="str">
        <f t="shared" si="94"/>
        <v/>
      </c>
      <c r="K758" t="str">
        <f t="shared" si="96"/>
        <v/>
      </c>
      <c r="L758" s="69"/>
      <c r="M758">
        <f>'TMIS US'!A749</f>
        <v>9615</v>
      </c>
      <c r="N758" t="str">
        <f>T('TMIS US'!B749)</f>
        <v>FilmRise Anime</v>
      </c>
      <c r="O758" t="s">
        <v>4288</v>
      </c>
      <c r="P758" t="str">
        <f t="shared" si="95"/>
        <v/>
      </c>
      <c r="Q758" t="str">
        <f t="shared" si="97"/>
        <v/>
      </c>
      <c r="R758" s="69"/>
      <c r="S758">
        <f>'TMIS CA'!A749</f>
        <v>0</v>
      </c>
      <c r="T758" t="str">
        <f>T('TMIS CA'!B749)</f>
        <v/>
      </c>
      <c r="U758" t="s">
        <v>4290</v>
      </c>
      <c r="V758" t="str">
        <f t="shared" si="99"/>
        <v/>
      </c>
      <c r="W758" t="str">
        <f t="shared" si="98"/>
        <v/>
      </c>
    </row>
    <row r="759" spans="1:23">
      <c r="A759">
        <f>'IPTV US'!A750</f>
        <v>11016</v>
      </c>
      <c r="B759" t="str">
        <f>T('IPTV US'!B750)</f>
        <v>FilmRise Kids</v>
      </c>
      <c r="C759" t="s">
        <v>4288</v>
      </c>
      <c r="D759" t="str">
        <f t="shared" si="92"/>
        <v/>
      </c>
      <c r="E759" t="str">
        <f t="shared" si="93"/>
        <v/>
      </c>
      <c r="F759" s="68" t="s">
        <v>4289</v>
      </c>
      <c r="G759">
        <f>'IPTV CA'!A750</f>
        <v>0</v>
      </c>
      <c r="H759" t="str">
        <f>T('IPTV CA'!B750)</f>
        <v/>
      </c>
      <c r="I759" t="s">
        <v>4290</v>
      </c>
      <c r="J759" t="str">
        <f t="shared" si="94"/>
        <v/>
      </c>
      <c r="K759" t="str">
        <f t="shared" si="96"/>
        <v/>
      </c>
      <c r="L759" s="69"/>
      <c r="M759">
        <f>'TMIS US'!A750</f>
        <v>9616</v>
      </c>
      <c r="N759" t="str">
        <f>T('TMIS US'!B750)</f>
        <v>FilmRise Kids</v>
      </c>
      <c r="O759" t="s">
        <v>4288</v>
      </c>
      <c r="P759" t="str">
        <f t="shared" si="95"/>
        <v/>
      </c>
      <c r="Q759" t="str">
        <f t="shared" si="97"/>
        <v/>
      </c>
      <c r="R759" s="69"/>
      <c r="S759">
        <f>'TMIS CA'!A750</f>
        <v>0</v>
      </c>
      <c r="T759" t="str">
        <f>T('TMIS CA'!B750)</f>
        <v/>
      </c>
      <c r="U759" t="s">
        <v>4290</v>
      </c>
      <c r="V759" t="str">
        <f t="shared" si="99"/>
        <v/>
      </c>
      <c r="W759" t="str">
        <f t="shared" si="98"/>
        <v/>
      </c>
    </row>
    <row r="760" spans="1:23">
      <c r="A760">
        <f>'IPTV US'!A751</f>
        <v>11017</v>
      </c>
      <c r="B760" t="str">
        <f>T('IPTV US'!B751)</f>
        <v>PBS Retro</v>
      </c>
      <c r="C760" t="s">
        <v>4288</v>
      </c>
      <c r="D760" t="str">
        <f t="shared" si="92"/>
        <v/>
      </c>
      <c r="E760" t="str">
        <f t="shared" si="93"/>
        <v/>
      </c>
      <c r="F760" s="68" t="s">
        <v>4289</v>
      </c>
      <c r="G760">
        <f>'IPTV CA'!A751</f>
        <v>0</v>
      </c>
      <c r="H760" t="str">
        <f>T('IPTV CA'!B751)</f>
        <v/>
      </c>
      <c r="I760" t="s">
        <v>4290</v>
      </c>
      <c r="J760" t="str">
        <f t="shared" si="94"/>
        <v/>
      </c>
      <c r="K760" t="str">
        <f t="shared" si="96"/>
        <v/>
      </c>
      <c r="L760" s="69"/>
      <c r="M760">
        <f>'TMIS US'!A751</f>
        <v>9617</v>
      </c>
      <c r="N760" t="str">
        <f>T('TMIS US'!B751)</f>
        <v>PBS Retro</v>
      </c>
      <c r="O760" t="s">
        <v>4288</v>
      </c>
      <c r="P760" t="str">
        <f t="shared" si="95"/>
        <v/>
      </c>
      <c r="Q760" t="str">
        <f t="shared" si="97"/>
        <v/>
      </c>
      <c r="R760" s="69"/>
      <c r="S760">
        <f>'TMIS CA'!A751</f>
        <v>0</v>
      </c>
      <c r="T760" t="str">
        <f>T('TMIS CA'!B751)</f>
        <v/>
      </c>
      <c r="U760" t="s">
        <v>4290</v>
      </c>
      <c r="V760" t="str">
        <f t="shared" si="99"/>
        <v/>
      </c>
      <c r="W760" t="str">
        <f t="shared" si="98"/>
        <v/>
      </c>
    </row>
    <row r="761" spans="1:23">
      <c r="A761">
        <f>'IPTV US'!A752</f>
        <v>11018</v>
      </c>
      <c r="B761" t="str">
        <f>T('IPTV US'!B752)</f>
        <v/>
      </c>
      <c r="C761" t="s">
        <v>4290</v>
      </c>
      <c r="D761" t="str">
        <f t="shared" si="92"/>
        <v/>
      </c>
      <c r="E761" t="str">
        <f t="shared" si="93"/>
        <v/>
      </c>
      <c r="F761" s="68" t="s">
        <v>4289</v>
      </c>
      <c r="G761">
        <f>'IPTV CA'!A752</f>
        <v>0</v>
      </c>
      <c r="H761" t="str">
        <f>T('IPTV CA'!B752)</f>
        <v/>
      </c>
      <c r="I761" t="s">
        <v>4290</v>
      </c>
      <c r="J761" t="str">
        <f t="shared" si="94"/>
        <v/>
      </c>
      <c r="K761" t="str">
        <f t="shared" si="96"/>
        <v/>
      </c>
      <c r="L761" s="69"/>
      <c r="M761">
        <f>'TMIS US'!A752</f>
        <v>9618</v>
      </c>
      <c r="N761" t="str">
        <f>T('TMIS US'!B752)</f>
        <v/>
      </c>
      <c r="O761" t="s">
        <v>4290</v>
      </c>
      <c r="P761" t="str">
        <f t="shared" si="95"/>
        <v/>
      </c>
      <c r="Q761" t="str">
        <f t="shared" si="97"/>
        <v/>
      </c>
      <c r="R761" s="69"/>
      <c r="S761">
        <f>'TMIS CA'!A752</f>
        <v>0</v>
      </c>
      <c r="T761" t="str">
        <f>T('TMIS CA'!B752)</f>
        <v/>
      </c>
      <c r="U761" t="s">
        <v>4290</v>
      </c>
      <c r="V761" t="str">
        <f t="shared" si="99"/>
        <v/>
      </c>
      <c r="W761" t="str">
        <f t="shared" si="98"/>
        <v/>
      </c>
    </row>
    <row r="762" spans="1:23">
      <c r="A762">
        <f>'IPTV US'!A753</f>
        <v>11019</v>
      </c>
      <c r="B762" t="str">
        <f>T('IPTV US'!B753)</f>
        <v/>
      </c>
      <c r="C762" t="s">
        <v>4290</v>
      </c>
      <c r="D762" t="str">
        <f t="shared" si="92"/>
        <v/>
      </c>
      <c r="E762" t="str">
        <f t="shared" si="93"/>
        <v/>
      </c>
      <c r="F762" s="68" t="s">
        <v>4289</v>
      </c>
      <c r="G762">
        <f>'IPTV CA'!A753</f>
        <v>0</v>
      </c>
      <c r="H762" t="str">
        <f>T('IPTV CA'!B753)</f>
        <v/>
      </c>
      <c r="I762" t="s">
        <v>4290</v>
      </c>
      <c r="J762" t="str">
        <f t="shared" si="94"/>
        <v/>
      </c>
      <c r="K762" t="str">
        <f t="shared" si="96"/>
        <v/>
      </c>
      <c r="L762" s="69"/>
      <c r="M762">
        <f>'TMIS US'!A753</f>
        <v>9619</v>
      </c>
      <c r="N762" t="str">
        <f>T('TMIS US'!B753)</f>
        <v/>
      </c>
      <c r="O762" t="s">
        <v>4290</v>
      </c>
      <c r="P762" t="str">
        <f t="shared" si="95"/>
        <v/>
      </c>
      <c r="Q762" t="str">
        <f t="shared" si="97"/>
        <v/>
      </c>
      <c r="R762" s="69"/>
      <c r="S762">
        <f>'TMIS CA'!A753</f>
        <v>0</v>
      </c>
      <c r="T762" t="str">
        <f>T('TMIS CA'!B753)</f>
        <v/>
      </c>
      <c r="U762" t="s">
        <v>4290</v>
      </c>
      <c r="V762" t="str">
        <f t="shared" si="99"/>
        <v/>
      </c>
      <c r="W762" t="str">
        <f t="shared" si="98"/>
        <v/>
      </c>
    </row>
    <row r="763" spans="1:23">
      <c r="A763">
        <f>'IPTV US'!A754</f>
        <v>11020</v>
      </c>
      <c r="B763" t="str">
        <f>T('IPTV US'!B754)</f>
        <v>Mattel Jr.</v>
      </c>
      <c r="C763" t="s">
        <v>4288</v>
      </c>
      <c r="D763" t="str">
        <f t="shared" si="92"/>
        <v/>
      </c>
      <c r="E763" t="str">
        <f t="shared" si="93"/>
        <v/>
      </c>
      <c r="F763" s="68" t="s">
        <v>4289</v>
      </c>
      <c r="G763">
        <f>'IPTV CA'!A754</f>
        <v>0</v>
      </c>
      <c r="H763" t="str">
        <f>T('IPTV CA'!B754)</f>
        <v/>
      </c>
      <c r="I763" t="s">
        <v>4290</v>
      </c>
      <c r="J763" t="str">
        <f t="shared" si="94"/>
        <v/>
      </c>
      <c r="K763" t="str">
        <f t="shared" si="96"/>
        <v/>
      </c>
      <c r="L763" s="69"/>
      <c r="M763">
        <f>'TMIS US'!A754</f>
        <v>9620</v>
      </c>
      <c r="N763" t="str">
        <f>T('TMIS US'!B754)</f>
        <v>Mattel Jr.</v>
      </c>
      <c r="O763" t="s">
        <v>4288</v>
      </c>
      <c r="P763" t="str">
        <f t="shared" si="95"/>
        <v/>
      </c>
      <c r="Q763" t="str">
        <f t="shared" si="97"/>
        <v/>
      </c>
      <c r="R763" s="69"/>
      <c r="S763">
        <f>'TMIS CA'!A754</f>
        <v>0</v>
      </c>
      <c r="T763" t="str">
        <f>T('TMIS CA'!B754)</f>
        <v/>
      </c>
      <c r="U763" t="s">
        <v>4290</v>
      </c>
      <c r="V763" t="str">
        <f t="shared" si="99"/>
        <v/>
      </c>
      <c r="W763" t="str">
        <f t="shared" si="98"/>
        <v/>
      </c>
    </row>
    <row r="764" spans="1:23">
      <c r="A764">
        <f>'IPTV US'!A755</f>
        <v>11021</v>
      </c>
      <c r="B764" t="str">
        <f>T('IPTV US'!B755)</f>
        <v>Barbie and Friends by Mattel</v>
      </c>
      <c r="C764" t="s">
        <v>4288</v>
      </c>
      <c r="D764" t="str">
        <f t="shared" si="92"/>
        <v/>
      </c>
      <c r="E764" t="str">
        <f t="shared" si="93"/>
        <v/>
      </c>
      <c r="F764" s="68" t="s">
        <v>4289</v>
      </c>
      <c r="G764">
        <f>'IPTV CA'!A755</f>
        <v>0</v>
      </c>
      <c r="H764" t="str">
        <f>T('IPTV CA'!B755)</f>
        <v/>
      </c>
      <c r="I764" t="s">
        <v>4290</v>
      </c>
      <c r="J764" t="str">
        <f t="shared" si="94"/>
        <v/>
      </c>
      <c r="K764" t="str">
        <f t="shared" si="96"/>
        <v/>
      </c>
      <c r="L764" s="69"/>
      <c r="M764">
        <f>'TMIS US'!A755</f>
        <v>9621</v>
      </c>
      <c r="N764" t="str">
        <f>T('TMIS US'!B755)</f>
        <v>Barbie and Friends by Mattel</v>
      </c>
      <c r="O764" t="s">
        <v>4288</v>
      </c>
      <c r="P764" t="str">
        <f t="shared" si="95"/>
        <v/>
      </c>
      <c r="Q764" t="str">
        <f t="shared" si="97"/>
        <v/>
      </c>
      <c r="R764" s="69"/>
      <c r="S764">
        <f>'TMIS CA'!A755</f>
        <v>0</v>
      </c>
      <c r="T764" t="str">
        <f>T('TMIS CA'!B755)</f>
        <v/>
      </c>
      <c r="U764" t="s">
        <v>4290</v>
      </c>
      <c r="V764" t="str">
        <f t="shared" si="99"/>
        <v/>
      </c>
      <c r="W764" t="str">
        <f t="shared" si="98"/>
        <v/>
      </c>
    </row>
    <row r="765" spans="1:23">
      <c r="A765">
        <f>'IPTV US'!A756</f>
        <v>11022</v>
      </c>
      <c r="B765" t="str">
        <f>T('IPTV US'!B756)</f>
        <v>Hot Wheels Action</v>
      </c>
      <c r="C765" t="s">
        <v>4288</v>
      </c>
      <c r="D765" t="str">
        <f t="shared" si="92"/>
        <v/>
      </c>
      <c r="E765" t="str">
        <f t="shared" si="93"/>
        <v/>
      </c>
      <c r="F765" s="68" t="s">
        <v>4289</v>
      </c>
      <c r="G765">
        <f>'IPTV CA'!A756</f>
        <v>0</v>
      </c>
      <c r="H765" t="str">
        <f>T('IPTV CA'!B756)</f>
        <v/>
      </c>
      <c r="I765" t="s">
        <v>4290</v>
      </c>
      <c r="J765" t="str">
        <f t="shared" si="94"/>
        <v/>
      </c>
      <c r="K765" t="str">
        <f t="shared" si="96"/>
        <v/>
      </c>
      <c r="L765" s="69"/>
      <c r="M765">
        <f>'TMIS US'!A756</f>
        <v>9622</v>
      </c>
      <c r="N765" t="str">
        <f>T('TMIS US'!B756)</f>
        <v>Hot Wheels Action</v>
      </c>
      <c r="O765" t="s">
        <v>4288</v>
      </c>
      <c r="P765" t="str">
        <f t="shared" si="95"/>
        <v/>
      </c>
      <c r="Q765" t="str">
        <f t="shared" si="97"/>
        <v/>
      </c>
      <c r="R765" s="69"/>
      <c r="S765">
        <f>'TMIS CA'!A756</f>
        <v>0</v>
      </c>
      <c r="T765" t="str">
        <f>T('TMIS CA'!B756)</f>
        <v/>
      </c>
      <c r="U765" t="s">
        <v>4290</v>
      </c>
      <c r="V765" t="str">
        <f t="shared" si="99"/>
        <v/>
      </c>
      <c r="W765" t="str">
        <f t="shared" si="98"/>
        <v/>
      </c>
    </row>
    <row r="766" spans="1:23">
      <c r="A766">
        <f>'IPTV US'!A757</f>
        <v>11023</v>
      </c>
      <c r="B766" t="str">
        <f>T('IPTV US'!B757)</f>
        <v>Power Rangers</v>
      </c>
      <c r="C766" t="s">
        <v>4288</v>
      </c>
      <c r="D766" t="str">
        <f t="shared" si="92"/>
        <v/>
      </c>
      <c r="E766" t="str">
        <f t="shared" si="93"/>
        <v/>
      </c>
      <c r="F766" s="68" t="s">
        <v>4289</v>
      </c>
      <c r="G766">
        <f>'IPTV CA'!A757</f>
        <v>0</v>
      </c>
      <c r="H766" t="str">
        <f>T('IPTV CA'!B757)</f>
        <v/>
      </c>
      <c r="I766" t="s">
        <v>4290</v>
      </c>
      <c r="J766" t="str">
        <f t="shared" si="94"/>
        <v/>
      </c>
      <c r="K766" t="str">
        <f t="shared" si="96"/>
        <v/>
      </c>
      <c r="L766" s="69"/>
      <c r="M766">
        <f>'TMIS US'!A757</f>
        <v>9623</v>
      </c>
      <c r="N766" t="str">
        <f>T('TMIS US'!B757)</f>
        <v>Power Rangers</v>
      </c>
      <c r="O766" t="s">
        <v>4288</v>
      </c>
      <c r="P766" t="str">
        <f t="shared" si="95"/>
        <v/>
      </c>
      <c r="Q766" t="str">
        <f t="shared" si="97"/>
        <v/>
      </c>
      <c r="R766" s="69"/>
      <c r="S766">
        <f>'TMIS CA'!A757</f>
        <v>0</v>
      </c>
      <c r="T766" t="str">
        <f>T('TMIS CA'!B757)</f>
        <v/>
      </c>
      <c r="U766" t="s">
        <v>4290</v>
      </c>
      <c r="V766" t="str">
        <f t="shared" si="99"/>
        <v/>
      </c>
      <c r="W766" t="str">
        <f t="shared" si="98"/>
        <v/>
      </c>
    </row>
    <row r="767" spans="1:23">
      <c r="A767">
        <f>'IPTV US'!A758</f>
        <v>11024</v>
      </c>
      <c r="B767" t="str">
        <f>T('IPTV US'!B758)</f>
        <v>Sonic TV</v>
      </c>
      <c r="C767" t="s">
        <v>4288</v>
      </c>
      <c r="D767" t="str">
        <f t="shared" si="92"/>
        <v/>
      </c>
      <c r="E767" t="str">
        <f t="shared" si="93"/>
        <v/>
      </c>
      <c r="F767" s="68" t="s">
        <v>4289</v>
      </c>
      <c r="G767">
        <f>'IPTV CA'!A758</f>
        <v>0</v>
      </c>
      <c r="H767" t="str">
        <f>T('IPTV CA'!B758)</f>
        <v/>
      </c>
      <c r="I767" t="s">
        <v>4290</v>
      </c>
      <c r="J767" t="str">
        <f t="shared" si="94"/>
        <v/>
      </c>
      <c r="K767" t="str">
        <f t="shared" si="96"/>
        <v/>
      </c>
      <c r="L767" s="69"/>
      <c r="M767">
        <f>'TMIS US'!A758</f>
        <v>9624</v>
      </c>
      <c r="N767" t="str">
        <f>T('TMIS US'!B758)</f>
        <v>Sonic TV</v>
      </c>
      <c r="O767" t="s">
        <v>4288</v>
      </c>
      <c r="P767" t="str">
        <f t="shared" si="95"/>
        <v/>
      </c>
      <c r="Q767" t="str">
        <f t="shared" si="97"/>
        <v/>
      </c>
      <c r="R767" s="69"/>
      <c r="S767">
        <f>'TMIS CA'!A758</f>
        <v>0</v>
      </c>
      <c r="T767" t="str">
        <f>T('TMIS CA'!B758)</f>
        <v/>
      </c>
      <c r="U767" t="s">
        <v>4290</v>
      </c>
      <c r="V767" t="str">
        <f t="shared" si="99"/>
        <v/>
      </c>
      <c r="W767" t="str">
        <f t="shared" si="98"/>
        <v/>
      </c>
    </row>
    <row r="768" spans="1:23">
      <c r="A768">
        <f>'IPTV US'!A759</f>
        <v>11025</v>
      </c>
      <c r="B768" t="str">
        <f>T('IPTV US'!B759)</f>
        <v>Transformers</v>
      </c>
      <c r="C768" t="s">
        <v>4288</v>
      </c>
      <c r="D768" t="str">
        <f t="shared" si="92"/>
        <v/>
      </c>
      <c r="E768" t="str">
        <f t="shared" si="93"/>
        <v/>
      </c>
      <c r="F768" s="68" t="s">
        <v>4289</v>
      </c>
      <c r="G768">
        <f>'IPTV CA'!A759</f>
        <v>0</v>
      </c>
      <c r="H768" t="str">
        <f>T('IPTV CA'!B759)</f>
        <v/>
      </c>
      <c r="I768" t="s">
        <v>4290</v>
      </c>
      <c r="J768" t="str">
        <f t="shared" si="94"/>
        <v/>
      </c>
      <c r="K768" t="str">
        <f t="shared" si="96"/>
        <v/>
      </c>
      <c r="L768" s="69"/>
      <c r="M768">
        <f>'TMIS US'!A759</f>
        <v>9625</v>
      </c>
      <c r="N768" t="str">
        <f>T('TMIS US'!B759)</f>
        <v>Transformers</v>
      </c>
      <c r="O768" t="s">
        <v>4288</v>
      </c>
      <c r="P768" t="str">
        <f t="shared" si="95"/>
        <v/>
      </c>
      <c r="Q768" t="str">
        <f t="shared" si="97"/>
        <v/>
      </c>
      <c r="R768" s="69"/>
      <c r="S768">
        <f>'TMIS CA'!A759</f>
        <v>0</v>
      </c>
      <c r="T768" t="str">
        <f>T('TMIS CA'!B759)</f>
        <v/>
      </c>
      <c r="U768" t="s">
        <v>4290</v>
      </c>
      <c r="V768" t="str">
        <f t="shared" si="99"/>
        <v/>
      </c>
      <c r="W768" t="str">
        <f t="shared" si="98"/>
        <v/>
      </c>
    </row>
    <row r="769" spans="1:23">
      <c r="A769">
        <f>'IPTV US'!A760</f>
        <v>11026</v>
      </c>
      <c r="B769" t="str">
        <f>T('IPTV US'!B760)</f>
        <v>My Little Pony</v>
      </c>
      <c r="C769" t="s">
        <v>4288</v>
      </c>
      <c r="D769" t="str">
        <f t="shared" si="92"/>
        <v/>
      </c>
      <c r="E769" t="str">
        <f t="shared" si="93"/>
        <v/>
      </c>
      <c r="F769" s="68" t="s">
        <v>4289</v>
      </c>
      <c r="G769">
        <f>'IPTV CA'!A760</f>
        <v>0</v>
      </c>
      <c r="H769" t="str">
        <f>T('IPTV CA'!B760)</f>
        <v/>
      </c>
      <c r="I769" t="s">
        <v>4290</v>
      </c>
      <c r="J769" t="str">
        <f t="shared" si="94"/>
        <v/>
      </c>
      <c r="K769" t="str">
        <f t="shared" si="96"/>
        <v/>
      </c>
      <c r="L769" s="69"/>
      <c r="M769">
        <f>'TMIS US'!A760</f>
        <v>9626</v>
      </c>
      <c r="N769" t="str">
        <f>T('TMIS US'!B760)</f>
        <v>My Little Pony</v>
      </c>
      <c r="O769" t="s">
        <v>4288</v>
      </c>
      <c r="P769" t="str">
        <f t="shared" si="95"/>
        <v/>
      </c>
      <c r="Q769" t="str">
        <f t="shared" si="97"/>
        <v/>
      </c>
      <c r="R769" s="69"/>
      <c r="S769">
        <f>'TMIS CA'!A760</f>
        <v>0</v>
      </c>
      <c r="T769" t="str">
        <f>T('TMIS CA'!B760)</f>
        <v/>
      </c>
      <c r="U769" t="s">
        <v>4290</v>
      </c>
      <c r="V769" t="str">
        <f t="shared" si="99"/>
        <v/>
      </c>
      <c r="W769" t="str">
        <f t="shared" si="98"/>
        <v/>
      </c>
    </row>
    <row r="770" spans="1:23">
      <c r="A770">
        <f>'IPTV US'!A761</f>
        <v>11027</v>
      </c>
      <c r="B770" t="str">
        <f>T('IPTV US'!B761)</f>
        <v>9 Story Presents: Garfield and Friends</v>
      </c>
      <c r="C770" t="s">
        <v>4288</v>
      </c>
      <c r="D770" t="str">
        <f t="shared" si="92"/>
        <v/>
      </c>
      <c r="E770" t="str">
        <f t="shared" si="93"/>
        <v/>
      </c>
      <c r="F770" s="68" t="s">
        <v>4289</v>
      </c>
      <c r="G770">
        <f>'IPTV CA'!A761</f>
        <v>0</v>
      </c>
      <c r="H770" t="str">
        <f>T('IPTV CA'!B761)</f>
        <v/>
      </c>
      <c r="I770" t="s">
        <v>4290</v>
      </c>
      <c r="J770" t="str">
        <f t="shared" si="94"/>
        <v/>
      </c>
      <c r="K770" t="str">
        <f t="shared" si="96"/>
        <v/>
      </c>
      <c r="L770" s="69"/>
      <c r="M770">
        <f>'TMIS US'!A761</f>
        <v>9627</v>
      </c>
      <c r="N770" t="str">
        <f>T('TMIS US'!B761)</f>
        <v>9 Story Presents: Garfield and Friends</v>
      </c>
      <c r="O770" t="s">
        <v>4288</v>
      </c>
      <c r="P770" t="str">
        <f t="shared" si="95"/>
        <v/>
      </c>
      <c r="Q770" t="str">
        <f t="shared" si="97"/>
        <v/>
      </c>
      <c r="R770" s="69"/>
      <c r="S770">
        <f>'TMIS CA'!A761</f>
        <v>0</v>
      </c>
      <c r="T770" t="str">
        <f>T('TMIS CA'!B761)</f>
        <v/>
      </c>
      <c r="U770" t="s">
        <v>4290</v>
      </c>
      <c r="V770" t="str">
        <f t="shared" si="99"/>
        <v/>
      </c>
      <c r="W770" t="str">
        <f t="shared" si="98"/>
        <v/>
      </c>
    </row>
    <row r="771" spans="1:23">
      <c r="A771">
        <f>'IPTV US'!A762</f>
        <v>11028</v>
      </c>
      <c r="B771" t="str">
        <f>T('IPTV US'!B762)</f>
        <v>Barney and Friends</v>
      </c>
      <c r="C771" t="s">
        <v>4288</v>
      </c>
      <c r="D771" t="str">
        <f t="shared" si="92"/>
        <v/>
      </c>
      <c r="E771" t="str">
        <f t="shared" si="93"/>
        <v/>
      </c>
      <c r="F771" s="68" t="s">
        <v>4289</v>
      </c>
      <c r="G771">
        <f>'IPTV CA'!A762</f>
        <v>0</v>
      </c>
      <c r="H771" t="str">
        <f>T('IPTV CA'!B762)</f>
        <v/>
      </c>
      <c r="I771" t="s">
        <v>4290</v>
      </c>
      <c r="J771" t="str">
        <f t="shared" si="94"/>
        <v/>
      </c>
      <c r="K771" t="str">
        <f t="shared" si="96"/>
        <v/>
      </c>
      <c r="L771" s="69"/>
      <c r="M771">
        <f>'TMIS US'!A762</f>
        <v>9628</v>
      </c>
      <c r="N771" t="str">
        <f>T('TMIS US'!B762)</f>
        <v>Barney and Friends</v>
      </c>
      <c r="O771" t="s">
        <v>4288</v>
      </c>
      <c r="P771" t="str">
        <f t="shared" si="95"/>
        <v/>
      </c>
      <c r="Q771" t="str">
        <f t="shared" si="97"/>
        <v/>
      </c>
      <c r="R771" s="69"/>
      <c r="S771">
        <f>'TMIS CA'!A762</f>
        <v>0</v>
      </c>
      <c r="T771" t="str">
        <f>T('TMIS CA'!B762)</f>
        <v/>
      </c>
      <c r="U771" t="s">
        <v>4290</v>
      </c>
      <c r="V771" t="str">
        <f t="shared" si="99"/>
        <v/>
      </c>
      <c r="W771" t="str">
        <f t="shared" si="98"/>
        <v/>
      </c>
    </row>
    <row r="772" spans="1:23">
      <c r="A772">
        <f>'IPTV US'!A763</f>
        <v>11029</v>
      </c>
      <c r="B772" t="str">
        <f>T('IPTV US'!B763)</f>
        <v>Ryan and Friends</v>
      </c>
      <c r="C772" t="s">
        <v>4288</v>
      </c>
      <c r="D772" t="str">
        <f t="shared" si="92"/>
        <v/>
      </c>
      <c r="E772" t="str">
        <f t="shared" si="93"/>
        <v/>
      </c>
      <c r="F772" s="68" t="s">
        <v>4289</v>
      </c>
      <c r="G772">
        <f>'IPTV CA'!A763</f>
        <v>0</v>
      </c>
      <c r="H772" t="str">
        <f>T('IPTV CA'!B763)</f>
        <v/>
      </c>
      <c r="I772" t="s">
        <v>4290</v>
      </c>
      <c r="J772" t="str">
        <f t="shared" si="94"/>
        <v/>
      </c>
      <c r="K772" t="str">
        <f t="shared" si="96"/>
        <v/>
      </c>
      <c r="L772" s="69"/>
      <c r="M772">
        <f>'TMIS US'!A763</f>
        <v>9629</v>
      </c>
      <c r="N772" t="str">
        <f>T('TMIS US'!B763)</f>
        <v>Ryan and Friends</v>
      </c>
      <c r="O772" t="s">
        <v>4288</v>
      </c>
      <c r="P772" t="str">
        <f t="shared" si="95"/>
        <v/>
      </c>
      <c r="Q772" t="str">
        <f t="shared" si="97"/>
        <v/>
      </c>
      <c r="R772" s="69"/>
      <c r="S772">
        <f>'TMIS CA'!A763</f>
        <v>0</v>
      </c>
      <c r="T772" t="str">
        <f>T('TMIS CA'!B763)</f>
        <v/>
      </c>
      <c r="U772" t="s">
        <v>4290</v>
      </c>
      <c r="V772" t="str">
        <f t="shared" si="99"/>
        <v/>
      </c>
      <c r="W772" t="str">
        <f t="shared" si="98"/>
        <v/>
      </c>
    </row>
    <row r="773" spans="1:23">
      <c r="A773">
        <f>'IPTV US'!A764</f>
        <v>11030</v>
      </c>
      <c r="B773" t="str">
        <f>T('IPTV US'!B764)</f>
        <v>Toon Goggles</v>
      </c>
      <c r="C773" t="s">
        <v>4288</v>
      </c>
      <c r="D773" t="str">
        <f t="shared" si="92"/>
        <v/>
      </c>
      <c r="E773" t="str">
        <f t="shared" si="93"/>
        <v/>
      </c>
      <c r="F773" s="68" t="s">
        <v>4289</v>
      </c>
      <c r="G773">
        <f>'IPTV CA'!A764</f>
        <v>0</v>
      </c>
      <c r="H773" t="str">
        <f>T('IPTV CA'!B764)</f>
        <v/>
      </c>
      <c r="I773" t="s">
        <v>4290</v>
      </c>
      <c r="J773" t="str">
        <f t="shared" si="94"/>
        <v/>
      </c>
      <c r="K773" t="str">
        <f t="shared" si="96"/>
        <v/>
      </c>
      <c r="L773" s="69"/>
      <c r="M773">
        <f>'TMIS US'!A764</f>
        <v>9630</v>
      </c>
      <c r="N773" t="str">
        <f>T('TMIS US'!B764)</f>
        <v>Toon Goggles</v>
      </c>
      <c r="O773" t="s">
        <v>4288</v>
      </c>
      <c r="P773" t="str">
        <f t="shared" si="95"/>
        <v/>
      </c>
      <c r="Q773" t="str">
        <f t="shared" si="97"/>
        <v/>
      </c>
      <c r="R773" s="69"/>
      <c r="S773">
        <f>'TMIS CA'!A764</f>
        <v>0</v>
      </c>
      <c r="T773" t="str">
        <f>T('TMIS CA'!B764)</f>
        <v/>
      </c>
      <c r="U773" t="s">
        <v>4290</v>
      </c>
      <c r="V773" t="str">
        <f t="shared" si="99"/>
        <v/>
      </c>
      <c r="W773" t="str">
        <f t="shared" si="98"/>
        <v/>
      </c>
    </row>
    <row r="774" spans="1:23">
      <c r="A774">
        <f>'IPTV US'!A765</f>
        <v>11031</v>
      </c>
      <c r="B774" t="str">
        <f>T('IPTV US'!B765)</f>
        <v>Pocket.Watch Game-On</v>
      </c>
      <c r="C774" t="s">
        <v>4288</v>
      </c>
      <c r="D774" t="str">
        <f t="shared" si="92"/>
        <v/>
      </c>
      <c r="E774" t="str">
        <f t="shared" si="93"/>
        <v/>
      </c>
      <c r="F774" s="68" t="s">
        <v>4289</v>
      </c>
      <c r="G774">
        <f>'IPTV CA'!A765</f>
        <v>0</v>
      </c>
      <c r="H774" t="str">
        <f>T('IPTV CA'!B765)</f>
        <v/>
      </c>
      <c r="I774" t="s">
        <v>4290</v>
      </c>
      <c r="J774" t="str">
        <f t="shared" si="94"/>
        <v/>
      </c>
      <c r="K774" t="str">
        <f t="shared" si="96"/>
        <v/>
      </c>
      <c r="L774" s="69"/>
      <c r="M774">
        <f>'TMIS US'!A765</f>
        <v>9631</v>
      </c>
      <c r="N774" t="str">
        <f>T('TMIS US'!B765)</f>
        <v>Pocket.Watch Game-On</v>
      </c>
      <c r="O774" t="s">
        <v>4288</v>
      </c>
      <c r="P774" t="str">
        <f t="shared" si="95"/>
        <v/>
      </c>
      <c r="Q774" t="str">
        <f t="shared" si="97"/>
        <v/>
      </c>
      <c r="R774" s="69"/>
      <c r="S774">
        <f>'TMIS CA'!A765</f>
        <v>0</v>
      </c>
      <c r="T774" t="str">
        <f>T('TMIS CA'!B765)</f>
        <v/>
      </c>
      <c r="U774" t="s">
        <v>4290</v>
      </c>
      <c r="V774" t="str">
        <f t="shared" si="99"/>
        <v/>
      </c>
      <c r="W774" t="str">
        <f t="shared" si="98"/>
        <v/>
      </c>
    </row>
    <row r="775" spans="1:23">
      <c r="A775">
        <f>'IPTV US'!A766</f>
        <v>11032</v>
      </c>
      <c r="B775" t="str">
        <f>T('IPTV US'!B766)</f>
        <v>KIDoodle tv</v>
      </c>
      <c r="C775" t="s">
        <v>4288</v>
      </c>
      <c r="D775" t="str">
        <f t="shared" si="92"/>
        <v/>
      </c>
      <c r="E775" t="str">
        <f t="shared" si="93"/>
        <v/>
      </c>
      <c r="F775" s="68" t="s">
        <v>4289</v>
      </c>
      <c r="G775">
        <f>'IPTV CA'!A766</f>
        <v>0</v>
      </c>
      <c r="H775" t="str">
        <f>T('IPTV CA'!B766)</f>
        <v/>
      </c>
      <c r="I775" t="s">
        <v>4290</v>
      </c>
      <c r="J775" t="str">
        <f t="shared" si="94"/>
        <v/>
      </c>
      <c r="K775" t="str">
        <f t="shared" si="96"/>
        <v/>
      </c>
      <c r="L775" s="69"/>
      <c r="M775">
        <f>'TMIS US'!A766</f>
        <v>9632</v>
      </c>
      <c r="N775" t="str">
        <f>T('TMIS US'!B766)</f>
        <v>KIDoodle tv</v>
      </c>
      <c r="O775" t="s">
        <v>4288</v>
      </c>
      <c r="P775" t="str">
        <f t="shared" si="95"/>
        <v/>
      </c>
      <c r="Q775" t="str">
        <f t="shared" si="97"/>
        <v/>
      </c>
      <c r="R775" s="69"/>
      <c r="S775">
        <f>'TMIS CA'!A766</f>
        <v>0</v>
      </c>
      <c r="T775" t="str">
        <f>T('TMIS CA'!B766)</f>
        <v/>
      </c>
      <c r="U775" t="s">
        <v>4290</v>
      </c>
      <c r="V775" t="str">
        <f t="shared" si="99"/>
        <v/>
      </c>
      <c r="W775" t="str">
        <f t="shared" si="98"/>
        <v/>
      </c>
    </row>
    <row r="776" spans="1:23">
      <c r="A776">
        <f>'IPTV US'!A767</f>
        <v>11033</v>
      </c>
      <c r="B776" t="str">
        <f>T('IPTV US'!B767)</f>
        <v>BABY SHARK TV</v>
      </c>
      <c r="C776" t="s">
        <v>4288</v>
      </c>
      <c r="D776" t="str">
        <f t="shared" si="92"/>
        <v/>
      </c>
      <c r="E776" t="str">
        <f t="shared" si="93"/>
        <v/>
      </c>
      <c r="F776" s="68" t="s">
        <v>4289</v>
      </c>
      <c r="G776">
        <f>'IPTV CA'!A767</f>
        <v>0</v>
      </c>
      <c r="H776" t="str">
        <f>T('IPTV CA'!B767)</f>
        <v/>
      </c>
      <c r="I776" t="s">
        <v>4290</v>
      </c>
      <c r="J776" t="str">
        <f t="shared" si="94"/>
        <v/>
      </c>
      <c r="K776" t="str">
        <f t="shared" si="96"/>
        <v/>
      </c>
      <c r="L776" s="69"/>
      <c r="M776">
        <f>'TMIS US'!A767</f>
        <v>9633</v>
      </c>
      <c r="N776" t="str">
        <f>T('TMIS US'!B767)</f>
        <v>BABY SHARK TV</v>
      </c>
      <c r="O776" t="s">
        <v>4288</v>
      </c>
      <c r="P776" t="str">
        <f t="shared" si="95"/>
        <v/>
      </c>
      <c r="Q776" t="str">
        <f t="shared" si="97"/>
        <v/>
      </c>
      <c r="R776" s="69"/>
      <c r="S776">
        <f>'TMIS CA'!A767</f>
        <v>0</v>
      </c>
      <c r="T776" t="str">
        <f>T('TMIS CA'!B767)</f>
        <v/>
      </c>
      <c r="U776" t="s">
        <v>4290</v>
      </c>
      <c r="V776" t="str">
        <f t="shared" si="99"/>
        <v/>
      </c>
      <c r="W776" t="str">
        <f t="shared" si="98"/>
        <v/>
      </c>
    </row>
    <row r="777" spans="1:23">
      <c r="A777">
        <f>'IPTV US'!A768</f>
        <v>11034</v>
      </c>
      <c r="B777" t="str">
        <f>T('IPTV US'!B768)</f>
        <v/>
      </c>
      <c r="C777" t="s">
        <v>4290</v>
      </c>
      <c r="D777" t="str">
        <f t="shared" si="92"/>
        <v/>
      </c>
      <c r="E777" t="str">
        <f t="shared" si="93"/>
        <v/>
      </c>
      <c r="F777" s="68" t="s">
        <v>4289</v>
      </c>
      <c r="G777">
        <f>'IPTV CA'!A768</f>
        <v>0</v>
      </c>
      <c r="H777" t="str">
        <f>T('IPTV CA'!B768)</f>
        <v/>
      </c>
      <c r="I777" t="s">
        <v>4290</v>
      </c>
      <c r="J777" t="str">
        <f t="shared" si="94"/>
        <v/>
      </c>
      <c r="K777" t="str">
        <f t="shared" si="96"/>
        <v/>
      </c>
      <c r="L777" s="69"/>
      <c r="M777">
        <f>'TMIS US'!A768</f>
        <v>9634</v>
      </c>
      <c r="N777" t="str">
        <f>T('TMIS US'!B768)</f>
        <v/>
      </c>
      <c r="O777" t="s">
        <v>4290</v>
      </c>
      <c r="P777" t="str">
        <f t="shared" si="95"/>
        <v/>
      </c>
      <c r="Q777" t="str">
        <f t="shared" si="97"/>
        <v/>
      </c>
      <c r="R777" s="69"/>
      <c r="S777">
        <f>'TMIS CA'!A768</f>
        <v>0</v>
      </c>
      <c r="T777" t="str">
        <f>T('TMIS CA'!B768)</f>
        <v/>
      </c>
      <c r="U777" t="s">
        <v>4290</v>
      </c>
      <c r="V777" t="str">
        <f t="shared" si="99"/>
        <v/>
      </c>
      <c r="W777" t="str">
        <f t="shared" si="98"/>
        <v/>
      </c>
    </row>
    <row r="778" spans="1:23">
      <c r="A778">
        <f>'IPTV US'!A769</f>
        <v>11035</v>
      </c>
      <c r="B778" t="str">
        <f>T('IPTV US'!B769)</f>
        <v>KidsFlix</v>
      </c>
      <c r="C778" t="s">
        <v>4288</v>
      </c>
      <c r="D778" t="str">
        <f t="shared" si="92"/>
        <v/>
      </c>
      <c r="E778" t="str">
        <f t="shared" si="93"/>
        <v/>
      </c>
      <c r="F778" s="68" t="s">
        <v>4289</v>
      </c>
      <c r="G778">
        <f>'IPTV CA'!A769</f>
        <v>0</v>
      </c>
      <c r="H778" t="str">
        <f>T('IPTV CA'!B769)</f>
        <v/>
      </c>
      <c r="I778" t="s">
        <v>4290</v>
      </c>
      <c r="J778" t="str">
        <f t="shared" si="94"/>
        <v/>
      </c>
      <c r="K778" t="str">
        <f t="shared" si="96"/>
        <v/>
      </c>
      <c r="L778" s="69"/>
      <c r="M778">
        <f>'TMIS US'!A769</f>
        <v>9635</v>
      </c>
      <c r="N778" t="str">
        <f>T('TMIS US'!B769)</f>
        <v>KidsFlix</v>
      </c>
      <c r="O778" t="s">
        <v>4288</v>
      </c>
      <c r="P778" t="str">
        <f t="shared" si="95"/>
        <v/>
      </c>
      <c r="Q778" t="str">
        <f t="shared" si="97"/>
        <v/>
      </c>
      <c r="R778" s="69"/>
      <c r="S778">
        <f>'TMIS CA'!A769</f>
        <v>0</v>
      </c>
      <c r="T778" t="str">
        <f>T('TMIS CA'!B769)</f>
        <v/>
      </c>
      <c r="U778" t="s">
        <v>4290</v>
      </c>
      <c r="V778" t="str">
        <f t="shared" si="99"/>
        <v/>
      </c>
      <c r="W778" t="str">
        <f t="shared" si="98"/>
        <v/>
      </c>
    </row>
    <row r="779" spans="1:23">
      <c r="A779">
        <f>'IPTV US'!A770</f>
        <v>11036</v>
      </c>
      <c r="B779" t="str">
        <f>T('IPTV US'!B770)</f>
        <v>SKWAD</v>
      </c>
      <c r="C779" t="s">
        <v>4288</v>
      </c>
      <c r="D779" t="str">
        <f t="shared" ref="D779:D842" si="100">IF(C779="Active",IF(B779="","Please Notify - Channel Removed",""),"")</f>
        <v/>
      </c>
      <c r="E779" t="str">
        <f t="shared" ref="E779:E842" si="101">IF(C779="Vacant",IF(B779="","","Please Notify - Channel Added"),"")</f>
        <v/>
      </c>
      <c r="F779" s="68" t="s">
        <v>4289</v>
      </c>
      <c r="G779">
        <f>'IPTV CA'!A770</f>
        <v>0</v>
      </c>
      <c r="H779" t="str">
        <f>T('IPTV CA'!B770)</f>
        <v/>
      </c>
      <c r="I779" t="s">
        <v>4290</v>
      </c>
      <c r="J779" t="str">
        <f t="shared" ref="J779:J842" si="102">IF(I779="Active",IF(H779="","Please Notify - Channel Removed",""),"")</f>
        <v/>
      </c>
      <c r="K779" t="str">
        <f t="shared" si="96"/>
        <v/>
      </c>
      <c r="L779" s="69"/>
      <c r="M779">
        <f>'TMIS US'!A770</f>
        <v>9636</v>
      </c>
      <c r="N779" t="str">
        <f>T('TMIS US'!B770)</f>
        <v>SKWAD</v>
      </c>
      <c r="O779" t="s">
        <v>4288</v>
      </c>
      <c r="P779" t="str">
        <f t="shared" ref="P779:P842" si="103">IF(O779="Active",IF(N779="","Please Notify - Channel Removed",""),"")</f>
        <v/>
      </c>
      <c r="Q779" t="str">
        <f t="shared" si="97"/>
        <v/>
      </c>
      <c r="R779" s="69"/>
      <c r="S779">
        <f>'TMIS CA'!A770</f>
        <v>0</v>
      </c>
      <c r="T779" t="str">
        <f>T('TMIS CA'!B770)</f>
        <v/>
      </c>
      <c r="U779" t="s">
        <v>4290</v>
      </c>
      <c r="V779" t="str">
        <f t="shared" si="99"/>
        <v/>
      </c>
      <c r="W779" t="str">
        <f t="shared" si="98"/>
        <v/>
      </c>
    </row>
    <row r="780" spans="1:23">
      <c r="A780">
        <f>'IPTV US'!A771</f>
        <v>11037</v>
      </c>
      <c r="B780" t="str">
        <f>T('IPTV US'!B771)</f>
        <v>Eddie's Wonderland</v>
      </c>
      <c r="C780" t="s">
        <v>4288</v>
      </c>
      <c r="D780" t="str">
        <f t="shared" si="100"/>
        <v/>
      </c>
      <c r="E780" t="str">
        <f t="shared" si="101"/>
        <v/>
      </c>
      <c r="F780" s="68" t="s">
        <v>4289</v>
      </c>
      <c r="G780">
        <f>'IPTV CA'!A771</f>
        <v>0</v>
      </c>
      <c r="H780" t="str">
        <f>T('IPTV CA'!B771)</f>
        <v/>
      </c>
      <c r="I780" t="s">
        <v>4290</v>
      </c>
      <c r="J780" t="str">
        <f t="shared" si="102"/>
        <v/>
      </c>
      <c r="K780" t="str">
        <f t="shared" ref="K780:K843" si="104">IF(I780="Vacant",IF(H780="","","Please Notify - Channel Added"),"")</f>
        <v/>
      </c>
      <c r="L780" s="69"/>
      <c r="M780">
        <f>'TMIS US'!A771</f>
        <v>9637</v>
      </c>
      <c r="N780" t="str">
        <f>T('TMIS US'!B771)</f>
        <v>Eddie's Wonderland</v>
      </c>
      <c r="O780" t="s">
        <v>4288</v>
      </c>
      <c r="P780" t="str">
        <f t="shared" si="103"/>
        <v/>
      </c>
      <c r="Q780" t="str">
        <f t="shared" ref="Q780:Q843" si="105">IF(O780="Vacant",IF(N780="","","Please Notify - Channel Added"),"")</f>
        <v/>
      </c>
      <c r="R780" s="69"/>
      <c r="S780">
        <f>'TMIS CA'!A771</f>
        <v>0</v>
      </c>
      <c r="T780" t="str">
        <f>T('TMIS CA'!B771)</f>
        <v/>
      </c>
      <c r="U780" t="s">
        <v>4290</v>
      </c>
      <c r="V780" t="str">
        <f t="shared" si="99"/>
        <v/>
      </c>
      <c r="W780" t="str">
        <f t="shared" ref="W780:W843" si="106">IF(U780="Vacant",IF(T780="","","Please Notify - Channel Added"),"")</f>
        <v/>
      </c>
    </row>
    <row r="781" spans="1:23">
      <c r="A781">
        <f>'IPTV US'!A772</f>
        <v>11038</v>
      </c>
      <c r="B781" t="str">
        <f>T('IPTV US'!B772)</f>
        <v>TG Junior</v>
      </c>
      <c r="C781" t="s">
        <v>4288</v>
      </c>
      <c r="D781" t="str">
        <f t="shared" si="100"/>
        <v/>
      </c>
      <c r="E781" t="str">
        <f t="shared" si="101"/>
        <v/>
      </c>
      <c r="F781" s="68" t="s">
        <v>4289</v>
      </c>
      <c r="G781">
        <f>'IPTV CA'!A772</f>
        <v>0</v>
      </c>
      <c r="H781" t="str">
        <f>T('IPTV CA'!B772)</f>
        <v/>
      </c>
      <c r="I781" t="s">
        <v>4290</v>
      </c>
      <c r="J781" t="str">
        <f t="shared" si="102"/>
        <v/>
      </c>
      <c r="K781" t="str">
        <f t="shared" si="104"/>
        <v/>
      </c>
      <c r="L781" s="69"/>
      <c r="M781">
        <f>'TMIS US'!A772</f>
        <v>9638</v>
      </c>
      <c r="N781" t="str">
        <f>T('TMIS US'!B772)</f>
        <v>TG Junior</v>
      </c>
      <c r="O781" t="s">
        <v>4288</v>
      </c>
      <c r="P781" t="str">
        <f t="shared" si="103"/>
        <v/>
      </c>
      <c r="Q781" t="str">
        <f t="shared" si="105"/>
        <v/>
      </c>
      <c r="R781" s="69"/>
      <c r="S781">
        <f>'TMIS CA'!A772</f>
        <v>0</v>
      </c>
      <c r="T781" t="str">
        <f>T('TMIS CA'!B772)</f>
        <v/>
      </c>
      <c r="U781" t="s">
        <v>4290</v>
      </c>
      <c r="V781" t="str">
        <f t="shared" si="99"/>
        <v/>
      </c>
      <c r="W781" t="str">
        <f t="shared" si="106"/>
        <v/>
      </c>
    </row>
    <row r="782" spans="1:23">
      <c r="A782">
        <f>'IPTV US'!A773</f>
        <v>11039</v>
      </c>
      <c r="B782" t="str">
        <f>T('IPTV US'!B773)</f>
        <v>Toony Planet</v>
      </c>
      <c r="C782" t="s">
        <v>4288</v>
      </c>
      <c r="D782" t="str">
        <f t="shared" si="100"/>
        <v/>
      </c>
      <c r="E782" t="str">
        <f t="shared" si="101"/>
        <v/>
      </c>
      <c r="F782" s="68" t="s">
        <v>4289</v>
      </c>
      <c r="G782">
        <f>'IPTV CA'!A773</f>
        <v>0</v>
      </c>
      <c r="H782" t="str">
        <f>T('IPTV CA'!B773)</f>
        <v/>
      </c>
      <c r="I782" t="s">
        <v>4290</v>
      </c>
      <c r="J782" t="str">
        <f t="shared" si="102"/>
        <v/>
      </c>
      <c r="K782" t="str">
        <f t="shared" si="104"/>
        <v/>
      </c>
      <c r="L782" s="69"/>
      <c r="M782">
        <f>'TMIS US'!A773</f>
        <v>9639</v>
      </c>
      <c r="N782" t="str">
        <f>T('TMIS US'!B773)</f>
        <v>Toony Planet</v>
      </c>
      <c r="O782" t="s">
        <v>4288</v>
      </c>
      <c r="P782" t="str">
        <f t="shared" si="103"/>
        <v/>
      </c>
      <c r="Q782" t="str">
        <f t="shared" si="105"/>
        <v/>
      </c>
      <c r="R782" s="69"/>
      <c r="S782">
        <f>'TMIS CA'!A773</f>
        <v>0</v>
      </c>
      <c r="T782" t="str">
        <f>T('TMIS CA'!B773)</f>
        <v/>
      </c>
      <c r="U782" t="s">
        <v>4290</v>
      </c>
      <c r="V782" t="str">
        <f t="shared" ref="V782:V845" si="107">IF(U782="Active",IF(T782="","Please Notify - Channel Removed",""),"")</f>
        <v/>
      </c>
      <c r="W782" t="str">
        <f t="shared" si="106"/>
        <v/>
      </c>
    </row>
    <row r="783" spans="1:23">
      <c r="A783">
        <f>'IPTV US'!A774</f>
        <v>11040</v>
      </c>
      <c r="B783" t="str">
        <f>T('IPTV US'!B774)</f>
        <v/>
      </c>
      <c r="C783" t="s">
        <v>4290</v>
      </c>
      <c r="D783" t="str">
        <f t="shared" si="100"/>
        <v/>
      </c>
      <c r="E783" t="str">
        <f t="shared" si="101"/>
        <v/>
      </c>
      <c r="F783" s="68" t="s">
        <v>4289</v>
      </c>
      <c r="G783">
        <f>'IPTV CA'!A774</f>
        <v>0</v>
      </c>
      <c r="H783" t="str">
        <f>T('IPTV CA'!B774)</f>
        <v/>
      </c>
      <c r="I783" t="s">
        <v>4290</v>
      </c>
      <c r="J783" t="str">
        <f t="shared" si="102"/>
        <v/>
      </c>
      <c r="K783" t="str">
        <f t="shared" si="104"/>
        <v/>
      </c>
      <c r="L783" s="69"/>
      <c r="M783">
        <f>'TMIS US'!A774</f>
        <v>9640</v>
      </c>
      <c r="N783" t="str">
        <f>T('TMIS US'!B774)</f>
        <v/>
      </c>
      <c r="O783" t="s">
        <v>4290</v>
      </c>
      <c r="P783" t="str">
        <f t="shared" si="103"/>
        <v/>
      </c>
      <c r="Q783" t="str">
        <f t="shared" si="105"/>
        <v/>
      </c>
      <c r="R783" s="69"/>
      <c r="S783">
        <f>'TMIS CA'!A774</f>
        <v>0</v>
      </c>
      <c r="T783" t="str">
        <f>T('TMIS CA'!B774)</f>
        <v/>
      </c>
      <c r="U783" t="s">
        <v>4290</v>
      </c>
      <c r="V783" t="str">
        <f t="shared" si="107"/>
        <v/>
      </c>
      <c r="W783" t="str">
        <f t="shared" si="106"/>
        <v/>
      </c>
    </row>
    <row r="784" spans="1:23">
      <c r="A784">
        <f>'IPTV US'!A775</f>
        <v>11041</v>
      </c>
      <c r="B784" t="str">
        <f>T('IPTV US'!B775)</f>
        <v/>
      </c>
      <c r="C784" t="s">
        <v>4290</v>
      </c>
      <c r="D784" t="str">
        <f t="shared" si="100"/>
        <v/>
      </c>
      <c r="E784" t="str">
        <f t="shared" si="101"/>
        <v/>
      </c>
      <c r="F784" s="68" t="s">
        <v>4289</v>
      </c>
      <c r="G784">
        <f>'IPTV CA'!A775</f>
        <v>0</v>
      </c>
      <c r="H784" t="str">
        <f>T('IPTV CA'!B775)</f>
        <v/>
      </c>
      <c r="I784" t="s">
        <v>4290</v>
      </c>
      <c r="J784" t="str">
        <f t="shared" si="102"/>
        <v/>
      </c>
      <c r="K784" t="str">
        <f t="shared" si="104"/>
        <v/>
      </c>
      <c r="L784" s="69"/>
      <c r="M784">
        <f>'TMIS US'!A775</f>
        <v>9641</v>
      </c>
      <c r="N784" t="str">
        <f>T('TMIS US'!B775)</f>
        <v/>
      </c>
      <c r="O784" t="s">
        <v>4290</v>
      </c>
      <c r="P784" t="str">
        <f t="shared" si="103"/>
        <v/>
      </c>
      <c r="Q784" t="str">
        <f t="shared" si="105"/>
        <v/>
      </c>
      <c r="R784" s="69"/>
      <c r="S784">
        <f>'TMIS CA'!A775</f>
        <v>0</v>
      </c>
      <c r="T784" t="str">
        <f>T('TMIS CA'!B775)</f>
        <v/>
      </c>
      <c r="U784" t="s">
        <v>4290</v>
      </c>
      <c r="V784" t="str">
        <f t="shared" si="107"/>
        <v/>
      </c>
      <c r="W784" t="str">
        <f t="shared" si="106"/>
        <v/>
      </c>
    </row>
    <row r="785" spans="1:23">
      <c r="A785">
        <f>'IPTV US'!A776</f>
        <v>11042</v>
      </c>
      <c r="B785" t="str">
        <f>T('IPTV US'!B776)</f>
        <v/>
      </c>
      <c r="C785" t="s">
        <v>4290</v>
      </c>
      <c r="D785" t="str">
        <f t="shared" si="100"/>
        <v/>
      </c>
      <c r="E785" t="str">
        <f t="shared" si="101"/>
        <v/>
      </c>
      <c r="F785" s="68" t="s">
        <v>4289</v>
      </c>
      <c r="G785">
        <f>'IPTV CA'!A776</f>
        <v>0</v>
      </c>
      <c r="H785" t="str">
        <f>T('IPTV CA'!B776)</f>
        <v/>
      </c>
      <c r="I785" t="s">
        <v>4290</v>
      </c>
      <c r="J785" t="str">
        <f t="shared" si="102"/>
        <v/>
      </c>
      <c r="K785" t="str">
        <f t="shared" si="104"/>
        <v/>
      </c>
      <c r="L785" s="69"/>
      <c r="M785">
        <f>'TMIS US'!A776</f>
        <v>9642</v>
      </c>
      <c r="N785" t="str">
        <f>T('TMIS US'!B776)</f>
        <v/>
      </c>
      <c r="O785" t="s">
        <v>4290</v>
      </c>
      <c r="P785" t="str">
        <f t="shared" si="103"/>
        <v/>
      </c>
      <c r="Q785" t="str">
        <f t="shared" si="105"/>
        <v/>
      </c>
      <c r="R785" s="69"/>
      <c r="S785">
        <f>'TMIS CA'!A776</f>
        <v>0</v>
      </c>
      <c r="T785" t="str">
        <f>T('TMIS CA'!B776)</f>
        <v/>
      </c>
      <c r="U785" t="s">
        <v>4290</v>
      </c>
      <c r="V785" t="str">
        <f t="shared" si="107"/>
        <v/>
      </c>
      <c r="W785" t="str">
        <f t="shared" si="106"/>
        <v/>
      </c>
    </row>
    <row r="786" spans="1:23">
      <c r="A786">
        <f>'IPTV US'!A777</f>
        <v>11043</v>
      </c>
      <c r="B786" t="str">
        <f>T('IPTV US'!B777)</f>
        <v>Noticias Telemundo AHORA</v>
      </c>
      <c r="C786" t="s">
        <v>4288</v>
      </c>
      <c r="D786" t="str">
        <f t="shared" si="100"/>
        <v/>
      </c>
      <c r="E786" t="str">
        <f t="shared" si="101"/>
        <v/>
      </c>
      <c r="F786" s="68" t="s">
        <v>4289</v>
      </c>
      <c r="G786">
        <f>'IPTV CA'!A777</f>
        <v>0</v>
      </c>
      <c r="H786" t="str">
        <f>T('IPTV CA'!B777)</f>
        <v/>
      </c>
      <c r="I786" t="s">
        <v>4290</v>
      </c>
      <c r="J786" t="str">
        <f t="shared" si="102"/>
        <v/>
      </c>
      <c r="K786" t="str">
        <f t="shared" si="104"/>
        <v/>
      </c>
      <c r="L786" s="69"/>
      <c r="M786">
        <f>'TMIS US'!A777</f>
        <v>9643</v>
      </c>
      <c r="N786" t="str">
        <f>T('TMIS US'!B777)</f>
        <v>Noticias Telemundo AHORA</v>
      </c>
      <c r="O786" t="s">
        <v>4288</v>
      </c>
      <c r="P786" t="str">
        <f t="shared" si="103"/>
        <v/>
      </c>
      <c r="Q786" t="str">
        <f t="shared" si="105"/>
        <v/>
      </c>
      <c r="R786" s="69"/>
      <c r="S786">
        <f>'TMIS CA'!A777</f>
        <v>0</v>
      </c>
      <c r="T786" t="str">
        <f>T('TMIS CA'!B777)</f>
        <v/>
      </c>
      <c r="U786" t="s">
        <v>4290</v>
      </c>
      <c r="V786" t="str">
        <f t="shared" si="107"/>
        <v/>
      </c>
      <c r="W786" t="str">
        <f t="shared" si="106"/>
        <v/>
      </c>
    </row>
    <row r="787" spans="1:23">
      <c r="A787">
        <f>'IPTV US'!A778</f>
        <v>11044</v>
      </c>
      <c r="B787" t="str">
        <f>T('IPTV US'!B778)</f>
        <v>Estrella News</v>
      </c>
      <c r="C787" t="s">
        <v>4288</v>
      </c>
      <c r="D787" t="str">
        <f t="shared" si="100"/>
        <v/>
      </c>
      <c r="E787" t="str">
        <f t="shared" si="101"/>
        <v/>
      </c>
      <c r="F787" s="68" t="s">
        <v>4289</v>
      </c>
      <c r="G787">
        <f>'IPTV CA'!A778</f>
        <v>0</v>
      </c>
      <c r="H787" t="str">
        <f>T('IPTV CA'!B778)</f>
        <v/>
      </c>
      <c r="I787" t="s">
        <v>4290</v>
      </c>
      <c r="J787" t="str">
        <f t="shared" si="102"/>
        <v/>
      </c>
      <c r="K787" t="str">
        <f t="shared" si="104"/>
        <v/>
      </c>
      <c r="L787" s="69"/>
      <c r="M787">
        <f>'TMIS US'!A778</f>
        <v>9644</v>
      </c>
      <c r="N787" t="str">
        <f>T('TMIS US'!B778)</f>
        <v>Estrella News</v>
      </c>
      <c r="O787" t="s">
        <v>4288</v>
      </c>
      <c r="P787" t="str">
        <f t="shared" si="103"/>
        <v/>
      </c>
      <c r="Q787" t="str">
        <f t="shared" si="105"/>
        <v/>
      </c>
      <c r="R787" s="69"/>
      <c r="S787">
        <f>'TMIS CA'!A778</f>
        <v>0</v>
      </c>
      <c r="T787" t="str">
        <f>T('TMIS CA'!B778)</f>
        <v/>
      </c>
      <c r="U787" t="s">
        <v>4290</v>
      </c>
      <c r="V787" t="str">
        <f t="shared" si="107"/>
        <v/>
      </c>
      <c r="W787" t="str">
        <f t="shared" si="106"/>
        <v/>
      </c>
    </row>
    <row r="788" spans="1:23">
      <c r="A788">
        <f>'IPTV US'!A779</f>
        <v>11045</v>
      </c>
      <c r="B788" t="str">
        <f>T('IPTV US'!B779)</f>
        <v>CNÑ XPRESS</v>
      </c>
      <c r="C788" t="s">
        <v>4288</v>
      </c>
      <c r="D788" t="str">
        <f t="shared" si="100"/>
        <v/>
      </c>
      <c r="E788" t="str">
        <f t="shared" si="101"/>
        <v/>
      </c>
      <c r="F788" s="68" t="s">
        <v>4289</v>
      </c>
      <c r="G788">
        <f>'IPTV CA'!A779</f>
        <v>0</v>
      </c>
      <c r="H788" t="str">
        <f>T('IPTV CA'!B779)</f>
        <v/>
      </c>
      <c r="I788" t="s">
        <v>4290</v>
      </c>
      <c r="J788" t="str">
        <f t="shared" si="102"/>
        <v/>
      </c>
      <c r="K788" t="str">
        <f t="shared" si="104"/>
        <v/>
      </c>
      <c r="L788" s="69"/>
      <c r="M788">
        <f>'TMIS US'!A779</f>
        <v>9645</v>
      </c>
      <c r="N788" t="str">
        <f>T('TMIS US'!B779)</f>
        <v>CNÑ XPRESS</v>
      </c>
      <c r="O788" t="s">
        <v>4288</v>
      </c>
      <c r="P788" t="str">
        <f t="shared" si="103"/>
        <v/>
      </c>
      <c r="Q788" t="str">
        <f t="shared" si="105"/>
        <v/>
      </c>
      <c r="R788" s="69"/>
      <c r="S788">
        <f>'TMIS CA'!A779</f>
        <v>0</v>
      </c>
      <c r="T788" t="str">
        <f>T('TMIS CA'!B779)</f>
        <v/>
      </c>
      <c r="U788" t="s">
        <v>4290</v>
      </c>
      <c r="V788" t="str">
        <f t="shared" si="107"/>
        <v/>
      </c>
      <c r="W788" t="str">
        <f t="shared" si="106"/>
        <v/>
      </c>
    </row>
    <row r="789" spans="1:23">
      <c r="A789">
        <f>'IPTV US'!A780</f>
        <v>11046</v>
      </c>
      <c r="B789" t="str">
        <f>T('IPTV US'!B780)</f>
        <v>Telemundo al Dia</v>
      </c>
      <c r="C789" t="s">
        <v>4288</v>
      </c>
      <c r="D789" t="str">
        <f t="shared" si="100"/>
        <v/>
      </c>
      <c r="E789" t="str">
        <f t="shared" si="101"/>
        <v/>
      </c>
      <c r="F789" s="68" t="s">
        <v>4289</v>
      </c>
      <c r="G789">
        <f>'IPTV CA'!A780</f>
        <v>0</v>
      </c>
      <c r="H789" t="str">
        <f>T('IPTV CA'!B780)</f>
        <v/>
      </c>
      <c r="I789" t="s">
        <v>4290</v>
      </c>
      <c r="J789" t="str">
        <f t="shared" si="102"/>
        <v/>
      </c>
      <c r="K789" t="str">
        <f t="shared" si="104"/>
        <v/>
      </c>
      <c r="L789" s="69"/>
      <c r="M789">
        <f>'TMIS US'!A780</f>
        <v>9646</v>
      </c>
      <c r="N789" t="str">
        <f>T('TMIS US'!B780)</f>
        <v>Telemundo al Dia</v>
      </c>
      <c r="O789" t="s">
        <v>4288</v>
      </c>
      <c r="P789" t="str">
        <f t="shared" si="103"/>
        <v/>
      </c>
      <c r="Q789" t="str">
        <f t="shared" si="105"/>
        <v/>
      </c>
      <c r="R789" s="69"/>
      <c r="S789">
        <f>'TMIS CA'!A780</f>
        <v>0</v>
      </c>
      <c r="T789" t="str">
        <f>T('TMIS CA'!B780)</f>
        <v/>
      </c>
      <c r="U789" t="s">
        <v>4290</v>
      </c>
      <c r="V789" t="str">
        <f t="shared" si="107"/>
        <v/>
      </c>
      <c r="W789" t="str">
        <f t="shared" si="106"/>
        <v/>
      </c>
    </row>
    <row r="790" spans="1:23">
      <c r="A790">
        <f>'IPTV US'!A781</f>
        <v>11047</v>
      </c>
      <c r="B790" t="str">
        <f>T('IPTV US'!B781)</f>
        <v>WAPA+</v>
      </c>
      <c r="C790" t="s">
        <v>4288</v>
      </c>
      <c r="D790" t="str">
        <f t="shared" si="100"/>
        <v/>
      </c>
      <c r="E790" t="str">
        <f t="shared" si="101"/>
        <v/>
      </c>
      <c r="F790" s="68" t="s">
        <v>4289</v>
      </c>
      <c r="G790">
        <f>'IPTV CA'!A781</f>
        <v>0</v>
      </c>
      <c r="H790" t="str">
        <f>T('IPTV CA'!B781)</f>
        <v/>
      </c>
      <c r="I790" t="s">
        <v>4290</v>
      </c>
      <c r="J790" t="str">
        <f t="shared" si="102"/>
        <v/>
      </c>
      <c r="K790" t="str">
        <f t="shared" si="104"/>
        <v/>
      </c>
      <c r="L790" s="69"/>
      <c r="M790">
        <f>'TMIS US'!A781</f>
        <v>9647</v>
      </c>
      <c r="N790" t="str">
        <f>T('TMIS US'!B781)</f>
        <v>WAPA+</v>
      </c>
      <c r="O790" t="s">
        <v>4288</v>
      </c>
      <c r="P790" t="str">
        <f t="shared" si="103"/>
        <v/>
      </c>
      <c r="Q790" t="str">
        <f t="shared" si="105"/>
        <v/>
      </c>
      <c r="R790" s="69"/>
      <c r="S790">
        <f>'TMIS CA'!A781</f>
        <v>0</v>
      </c>
      <c r="T790" t="str">
        <f>T('TMIS CA'!B781)</f>
        <v/>
      </c>
      <c r="U790" t="s">
        <v>4290</v>
      </c>
      <c r="V790" t="str">
        <f t="shared" si="107"/>
        <v/>
      </c>
      <c r="W790" t="str">
        <f t="shared" si="106"/>
        <v/>
      </c>
    </row>
    <row r="791" spans="1:23">
      <c r="A791">
        <f>'IPTV US'!A782</f>
        <v>11048</v>
      </c>
      <c r="B791" t="str">
        <f>T('IPTV US'!B782)</f>
        <v/>
      </c>
      <c r="C791" t="s">
        <v>4290</v>
      </c>
      <c r="D791" t="str">
        <f t="shared" si="100"/>
        <v/>
      </c>
      <c r="E791" t="str">
        <f t="shared" si="101"/>
        <v/>
      </c>
      <c r="F791" s="68" t="s">
        <v>4289</v>
      </c>
      <c r="G791">
        <f>'IPTV CA'!A782</f>
        <v>0</v>
      </c>
      <c r="H791" t="str">
        <f>T('IPTV CA'!B782)</f>
        <v/>
      </c>
      <c r="I791" t="s">
        <v>4290</v>
      </c>
      <c r="J791" t="str">
        <f t="shared" si="102"/>
        <v/>
      </c>
      <c r="K791" t="str">
        <f t="shared" si="104"/>
        <v/>
      </c>
      <c r="L791" s="69"/>
      <c r="M791">
        <f>'TMIS US'!A782</f>
        <v>9648</v>
      </c>
      <c r="N791" t="str">
        <f>T('TMIS US'!B782)</f>
        <v/>
      </c>
      <c r="O791" t="s">
        <v>4290</v>
      </c>
      <c r="P791" t="str">
        <f t="shared" si="103"/>
        <v/>
      </c>
      <c r="Q791" t="str">
        <f t="shared" si="105"/>
        <v/>
      </c>
      <c r="R791" s="69"/>
      <c r="S791">
        <f>'TMIS CA'!A782</f>
        <v>0</v>
      </c>
      <c r="T791" t="str">
        <f>T('TMIS CA'!B782)</f>
        <v/>
      </c>
      <c r="U791" t="s">
        <v>4290</v>
      </c>
      <c r="V791" t="str">
        <f t="shared" si="107"/>
        <v/>
      </c>
      <c r="W791" t="str">
        <f t="shared" si="106"/>
        <v/>
      </c>
    </row>
    <row r="792" spans="1:23">
      <c r="A792">
        <f>'IPTV US'!A783</f>
        <v>11049</v>
      </c>
      <c r="B792" t="str">
        <f>T('IPTV US'!B783)</f>
        <v/>
      </c>
      <c r="C792" t="s">
        <v>4290</v>
      </c>
      <c r="D792" t="str">
        <f t="shared" si="100"/>
        <v/>
      </c>
      <c r="E792" t="str">
        <f t="shared" si="101"/>
        <v/>
      </c>
      <c r="F792" s="68" t="s">
        <v>4289</v>
      </c>
      <c r="G792">
        <f>'IPTV CA'!A783</f>
        <v>0</v>
      </c>
      <c r="H792" t="str">
        <f>T('IPTV CA'!B783)</f>
        <v/>
      </c>
      <c r="I792" t="s">
        <v>4290</v>
      </c>
      <c r="J792" t="str">
        <f t="shared" si="102"/>
        <v/>
      </c>
      <c r="K792" t="str">
        <f t="shared" si="104"/>
        <v/>
      </c>
      <c r="L792" s="69"/>
      <c r="M792">
        <f>'TMIS US'!A783</f>
        <v>9649</v>
      </c>
      <c r="N792" t="str">
        <f>T('TMIS US'!B783)</f>
        <v/>
      </c>
      <c r="O792" t="s">
        <v>4290</v>
      </c>
      <c r="P792" t="str">
        <f t="shared" si="103"/>
        <v/>
      </c>
      <c r="Q792" t="str">
        <f t="shared" si="105"/>
        <v/>
      </c>
      <c r="R792" s="69"/>
      <c r="S792">
        <f>'TMIS CA'!A783</f>
        <v>0</v>
      </c>
      <c r="T792" t="str">
        <f>T('TMIS CA'!B783)</f>
        <v/>
      </c>
      <c r="U792" t="s">
        <v>4290</v>
      </c>
      <c r="V792" t="str">
        <f t="shared" si="107"/>
        <v/>
      </c>
      <c r="W792" t="str">
        <f t="shared" si="106"/>
        <v/>
      </c>
    </row>
    <row r="793" spans="1:23">
      <c r="A793">
        <f>'IPTV US'!A784</f>
        <v>11050</v>
      </c>
      <c r="B793" t="str">
        <f>T('IPTV US'!B784)</f>
        <v/>
      </c>
      <c r="C793" t="s">
        <v>4290</v>
      </c>
      <c r="D793" t="str">
        <f t="shared" si="100"/>
        <v/>
      </c>
      <c r="E793" t="str">
        <f t="shared" si="101"/>
        <v/>
      </c>
      <c r="F793" s="68" t="s">
        <v>4289</v>
      </c>
      <c r="G793">
        <f>'IPTV CA'!A784</f>
        <v>0</v>
      </c>
      <c r="H793" t="str">
        <f>T('IPTV CA'!B784)</f>
        <v/>
      </c>
      <c r="I793" t="s">
        <v>4290</v>
      </c>
      <c r="J793" t="str">
        <f t="shared" si="102"/>
        <v/>
      </c>
      <c r="K793" t="str">
        <f t="shared" si="104"/>
        <v/>
      </c>
      <c r="L793" s="69"/>
      <c r="M793">
        <f>'TMIS US'!A784</f>
        <v>9650</v>
      </c>
      <c r="N793" t="str">
        <f>T('TMIS US'!B784)</f>
        <v/>
      </c>
      <c r="O793" t="s">
        <v>4290</v>
      </c>
      <c r="P793" t="str">
        <f t="shared" si="103"/>
        <v/>
      </c>
      <c r="Q793" t="str">
        <f t="shared" si="105"/>
        <v/>
      </c>
      <c r="R793" s="69"/>
      <c r="S793">
        <f>'TMIS CA'!A784</f>
        <v>0</v>
      </c>
      <c r="T793" t="str">
        <f>T('TMIS CA'!B784)</f>
        <v/>
      </c>
      <c r="U793" t="s">
        <v>4290</v>
      </c>
      <c r="V793" t="str">
        <f t="shared" si="107"/>
        <v/>
      </c>
      <c r="W793" t="str">
        <f t="shared" si="106"/>
        <v/>
      </c>
    </row>
    <row r="794" spans="1:23">
      <c r="A794">
        <f>'IPTV US'!A785</f>
        <v>11051</v>
      </c>
      <c r="B794" t="str">
        <f>T('IPTV US'!B785)</f>
        <v>Canela.TV Hollywood y Más</v>
      </c>
      <c r="C794" t="s">
        <v>4288</v>
      </c>
      <c r="D794" t="str">
        <f t="shared" si="100"/>
        <v/>
      </c>
      <c r="E794" t="str">
        <f t="shared" si="101"/>
        <v/>
      </c>
      <c r="F794" s="68" t="s">
        <v>4289</v>
      </c>
      <c r="G794">
        <f>'IPTV CA'!A785</f>
        <v>0</v>
      </c>
      <c r="H794" t="str">
        <f>T('IPTV CA'!B785)</f>
        <v/>
      </c>
      <c r="I794" t="s">
        <v>4290</v>
      </c>
      <c r="J794" t="str">
        <f t="shared" si="102"/>
        <v/>
      </c>
      <c r="K794" t="str">
        <f t="shared" si="104"/>
        <v/>
      </c>
      <c r="L794" s="69"/>
      <c r="M794">
        <f>'TMIS US'!A785</f>
        <v>9651</v>
      </c>
      <c r="N794" t="str">
        <f>T('TMIS US'!B785)</f>
        <v>Canela.TV Hollywood y Más</v>
      </c>
      <c r="O794" t="s">
        <v>4288</v>
      </c>
      <c r="P794" t="str">
        <f t="shared" si="103"/>
        <v/>
      </c>
      <c r="Q794" t="str">
        <f t="shared" si="105"/>
        <v/>
      </c>
      <c r="R794" s="69"/>
      <c r="S794">
        <f>'TMIS CA'!A785</f>
        <v>0</v>
      </c>
      <c r="T794" t="str">
        <f>T('TMIS CA'!B785)</f>
        <v/>
      </c>
      <c r="U794" t="s">
        <v>4290</v>
      </c>
      <c r="V794" t="str">
        <f t="shared" si="107"/>
        <v/>
      </c>
      <c r="W794" t="str">
        <f t="shared" si="106"/>
        <v/>
      </c>
    </row>
    <row r="795" spans="1:23">
      <c r="A795">
        <f>'IPTV US'!A786</f>
        <v>11052</v>
      </c>
      <c r="B795" t="str">
        <f>T('IPTV US'!B786)</f>
        <v>El Rey Rebel</v>
      </c>
      <c r="C795" t="s">
        <v>4288</v>
      </c>
      <c r="D795" t="str">
        <f t="shared" si="100"/>
        <v/>
      </c>
      <c r="E795" t="str">
        <f t="shared" si="101"/>
        <v/>
      </c>
      <c r="F795" s="68" t="s">
        <v>4289</v>
      </c>
      <c r="G795">
        <f>'IPTV CA'!A786</f>
        <v>0</v>
      </c>
      <c r="H795" t="str">
        <f>T('IPTV CA'!B786)</f>
        <v/>
      </c>
      <c r="I795" t="s">
        <v>4290</v>
      </c>
      <c r="J795" t="str">
        <f t="shared" si="102"/>
        <v/>
      </c>
      <c r="K795" t="str">
        <f t="shared" si="104"/>
        <v/>
      </c>
      <c r="L795" s="69"/>
      <c r="M795">
        <f>'TMIS US'!A786</f>
        <v>9652</v>
      </c>
      <c r="N795" t="str">
        <f>T('TMIS US'!B786)</f>
        <v>El Rey Rebel</v>
      </c>
      <c r="O795" t="s">
        <v>4288</v>
      </c>
      <c r="P795" t="str">
        <f t="shared" si="103"/>
        <v/>
      </c>
      <c r="Q795" t="str">
        <f t="shared" si="105"/>
        <v/>
      </c>
      <c r="R795" s="69"/>
      <c r="S795">
        <f>'TMIS CA'!A786</f>
        <v>0</v>
      </c>
      <c r="T795" t="str">
        <f>T('TMIS CA'!B786)</f>
        <v/>
      </c>
      <c r="U795" t="s">
        <v>4290</v>
      </c>
      <c r="V795" t="str">
        <f t="shared" si="107"/>
        <v/>
      </c>
      <c r="W795" t="str">
        <f t="shared" si="106"/>
        <v/>
      </c>
    </row>
    <row r="796" spans="1:23">
      <c r="A796">
        <f>'IPTV US'!A787</f>
        <v>11053</v>
      </c>
      <c r="B796" t="str">
        <f>T('IPTV US'!B787)</f>
        <v>FilmRise Películas Gratis</v>
      </c>
      <c r="C796" t="s">
        <v>4288</v>
      </c>
      <c r="D796" t="str">
        <f t="shared" si="100"/>
        <v/>
      </c>
      <c r="E796" t="str">
        <f t="shared" si="101"/>
        <v/>
      </c>
      <c r="F796" s="68" t="s">
        <v>4289</v>
      </c>
      <c r="G796">
        <f>'IPTV CA'!A787</f>
        <v>0</v>
      </c>
      <c r="H796" t="str">
        <f>T('IPTV CA'!B787)</f>
        <v/>
      </c>
      <c r="I796" t="s">
        <v>4290</v>
      </c>
      <c r="J796" t="str">
        <f t="shared" si="102"/>
        <v/>
      </c>
      <c r="K796" t="str">
        <f t="shared" si="104"/>
        <v/>
      </c>
      <c r="L796" s="69"/>
      <c r="M796">
        <f>'TMIS US'!A787</f>
        <v>9653</v>
      </c>
      <c r="N796" t="str">
        <f>T('TMIS US'!B787)</f>
        <v>FilmRise Películas Gratis</v>
      </c>
      <c r="O796" t="s">
        <v>4288</v>
      </c>
      <c r="P796" t="str">
        <f t="shared" si="103"/>
        <v/>
      </c>
      <c r="Q796" t="str">
        <f t="shared" si="105"/>
        <v/>
      </c>
      <c r="R796" s="69"/>
      <c r="S796">
        <f>'TMIS CA'!A787</f>
        <v>0</v>
      </c>
      <c r="T796" t="str">
        <f>T('TMIS CA'!B787)</f>
        <v/>
      </c>
      <c r="U796" t="s">
        <v>4290</v>
      </c>
      <c r="V796" t="str">
        <f t="shared" si="107"/>
        <v/>
      </c>
      <c r="W796" t="str">
        <f t="shared" si="106"/>
        <v/>
      </c>
    </row>
    <row r="797" spans="1:23">
      <c r="A797">
        <f>'IPTV US'!A788</f>
        <v>11054</v>
      </c>
      <c r="B797" t="str">
        <f>T('IPTV US'!B788)</f>
        <v>Todo Cine</v>
      </c>
      <c r="C797" t="s">
        <v>4288</v>
      </c>
      <c r="D797" t="str">
        <f t="shared" si="100"/>
        <v/>
      </c>
      <c r="E797" t="str">
        <f t="shared" si="101"/>
        <v/>
      </c>
      <c r="F797" s="68" t="s">
        <v>4289</v>
      </c>
      <c r="G797">
        <f>'IPTV CA'!A788</f>
        <v>0</v>
      </c>
      <c r="H797" t="str">
        <f>T('IPTV CA'!B788)</f>
        <v/>
      </c>
      <c r="I797" t="s">
        <v>4290</v>
      </c>
      <c r="J797" t="str">
        <f t="shared" si="102"/>
        <v/>
      </c>
      <c r="K797" t="str">
        <f t="shared" si="104"/>
        <v/>
      </c>
      <c r="L797" s="69"/>
      <c r="M797">
        <f>'TMIS US'!A788</f>
        <v>9654</v>
      </c>
      <c r="N797" t="str">
        <f>T('TMIS US'!B788)</f>
        <v>Todo Cine</v>
      </c>
      <c r="O797" t="s">
        <v>4288</v>
      </c>
      <c r="P797" t="str">
        <f t="shared" si="103"/>
        <v/>
      </c>
      <c r="Q797" t="str">
        <f t="shared" si="105"/>
        <v/>
      </c>
      <c r="R797" s="69"/>
      <c r="S797">
        <f>'TMIS CA'!A788</f>
        <v>0</v>
      </c>
      <c r="T797" t="str">
        <f>T('TMIS CA'!B788)</f>
        <v/>
      </c>
      <c r="U797" t="s">
        <v>4290</v>
      </c>
      <c r="V797" t="str">
        <f t="shared" si="107"/>
        <v/>
      </c>
      <c r="W797" t="str">
        <f t="shared" si="106"/>
        <v/>
      </c>
    </row>
    <row r="798" spans="1:23">
      <c r="A798">
        <f>'IPTV US'!A789</f>
        <v>11055</v>
      </c>
      <c r="B798" t="str">
        <f>T('IPTV US'!B789)</f>
        <v>butaca tv</v>
      </c>
      <c r="C798" t="s">
        <v>4288</v>
      </c>
      <c r="D798" t="str">
        <f t="shared" si="100"/>
        <v/>
      </c>
      <c r="E798" t="str">
        <f t="shared" si="101"/>
        <v/>
      </c>
      <c r="F798" s="68" t="s">
        <v>4289</v>
      </c>
      <c r="G798">
        <f>'IPTV CA'!A789</f>
        <v>0</v>
      </c>
      <c r="H798" t="str">
        <f>T('IPTV CA'!B789)</f>
        <v/>
      </c>
      <c r="I798" t="s">
        <v>4290</v>
      </c>
      <c r="J798" t="str">
        <f t="shared" si="102"/>
        <v/>
      </c>
      <c r="K798" t="str">
        <f t="shared" si="104"/>
        <v/>
      </c>
      <c r="L798" s="69"/>
      <c r="M798">
        <f>'TMIS US'!A789</f>
        <v>9655</v>
      </c>
      <c r="N798" t="str">
        <f>T('TMIS US'!B789)</f>
        <v>butaca tv</v>
      </c>
      <c r="O798" t="s">
        <v>4288</v>
      </c>
      <c r="P798" t="str">
        <f t="shared" si="103"/>
        <v/>
      </c>
      <c r="Q798" t="str">
        <f t="shared" si="105"/>
        <v/>
      </c>
      <c r="R798" s="69"/>
      <c r="S798">
        <f>'TMIS CA'!A789</f>
        <v>0</v>
      </c>
      <c r="T798" t="str">
        <f>T('TMIS CA'!B789)</f>
        <v/>
      </c>
      <c r="U798" t="s">
        <v>4290</v>
      </c>
      <c r="V798" t="str">
        <f t="shared" si="107"/>
        <v/>
      </c>
      <c r="W798" t="str">
        <f t="shared" si="106"/>
        <v/>
      </c>
    </row>
    <row r="799" spans="1:23">
      <c r="A799">
        <f>'IPTV US'!A790</f>
        <v>11056</v>
      </c>
      <c r="B799" t="str">
        <f>T('IPTV US'!B790)</f>
        <v>Cine EstrellaTV</v>
      </c>
      <c r="C799" t="s">
        <v>4288</v>
      </c>
      <c r="D799" t="str">
        <f t="shared" si="100"/>
        <v/>
      </c>
      <c r="E799" t="str">
        <f t="shared" si="101"/>
        <v/>
      </c>
      <c r="F799" s="68" t="s">
        <v>4289</v>
      </c>
      <c r="G799">
        <f>'IPTV CA'!A790</f>
        <v>0</v>
      </c>
      <c r="H799" t="str">
        <f>T('IPTV CA'!B790)</f>
        <v/>
      </c>
      <c r="I799" t="s">
        <v>4290</v>
      </c>
      <c r="J799" t="str">
        <f t="shared" si="102"/>
        <v/>
      </c>
      <c r="K799" t="str">
        <f t="shared" si="104"/>
        <v/>
      </c>
      <c r="L799" s="69"/>
      <c r="M799">
        <f>'TMIS US'!A790</f>
        <v>9656</v>
      </c>
      <c r="N799" t="str">
        <f>T('TMIS US'!B790)</f>
        <v>Cine EstrellaTV</v>
      </c>
      <c r="O799" t="s">
        <v>4288</v>
      </c>
      <c r="P799" t="str">
        <f t="shared" si="103"/>
        <v/>
      </c>
      <c r="Q799" t="str">
        <f t="shared" si="105"/>
        <v/>
      </c>
      <c r="R799" s="69"/>
      <c r="S799">
        <f>'TMIS CA'!A790</f>
        <v>0</v>
      </c>
      <c r="T799" t="str">
        <f>T('TMIS CA'!B790)</f>
        <v/>
      </c>
      <c r="U799" t="s">
        <v>4290</v>
      </c>
      <c r="V799" t="str">
        <f t="shared" si="107"/>
        <v/>
      </c>
      <c r="W799" t="str">
        <f t="shared" si="106"/>
        <v/>
      </c>
    </row>
    <row r="800" spans="1:23">
      <c r="A800">
        <f>'IPTV US'!A791</f>
        <v>11057</v>
      </c>
      <c r="B800" t="str">
        <f>T('IPTV US'!B791)</f>
        <v>Runtime Español</v>
      </c>
      <c r="C800" t="s">
        <v>4288</v>
      </c>
      <c r="D800" t="str">
        <f t="shared" si="100"/>
        <v/>
      </c>
      <c r="E800" t="str">
        <f t="shared" si="101"/>
        <v/>
      </c>
      <c r="F800" s="68" t="s">
        <v>4289</v>
      </c>
      <c r="G800">
        <f>'IPTV CA'!A791</f>
        <v>0</v>
      </c>
      <c r="H800" t="str">
        <f>T('IPTV CA'!B791)</f>
        <v/>
      </c>
      <c r="I800" t="s">
        <v>4290</v>
      </c>
      <c r="J800" t="str">
        <f t="shared" si="102"/>
        <v/>
      </c>
      <c r="K800" t="str">
        <f t="shared" si="104"/>
        <v/>
      </c>
      <c r="L800" s="69"/>
      <c r="M800">
        <f>'TMIS US'!A791</f>
        <v>9657</v>
      </c>
      <c r="N800" t="str">
        <f>T('TMIS US'!B791)</f>
        <v>Runtime Español</v>
      </c>
      <c r="O800" t="s">
        <v>4288</v>
      </c>
      <c r="P800" t="str">
        <f t="shared" si="103"/>
        <v/>
      </c>
      <c r="Q800" t="str">
        <f t="shared" si="105"/>
        <v/>
      </c>
      <c r="R800" s="69"/>
      <c r="S800">
        <f>'TMIS CA'!A791</f>
        <v>0</v>
      </c>
      <c r="T800" t="str">
        <f>T('TMIS CA'!B791)</f>
        <v/>
      </c>
      <c r="U800" t="s">
        <v>4290</v>
      </c>
      <c r="V800" t="str">
        <f t="shared" si="107"/>
        <v/>
      </c>
      <c r="W800" t="str">
        <f t="shared" si="106"/>
        <v/>
      </c>
    </row>
    <row r="801" spans="1:23">
      <c r="A801">
        <f>'IPTV US'!A792</f>
        <v>11058</v>
      </c>
      <c r="B801" t="str">
        <f>T('IPTV US'!B792)</f>
        <v>FreeTV Estelar</v>
      </c>
      <c r="C801" t="s">
        <v>4288</v>
      </c>
      <c r="D801" t="str">
        <f t="shared" si="100"/>
        <v/>
      </c>
      <c r="E801" t="str">
        <f t="shared" si="101"/>
        <v/>
      </c>
      <c r="F801" s="68" t="s">
        <v>4289</v>
      </c>
      <c r="G801">
        <f>'IPTV CA'!A792</f>
        <v>0</v>
      </c>
      <c r="H801" t="str">
        <f>T('IPTV CA'!B792)</f>
        <v/>
      </c>
      <c r="I801" t="s">
        <v>4290</v>
      </c>
      <c r="J801" t="str">
        <f t="shared" si="102"/>
        <v/>
      </c>
      <c r="K801" t="str">
        <f t="shared" si="104"/>
        <v/>
      </c>
      <c r="L801" s="69"/>
      <c r="M801">
        <f>'TMIS US'!A792</f>
        <v>9658</v>
      </c>
      <c r="N801" t="str">
        <f>T('TMIS US'!B792)</f>
        <v>FreeTV Estelar</v>
      </c>
      <c r="O801" t="s">
        <v>4288</v>
      </c>
      <c r="P801" t="str">
        <f t="shared" si="103"/>
        <v/>
      </c>
      <c r="Q801" t="str">
        <f t="shared" si="105"/>
        <v/>
      </c>
      <c r="R801" s="69"/>
      <c r="S801">
        <f>'TMIS CA'!A792</f>
        <v>0</v>
      </c>
      <c r="T801" t="str">
        <f>T('TMIS CA'!B792)</f>
        <v/>
      </c>
      <c r="U801" t="s">
        <v>4290</v>
      </c>
      <c r="V801" t="str">
        <f t="shared" si="107"/>
        <v/>
      </c>
      <c r="W801" t="str">
        <f t="shared" si="106"/>
        <v/>
      </c>
    </row>
    <row r="802" spans="1:23">
      <c r="A802">
        <f>'IPTV US'!A793</f>
        <v>11059</v>
      </c>
      <c r="B802" t="str">
        <f>T('IPTV US'!B793)</f>
        <v>Hallmark en Español</v>
      </c>
      <c r="C802" t="s">
        <v>4288</v>
      </c>
      <c r="D802" t="str">
        <f t="shared" si="100"/>
        <v/>
      </c>
      <c r="E802" t="str">
        <f t="shared" si="101"/>
        <v/>
      </c>
      <c r="F802" s="68" t="s">
        <v>4289</v>
      </c>
      <c r="G802">
        <f>'IPTV CA'!A793</f>
        <v>0</v>
      </c>
      <c r="H802" t="str">
        <f>T('IPTV CA'!B793)</f>
        <v/>
      </c>
      <c r="I802" t="s">
        <v>4290</v>
      </c>
      <c r="J802" t="str">
        <f t="shared" si="102"/>
        <v/>
      </c>
      <c r="K802" t="str">
        <f t="shared" si="104"/>
        <v/>
      </c>
      <c r="L802" s="69"/>
      <c r="M802">
        <f>'TMIS US'!A793</f>
        <v>9659</v>
      </c>
      <c r="N802" t="str">
        <f>T('TMIS US'!B793)</f>
        <v>Hallmark en Español</v>
      </c>
      <c r="O802" t="s">
        <v>4288</v>
      </c>
      <c r="P802" t="str">
        <f t="shared" si="103"/>
        <v/>
      </c>
      <c r="Q802" t="str">
        <f t="shared" si="105"/>
        <v/>
      </c>
      <c r="R802" s="69"/>
      <c r="S802">
        <f>'TMIS CA'!A793</f>
        <v>0</v>
      </c>
      <c r="T802" t="str">
        <f>T('TMIS CA'!B793)</f>
        <v/>
      </c>
      <c r="U802" t="s">
        <v>4290</v>
      </c>
      <c r="V802" t="str">
        <f t="shared" si="107"/>
        <v/>
      </c>
      <c r="W802" t="str">
        <f t="shared" si="106"/>
        <v/>
      </c>
    </row>
    <row r="803" spans="1:23">
      <c r="A803">
        <f>'IPTV US'!A794</f>
        <v>11060</v>
      </c>
      <c r="B803" t="str">
        <f>T('IPTV US'!B794)</f>
        <v/>
      </c>
      <c r="C803" t="s">
        <v>4290</v>
      </c>
      <c r="D803" t="str">
        <f t="shared" si="100"/>
        <v/>
      </c>
      <c r="E803" t="str">
        <f t="shared" si="101"/>
        <v/>
      </c>
      <c r="F803" s="68" t="s">
        <v>4289</v>
      </c>
      <c r="G803">
        <f>'IPTV CA'!A794</f>
        <v>0</v>
      </c>
      <c r="H803" t="str">
        <f>T('IPTV CA'!B794)</f>
        <v/>
      </c>
      <c r="I803" t="s">
        <v>4290</v>
      </c>
      <c r="J803" t="str">
        <f t="shared" si="102"/>
        <v/>
      </c>
      <c r="K803" t="str">
        <f t="shared" si="104"/>
        <v/>
      </c>
      <c r="L803" s="69"/>
      <c r="M803">
        <f>'TMIS US'!A794</f>
        <v>9660</v>
      </c>
      <c r="N803" t="str">
        <f>T('TMIS US'!B794)</f>
        <v/>
      </c>
      <c r="O803" t="s">
        <v>4290</v>
      </c>
      <c r="P803" t="str">
        <f t="shared" si="103"/>
        <v/>
      </c>
      <c r="Q803" t="str">
        <f t="shared" si="105"/>
        <v/>
      </c>
      <c r="R803" s="69"/>
      <c r="S803">
        <f>'TMIS CA'!A794</f>
        <v>0</v>
      </c>
      <c r="T803" t="str">
        <f>T('TMIS CA'!B794)</f>
        <v/>
      </c>
      <c r="U803" t="s">
        <v>4290</v>
      </c>
      <c r="V803" t="str">
        <f t="shared" si="107"/>
        <v/>
      </c>
      <c r="W803" t="str">
        <f t="shared" si="106"/>
        <v/>
      </c>
    </row>
    <row r="804" spans="1:23">
      <c r="A804">
        <f>'IPTV US'!A795</f>
        <v>11061</v>
      </c>
      <c r="B804" t="str">
        <f>T('IPTV US'!B795)</f>
        <v/>
      </c>
      <c r="C804" t="s">
        <v>4290</v>
      </c>
      <c r="D804" t="str">
        <f t="shared" si="100"/>
        <v/>
      </c>
      <c r="E804" t="str">
        <f t="shared" si="101"/>
        <v/>
      </c>
      <c r="F804" s="68" t="s">
        <v>4289</v>
      </c>
      <c r="G804">
        <f>'IPTV CA'!A795</f>
        <v>0</v>
      </c>
      <c r="H804" t="str">
        <f>T('IPTV CA'!B795)</f>
        <v/>
      </c>
      <c r="I804" t="s">
        <v>4290</v>
      </c>
      <c r="J804" t="str">
        <f t="shared" si="102"/>
        <v/>
      </c>
      <c r="K804" t="str">
        <f t="shared" si="104"/>
        <v/>
      </c>
      <c r="L804" s="69"/>
      <c r="M804">
        <f>'TMIS US'!A795</f>
        <v>9661</v>
      </c>
      <c r="N804" t="str">
        <f>T('TMIS US'!B795)</f>
        <v/>
      </c>
      <c r="O804" t="s">
        <v>4290</v>
      </c>
      <c r="P804" t="str">
        <f t="shared" si="103"/>
        <v/>
      </c>
      <c r="Q804" t="str">
        <f t="shared" si="105"/>
        <v/>
      </c>
      <c r="R804" s="69"/>
      <c r="S804">
        <f>'TMIS CA'!A795</f>
        <v>0</v>
      </c>
      <c r="T804" t="str">
        <f>T('TMIS CA'!B795)</f>
        <v/>
      </c>
      <c r="U804" t="s">
        <v>4290</v>
      </c>
      <c r="V804" t="str">
        <f t="shared" si="107"/>
        <v/>
      </c>
      <c r="W804" t="str">
        <f t="shared" si="106"/>
        <v/>
      </c>
    </row>
    <row r="805" spans="1:23">
      <c r="A805">
        <f>'IPTV US'!A796</f>
        <v>11062</v>
      </c>
      <c r="B805" t="str">
        <f>T('IPTV US'!B796)</f>
        <v/>
      </c>
      <c r="C805" t="s">
        <v>4290</v>
      </c>
      <c r="D805" t="str">
        <f t="shared" si="100"/>
        <v/>
      </c>
      <c r="E805" t="str">
        <f t="shared" si="101"/>
        <v/>
      </c>
      <c r="F805" s="68" t="s">
        <v>4289</v>
      </c>
      <c r="G805">
        <f>'IPTV CA'!A796</f>
        <v>0</v>
      </c>
      <c r="H805" t="str">
        <f>T('IPTV CA'!B796)</f>
        <v/>
      </c>
      <c r="I805" t="s">
        <v>4290</v>
      </c>
      <c r="J805" t="str">
        <f t="shared" si="102"/>
        <v/>
      </c>
      <c r="K805" t="str">
        <f t="shared" si="104"/>
        <v/>
      </c>
      <c r="L805" s="69"/>
      <c r="M805">
        <f>'TMIS US'!A796</f>
        <v>9662</v>
      </c>
      <c r="N805" t="str">
        <f>T('TMIS US'!B796)</f>
        <v/>
      </c>
      <c r="O805" t="s">
        <v>4290</v>
      </c>
      <c r="P805" t="str">
        <f t="shared" si="103"/>
        <v/>
      </c>
      <c r="Q805" t="str">
        <f t="shared" si="105"/>
        <v/>
      </c>
      <c r="R805" s="69"/>
      <c r="S805">
        <f>'TMIS CA'!A796</f>
        <v>0</v>
      </c>
      <c r="T805" t="str">
        <f>T('TMIS CA'!B796)</f>
        <v/>
      </c>
      <c r="U805" t="s">
        <v>4290</v>
      </c>
      <c r="V805" t="str">
        <f t="shared" si="107"/>
        <v/>
      </c>
      <c r="W805" t="str">
        <f t="shared" si="106"/>
        <v/>
      </c>
    </row>
    <row r="806" spans="1:23">
      <c r="A806">
        <f>'IPTV US'!A797</f>
        <v>11063</v>
      </c>
      <c r="B806" t="str">
        <f>T('IPTV US'!B797)</f>
        <v>Anger Management en español</v>
      </c>
      <c r="C806" t="s">
        <v>4288</v>
      </c>
      <c r="D806" t="str">
        <f t="shared" si="100"/>
        <v/>
      </c>
      <c r="E806" t="str">
        <f t="shared" si="101"/>
        <v/>
      </c>
      <c r="F806" s="68" t="s">
        <v>4289</v>
      </c>
      <c r="G806">
        <f>'IPTV CA'!A797</f>
        <v>0</v>
      </c>
      <c r="H806" t="str">
        <f>T('IPTV CA'!B797)</f>
        <v/>
      </c>
      <c r="I806" t="s">
        <v>4290</v>
      </c>
      <c r="J806" t="str">
        <f t="shared" si="102"/>
        <v/>
      </c>
      <c r="K806" t="str">
        <f t="shared" si="104"/>
        <v/>
      </c>
      <c r="L806" s="69"/>
      <c r="M806">
        <f>'TMIS US'!A797</f>
        <v>9663</v>
      </c>
      <c r="N806" t="str">
        <f>T('TMIS US'!B797)</f>
        <v>Anger Management en español</v>
      </c>
      <c r="O806" t="s">
        <v>4288</v>
      </c>
      <c r="P806" t="str">
        <f t="shared" si="103"/>
        <v/>
      </c>
      <c r="Q806" t="str">
        <f t="shared" si="105"/>
        <v/>
      </c>
      <c r="R806" s="69"/>
      <c r="S806">
        <f>'TMIS CA'!A797</f>
        <v>0</v>
      </c>
      <c r="T806" t="str">
        <f>T('TMIS CA'!B797)</f>
        <v/>
      </c>
      <c r="U806" t="s">
        <v>4290</v>
      </c>
      <c r="V806" t="str">
        <f t="shared" si="107"/>
        <v/>
      </c>
      <c r="W806" t="str">
        <f t="shared" si="106"/>
        <v/>
      </c>
    </row>
    <row r="807" spans="1:23">
      <c r="A807">
        <f>'IPTV US'!A798</f>
        <v>11064</v>
      </c>
      <c r="B807" t="str">
        <f>T('IPTV US'!B798)</f>
        <v>Autopista al Cielo</v>
      </c>
      <c r="C807" t="s">
        <v>4288</v>
      </c>
      <c r="D807" t="str">
        <f t="shared" si="100"/>
        <v/>
      </c>
      <c r="E807" t="str">
        <f t="shared" si="101"/>
        <v/>
      </c>
      <c r="F807" s="68" t="s">
        <v>4289</v>
      </c>
      <c r="G807">
        <f>'IPTV CA'!A798</f>
        <v>0</v>
      </c>
      <c r="H807" t="str">
        <f>T('IPTV CA'!B798)</f>
        <v/>
      </c>
      <c r="I807" t="s">
        <v>4290</v>
      </c>
      <c r="J807" t="str">
        <f t="shared" si="102"/>
        <v/>
      </c>
      <c r="K807" t="str">
        <f t="shared" si="104"/>
        <v/>
      </c>
      <c r="L807" s="69"/>
      <c r="M807">
        <f>'TMIS US'!A798</f>
        <v>9664</v>
      </c>
      <c r="N807" t="str">
        <f>T('TMIS US'!B798)</f>
        <v>Autopista al Cielo</v>
      </c>
      <c r="O807" t="s">
        <v>4288</v>
      </c>
      <c r="P807" t="str">
        <f t="shared" si="103"/>
        <v/>
      </c>
      <c r="Q807" t="str">
        <f t="shared" si="105"/>
        <v/>
      </c>
      <c r="R807" s="69"/>
      <c r="S807">
        <f>'TMIS CA'!A798</f>
        <v>0</v>
      </c>
      <c r="T807" t="str">
        <f>T('TMIS CA'!B798)</f>
        <v/>
      </c>
      <c r="U807" t="s">
        <v>4290</v>
      </c>
      <c r="V807" t="str">
        <f t="shared" si="107"/>
        <v/>
      </c>
      <c r="W807" t="str">
        <f t="shared" si="106"/>
        <v/>
      </c>
    </row>
    <row r="808" spans="1:23">
      <c r="A808">
        <f>'IPTV US'!A799</f>
        <v>11065</v>
      </c>
      <c r="B808" t="str">
        <f>T('IPTV US'!B799)</f>
        <v>FilmRise Series Gratis</v>
      </c>
      <c r="C808" t="s">
        <v>4288</v>
      </c>
      <c r="D808" t="str">
        <f t="shared" si="100"/>
        <v/>
      </c>
      <c r="E808" t="str">
        <f t="shared" si="101"/>
        <v/>
      </c>
      <c r="F808" s="68" t="s">
        <v>4289</v>
      </c>
      <c r="G808">
        <f>'IPTV CA'!A799</f>
        <v>0</v>
      </c>
      <c r="H808" t="str">
        <f>T('IPTV CA'!B799)</f>
        <v/>
      </c>
      <c r="I808" t="s">
        <v>4290</v>
      </c>
      <c r="J808" t="str">
        <f t="shared" si="102"/>
        <v/>
      </c>
      <c r="K808" t="str">
        <f t="shared" si="104"/>
        <v/>
      </c>
      <c r="L808" s="69"/>
      <c r="M808">
        <f>'TMIS US'!A799</f>
        <v>9665</v>
      </c>
      <c r="N808" t="str">
        <f>T('TMIS US'!B799)</f>
        <v>FilmRise Series Gratis</v>
      </c>
      <c r="O808" t="s">
        <v>4288</v>
      </c>
      <c r="P808" t="str">
        <f t="shared" si="103"/>
        <v/>
      </c>
      <c r="Q808" t="str">
        <f t="shared" si="105"/>
        <v/>
      </c>
      <c r="R808" s="69"/>
      <c r="S808">
        <f>'TMIS CA'!A799</f>
        <v>0</v>
      </c>
      <c r="T808" t="str">
        <f>T('TMIS CA'!B799)</f>
        <v/>
      </c>
      <c r="U808" t="s">
        <v>4290</v>
      </c>
      <c r="V808" t="str">
        <f t="shared" si="107"/>
        <v/>
      </c>
      <c r="W808" t="str">
        <f t="shared" si="106"/>
        <v/>
      </c>
    </row>
    <row r="809" spans="1:23">
      <c r="A809">
        <f>'IPTV US'!A800</f>
        <v>11066</v>
      </c>
      <c r="B809" t="str">
        <f>T('IPTV US'!B800)</f>
        <v>Telemundo Acción</v>
      </c>
      <c r="C809" t="s">
        <v>4288</v>
      </c>
      <c r="D809" t="str">
        <f t="shared" si="100"/>
        <v/>
      </c>
      <c r="E809" t="str">
        <f t="shared" si="101"/>
        <v/>
      </c>
      <c r="F809" s="68" t="s">
        <v>4289</v>
      </c>
      <c r="G809">
        <f>'IPTV CA'!A800</f>
        <v>0</v>
      </c>
      <c r="H809" t="str">
        <f>T('IPTV CA'!B800)</f>
        <v/>
      </c>
      <c r="I809" t="s">
        <v>4290</v>
      </c>
      <c r="J809" t="str">
        <f t="shared" si="102"/>
        <v/>
      </c>
      <c r="K809" t="str">
        <f t="shared" si="104"/>
        <v/>
      </c>
      <c r="L809" s="69"/>
      <c r="M809">
        <f>'TMIS US'!A800</f>
        <v>9666</v>
      </c>
      <c r="N809" t="str">
        <f>T('TMIS US'!B800)</f>
        <v>Telemundo Acción</v>
      </c>
      <c r="O809" t="s">
        <v>4288</v>
      </c>
      <c r="P809" t="str">
        <f t="shared" si="103"/>
        <v/>
      </c>
      <c r="Q809" t="str">
        <f t="shared" si="105"/>
        <v/>
      </c>
      <c r="R809" s="69"/>
      <c r="S809">
        <f>'TMIS CA'!A800</f>
        <v>0</v>
      </c>
      <c r="T809" t="str">
        <f>T('TMIS CA'!B800)</f>
        <v/>
      </c>
      <c r="U809" t="s">
        <v>4290</v>
      </c>
      <c r="V809" t="str">
        <f t="shared" si="107"/>
        <v/>
      </c>
      <c r="W809" t="str">
        <f t="shared" si="106"/>
        <v/>
      </c>
    </row>
    <row r="810" spans="1:23">
      <c r="A810">
        <f>'IPTV US'!A801</f>
        <v>11067</v>
      </c>
      <c r="B810" t="str">
        <f>T('IPTV US'!B801)</f>
        <v/>
      </c>
      <c r="C810" t="s">
        <v>4290</v>
      </c>
      <c r="D810" t="str">
        <f t="shared" si="100"/>
        <v/>
      </c>
      <c r="E810" t="str">
        <f t="shared" si="101"/>
        <v/>
      </c>
      <c r="F810" s="68" t="s">
        <v>4289</v>
      </c>
      <c r="G810">
        <f>'IPTV CA'!A801</f>
        <v>0</v>
      </c>
      <c r="H810" t="str">
        <f>T('IPTV CA'!B801)</f>
        <v/>
      </c>
      <c r="I810" t="s">
        <v>4290</v>
      </c>
      <c r="J810" t="str">
        <f t="shared" si="102"/>
        <v/>
      </c>
      <c r="K810" t="str">
        <f t="shared" si="104"/>
        <v/>
      </c>
      <c r="L810" s="69"/>
      <c r="M810">
        <f>'TMIS US'!A801</f>
        <v>9667</v>
      </c>
      <c r="N810" t="str">
        <f>T('TMIS US'!B801)</f>
        <v/>
      </c>
      <c r="O810" t="s">
        <v>4290</v>
      </c>
      <c r="P810" t="str">
        <f t="shared" si="103"/>
        <v/>
      </c>
      <c r="Q810" t="str">
        <f t="shared" si="105"/>
        <v/>
      </c>
      <c r="R810" s="69"/>
      <c r="S810">
        <f>'TMIS CA'!A801</f>
        <v>0</v>
      </c>
      <c r="T810" t="str">
        <f>T('TMIS CA'!B801)</f>
        <v/>
      </c>
      <c r="U810" t="s">
        <v>4290</v>
      </c>
      <c r="V810" t="str">
        <f t="shared" si="107"/>
        <v/>
      </c>
      <c r="W810" t="str">
        <f t="shared" si="106"/>
        <v/>
      </c>
    </row>
    <row r="811" spans="1:23">
      <c r="A811">
        <f>'IPTV US'!A802</f>
        <v>11068</v>
      </c>
      <c r="B811" t="str">
        <f>T('IPTV US'!B802)</f>
        <v>RCN Más</v>
      </c>
      <c r="C811" t="s">
        <v>4288</v>
      </c>
      <c r="D811" t="str">
        <f t="shared" si="100"/>
        <v/>
      </c>
      <c r="E811" t="str">
        <f t="shared" si="101"/>
        <v/>
      </c>
      <c r="F811" s="68" t="s">
        <v>4289</v>
      </c>
      <c r="G811">
        <f>'IPTV CA'!A802</f>
        <v>0</v>
      </c>
      <c r="H811" t="str">
        <f>T('IPTV CA'!B802)</f>
        <v/>
      </c>
      <c r="I811" t="s">
        <v>4290</v>
      </c>
      <c r="J811" t="str">
        <f t="shared" si="102"/>
        <v/>
      </c>
      <c r="K811" t="str">
        <f t="shared" si="104"/>
        <v/>
      </c>
      <c r="L811" s="69"/>
      <c r="M811">
        <f>'TMIS US'!A802</f>
        <v>9668</v>
      </c>
      <c r="N811" t="str">
        <f>T('TMIS US'!B802)</f>
        <v>RCN Más</v>
      </c>
      <c r="O811" t="s">
        <v>4288</v>
      </c>
      <c r="P811" t="str">
        <f t="shared" si="103"/>
        <v/>
      </c>
      <c r="Q811" t="str">
        <f t="shared" si="105"/>
        <v/>
      </c>
      <c r="R811" s="69"/>
      <c r="S811">
        <f>'TMIS CA'!A802</f>
        <v>0</v>
      </c>
      <c r="T811" t="str">
        <f>T('TMIS CA'!B802)</f>
        <v/>
      </c>
      <c r="U811" t="s">
        <v>4290</v>
      </c>
      <c r="V811" t="str">
        <f t="shared" si="107"/>
        <v/>
      </c>
      <c r="W811" t="str">
        <f t="shared" si="106"/>
        <v/>
      </c>
    </row>
    <row r="812" spans="1:23">
      <c r="A812">
        <f>'IPTV US'!A803</f>
        <v>11069</v>
      </c>
      <c r="B812" t="str">
        <f>T('IPTV US'!B803)</f>
        <v>FreeTV Live</v>
      </c>
      <c r="C812" t="s">
        <v>4288</v>
      </c>
      <c r="D812" t="str">
        <f t="shared" si="100"/>
        <v/>
      </c>
      <c r="E812" t="str">
        <f t="shared" si="101"/>
        <v/>
      </c>
      <c r="F812" s="68" t="s">
        <v>4289</v>
      </c>
      <c r="G812">
        <f>'IPTV CA'!A803</f>
        <v>0</v>
      </c>
      <c r="H812" t="str">
        <f>T('IPTV CA'!B803)</f>
        <v/>
      </c>
      <c r="I812" t="s">
        <v>4290</v>
      </c>
      <c r="J812" t="str">
        <f t="shared" si="102"/>
        <v/>
      </c>
      <c r="K812" t="str">
        <f t="shared" si="104"/>
        <v/>
      </c>
      <c r="L812" s="69"/>
      <c r="M812">
        <f>'TMIS US'!A803</f>
        <v>9669</v>
      </c>
      <c r="N812" t="str">
        <f>T('TMIS US'!B803)</f>
        <v>FreeTV Live</v>
      </c>
      <c r="O812" t="s">
        <v>4288</v>
      </c>
      <c r="P812" t="str">
        <f t="shared" si="103"/>
        <v/>
      </c>
      <c r="Q812" t="str">
        <f t="shared" si="105"/>
        <v/>
      </c>
      <c r="R812" s="69"/>
      <c r="S812">
        <f>'TMIS CA'!A803</f>
        <v>0</v>
      </c>
      <c r="T812" t="str">
        <f>T('TMIS CA'!B803)</f>
        <v/>
      </c>
      <c r="U812" t="s">
        <v>4290</v>
      </c>
      <c r="V812" t="str">
        <f t="shared" si="107"/>
        <v/>
      </c>
      <c r="W812" t="str">
        <f t="shared" si="106"/>
        <v/>
      </c>
    </row>
    <row r="813" spans="1:23">
      <c r="A813">
        <f>'IPTV US'!A804</f>
        <v>11070</v>
      </c>
      <c r="B813" t="str">
        <f>T('IPTV US'!B804)</f>
        <v>Canela.TV Pasión Latina</v>
      </c>
      <c r="C813" t="s">
        <v>4288</v>
      </c>
      <c r="D813" t="str">
        <f t="shared" si="100"/>
        <v/>
      </c>
      <c r="E813" t="str">
        <f t="shared" si="101"/>
        <v/>
      </c>
      <c r="F813" s="68" t="s">
        <v>4289</v>
      </c>
      <c r="G813">
        <f>'IPTV CA'!A804</f>
        <v>0</v>
      </c>
      <c r="H813" t="str">
        <f>T('IPTV CA'!B804)</f>
        <v/>
      </c>
      <c r="I813" t="s">
        <v>4290</v>
      </c>
      <c r="J813" t="str">
        <f t="shared" si="102"/>
        <v/>
      </c>
      <c r="K813" t="str">
        <f t="shared" si="104"/>
        <v/>
      </c>
      <c r="L813" s="69"/>
      <c r="M813">
        <f>'TMIS US'!A804</f>
        <v>9670</v>
      </c>
      <c r="N813" t="str">
        <f>T('TMIS US'!B804)</f>
        <v>Canela.TV Pasión Latina</v>
      </c>
      <c r="O813" t="s">
        <v>4288</v>
      </c>
      <c r="P813" t="str">
        <f t="shared" si="103"/>
        <v/>
      </c>
      <c r="Q813" t="str">
        <f t="shared" si="105"/>
        <v/>
      </c>
      <c r="R813" s="69"/>
      <c r="S813">
        <f>'TMIS CA'!A804</f>
        <v>0</v>
      </c>
      <c r="T813" t="str">
        <f>T('TMIS CA'!B804)</f>
        <v/>
      </c>
      <c r="U813" t="s">
        <v>4290</v>
      </c>
      <c r="V813" t="str">
        <f t="shared" si="107"/>
        <v/>
      </c>
      <c r="W813" t="str">
        <f t="shared" si="106"/>
        <v/>
      </c>
    </row>
    <row r="814" spans="1:23">
      <c r="A814">
        <f>'IPTV US'!A805</f>
        <v>11071</v>
      </c>
      <c r="B814" t="str">
        <f>T('IPTV US'!B805)</f>
        <v>Novelisima</v>
      </c>
      <c r="C814" t="s">
        <v>4288</v>
      </c>
      <c r="D814" t="str">
        <f t="shared" si="100"/>
        <v/>
      </c>
      <c r="E814" t="str">
        <f t="shared" si="101"/>
        <v/>
      </c>
      <c r="F814" s="68" t="s">
        <v>4289</v>
      </c>
      <c r="G814">
        <f>'IPTV CA'!A805</f>
        <v>0</v>
      </c>
      <c r="H814" t="str">
        <f>T('IPTV CA'!B805)</f>
        <v/>
      </c>
      <c r="I814" t="s">
        <v>4290</v>
      </c>
      <c r="J814" t="str">
        <f t="shared" si="102"/>
        <v/>
      </c>
      <c r="K814" t="str">
        <f t="shared" si="104"/>
        <v/>
      </c>
      <c r="L814" s="69"/>
      <c r="M814">
        <f>'TMIS US'!A805</f>
        <v>9671</v>
      </c>
      <c r="N814" t="str">
        <f>T('TMIS US'!B805)</f>
        <v>Novelisima</v>
      </c>
      <c r="O814" t="s">
        <v>4288</v>
      </c>
      <c r="P814" t="str">
        <f t="shared" si="103"/>
        <v/>
      </c>
      <c r="Q814" t="str">
        <f t="shared" si="105"/>
        <v/>
      </c>
      <c r="R814" s="69"/>
      <c r="S814">
        <f>'TMIS CA'!A805</f>
        <v>0</v>
      </c>
      <c r="T814" t="str">
        <f>T('TMIS CA'!B805)</f>
        <v/>
      </c>
      <c r="U814" t="s">
        <v>4290</v>
      </c>
      <c r="V814" t="str">
        <f t="shared" si="107"/>
        <v/>
      </c>
      <c r="W814" t="str">
        <f t="shared" si="106"/>
        <v/>
      </c>
    </row>
    <row r="815" spans="1:23">
      <c r="A815">
        <f>'IPTV US'!A806</f>
        <v>11072</v>
      </c>
      <c r="B815" t="str">
        <f>T('IPTV US'!B806)</f>
        <v/>
      </c>
      <c r="C815" t="s">
        <v>4290</v>
      </c>
      <c r="D815" t="str">
        <f t="shared" si="100"/>
        <v/>
      </c>
      <c r="E815" t="str">
        <f t="shared" si="101"/>
        <v/>
      </c>
      <c r="F815" s="68" t="s">
        <v>4289</v>
      </c>
      <c r="G815">
        <f>'IPTV CA'!A806</f>
        <v>0</v>
      </c>
      <c r="H815" t="str">
        <f>T('IPTV CA'!B806)</f>
        <v/>
      </c>
      <c r="I815" t="s">
        <v>4290</v>
      </c>
      <c r="J815" t="str">
        <f t="shared" si="102"/>
        <v/>
      </c>
      <c r="K815" t="str">
        <f t="shared" si="104"/>
        <v/>
      </c>
      <c r="L815" s="69"/>
      <c r="M815">
        <f>'TMIS US'!A806</f>
        <v>9672</v>
      </c>
      <c r="N815" t="str">
        <f>T('TMIS US'!B806)</f>
        <v/>
      </c>
      <c r="O815" t="s">
        <v>4290</v>
      </c>
      <c r="P815" t="str">
        <f t="shared" si="103"/>
        <v/>
      </c>
      <c r="Q815" t="str">
        <f t="shared" si="105"/>
        <v/>
      </c>
      <c r="R815" s="69"/>
      <c r="S815">
        <f>'TMIS CA'!A806</f>
        <v>0</v>
      </c>
      <c r="T815" t="str">
        <f>T('TMIS CA'!B806)</f>
        <v/>
      </c>
      <c r="U815" t="s">
        <v>4290</v>
      </c>
      <c r="V815" t="str">
        <f t="shared" si="107"/>
        <v/>
      </c>
      <c r="W815" t="str">
        <f t="shared" si="106"/>
        <v/>
      </c>
    </row>
    <row r="816" spans="1:23">
      <c r="A816">
        <f>'IPTV US'!A807</f>
        <v>11073</v>
      </c>
      <c r="B816" t="str">
        <f>T('IPTV US'!B807)</f>
        <v/>
      </c>
      <c r="C816" t="s">
        <v>4290</v>
      </c>
      <c r="D816" t="str">
        <f t="shared" si="100"/>
        <v/>
      </c>
      <c r="E816" t="str">
        <f t="shared" si="101"/>
        <v/>
      </c>
      <c r="F816" s="68" t="s">
        <v>4289</v>
      </c>
      <c r="G816">
        <f>'IPTV CA'!A807</f>
        <v>0</v>
      </c>
      <c r="H816" t="str">
        <f>T('IPTV CA'!B807)</f>
        <v/>
      </c>
      <c r="I816" t="s">
        <v>4290</v>
      </c>
      <c r="J816" t="str">
        <f t="shared" si="102"/>
        <v/>
      </c>
      <c r="K816" t="str">
        <f t="shared" si="104"/>
        <v/>
      </c>
      <c r="L816" s="69"/>
      <c r="M816">
        <f>'TMIS US'!A807</f>
        <v>9673</v>
      </c>
      <c r="N816" t="str">
        <f>T('TMIS US'!B807)</f>
        <v/>
      </c>
      <c r="O816" t="s">
        <v>4290</v>
      </c>
      <c r="P816" t="str">
        <f t="shared" si="103"/>
        <v/>
      </c>
      <c r="Q816" t="str">
        <f t="shared" si="105"/>
        <v/>
      </c>
      <c r="R816" s="69"/>
      <c r="S816">
        <f>'TMIS CA'!A807</f>
        <v>0</v>
      </c>
      <c r="T816" t="str">
        <f>T('TMIS CA'!B807)</f>
        <v/>
      </c>
      <c r="U816" t="s">
        <v>4290</v>
      </c>
      <c r="V816" t="str">
        <f t="shared" si="107"/>
        <v/>
      </c>
      <c r="W816" t="str">
        <f t="shared" si="106"/>
        <v/>
      </c>
    </row>
    <row r="817" spans="1:23">
      <c r="A817">
        <f>'IPTV US'!A808</f>
        <v>11074</v>
      </c>
      <c r="B817" t="str">
        <f>T('IPTV US'!B808)</f>
        <v>Canela Telenovelas</v>
      </c>
      <c r="C817" t="s">
        <v>4288</v>
      </c>
      <c r="D817" t="str">
        <f t="shared" si="100"/>
        <v/>
      </c>
      <c r="E817" t="str">
        <f t="shared" si="101"/>
        <v/>
      </c>
      <c r="F817" s="68" t="s">
        <v>4289</v>
      </c>
      <c r="G817">
        <f>'IPTV CA'!A808</f>
        <v>0</v>
      </c>
      <c r="H817" t="str">
        <f>T('IPTV CA'!B808)</f>
        <v/>
      </c>
      <c r="I817" t="s">
        <v>4290</v>
      </c>
      <c r="J817" t="str">
        <f t="shared" si="102"/>
        <v/>
      </c>
      <c r="K817" t="str">
        <f t="shared" si="104"/>
        <v/>
      </c>
      <c r="L817" s="69"/>
      <c r="M817">
        <f>'TMIS US'!A808</f>
        <v>9674</v>
      </c>
      <c r="N817" t="str">
        <f>T('TMIS US'!B808)</f>
        <v>Canela Telenovelas</v>
      </c>
      <c r="O817" t="s">
        <v>4288</v>
      </c>
      <c r="P817" t="str">
        <f t="shared" si="103"/>
        <v/>
      </c>
      <c r="Q817" t="str">
        <f t="shared" si="105"/>
        <v/>
      </c>
      <c r="R817" s="69"/>
      <c r="S817">
        <f>'TMIS CA'!A808</f>
        <v>0</v>
      </c>
      <c r="T817" t="str">
        <f>T('TMIS CA'!B808)</f>
        <v/>
      </c>
      <c r="U817" t="s">
        <v>4290</v>
      </c>
      <c r="V817" t="str">
        <f t="shared" si="107"/>
        <v/>
      </c>
      <c r="W817" t="str">
        <f t="shared" si="106"/>
        <v/>
      </c>
    </row>
    <row r="818" spans="1:23">
      <c r="A818">
        <f>'IPTV US'!A809</f>
        <v>11075</v>
      </c>
      <c r="B818" t="str">
        <f>T('IPTV US'!B809)</f>
        <v>Todo Novelas, más Pasiones</v>
      </c>
      <c r="C818" t="s">
        <v>4288</v>
      </c>
      <c r="D818" t="str">
        <f t="shared" si="100"/>
        <v/>
      </c>
      <c r="E818" t="str">
        <f t="shared" si="101"/>
        <v/>
      </c>
      <c r="F818" s="68" t="s">
        <v>4289</v>
      </c>
      <c r="G818">
        <f>'IPTV CA'!A809</f>
        <v>0</v>
      </c>
      <c r="H818" t="str">
        <f>T('IPTV CA'!B809)</f>
        <v/>
      </c>
      <c r="I818" t="s">
        <v>4290</v>
      </c>
      <c r="J818" t="str">
        <f t="shared" si="102"/>
        <v/>
      </c>
      <c r="K818" t="str">
        <f t="shared" si="104"/>
        <v/>
      </c>
      <c r="L818" s="69"/>
      <c r="M818">
        <f>'TMIS US'!A809</f>
        <v>9675</v>
      </c>
      <c r="N818" t="str">
        <f>T('TMIS US'!B809)</f>
        <v>Todo Novelas, más Pasiones</v>
      </c>
      <c r="O818" t="s">
        <v>4288</v>
      </c>
      <c r="P818" t="str">
        <f t="shared" si="103"/>
        <v/>
      </c>
      <c r="Q818" t="str">
        <f t="shared" si="105"/>
        <v/>
      </c>
      <c r="R818" s="69"/>
      <c r="S818">
        <f>'TMIS CA'!A809</f>
        <v>0</v>
      </c>
      <c r="T818" t="str">
        <f>T('TMIS CA'!B809)</f>
        <v/>
      </c>
      <c r="U818" t="s">
        <v>4290</v>
      </c>
      <c r="V818" t="str">
        <f t="shared" si="107"/>
        <v/>
      </c>
      <c r="W818" t="str">
        <f t="shared" si="106"/>
        <v/>
      </c>
    </row>
    <row r="819" spans="1:23">
      <c r="A819">
        <f>'IPTV US'!A810</f>
        <v>11076</v>
      </c>
      <c r="B819" t="str">
        <f>T('IPTV US'!B810)</f>
        <v>Telemundo Romance</v>
      </c>
      <c r="C819" t="s">
        <v>4288</v>
      </c>
      <c r="D819" t="str">
        <f t="shared" si="100"/>
        <v/>
      </c>
      <c r="E819" t="str">
        <f t="shared" si="101"/>
        <v/>
      </c>
      <c r="F819" s="68" t="s">
        <v>4289</v>
      </c>
      <c r="G819">
        <f>'IPTV CA'!A810</f>
        <v>0</v>
      </c>
      <c r="H819" t="str">
        <f>T('IPTV CA'!B810)</f>
        <v/>
      </c>
      <c r="I819" t="s">
        <v>4290</v>
      </c>
      <c r="J819" t="str">
        <f t="shared" si="102"/>
        <v/>
      </c>
      <c r="K819" t="str">
        <f t="shared" si="104"/>
        <v/>
      </c>
      <c r="L819" s="69"/>
      <c r="M819">
        <f>'TMIS US'!A810</f>
        <v>9676</v>
      </c>
      <c r="N819" t="str">
        <f>T('TMIS US'!B810)</f>
        <v>Telemundo Romance</v>
      </c>
      <c r="O819" t="s">
        <v>4288</v>
      </c>
      <c r="P819" t="str">
        <f t="shared" si="103"/>
        <v/>
      </c>
      <c r="Q819" t="str">
        <f t="shared" si="105"/>
        <v/>
      </c>
      <c r="R819" s="69"/>
      <c r="S819">
        <f>'TMIS CA'!A810</f>
        <v>0</v>
      </c>
      <c r="T819" t="str">
        <f>T('TMIS CA'!B810)</f>
        <v/>
      </c>
      <c r="U819" t="s">
        <v>4290</v>
      </c>
      <c r="V819" t="str">
        <f t="shared" si="107"/>
        <v/>
      </c>
      <c r="W819" t="str">
        <f t="shared" si="106"/>
        <v/>
      </c>
    </row>
    <row r="820" spans="1:23">
      <c r="A820">
        <f>'IPTV US'!A811</f>
        <v>11077</v>
      </c>
      <c r="B820" t="str">
        <f>T('IPTV US'!B811)</f>
        <v>Corazón</v>
      </c>
      <c r="C820" t="s">
        <v>4288</v>
      </c>
      <c r="D820" t="str">
        <f t="shared" si="100"/>
        <v/>
      </c>
      <c r="E820" t="str">
        <f t="shared" si="101"/>
        <v/>
      </c>
      <c r="F820" s="68" t="s">
        <v>4289</v>
      </c>
      <c r="G820">
        <f>'IPTV CA'!A811</f>
        <v>0</v>
      </c>
      <c r="H820" t="str">
        <f>T('IPTV CA'!B811)</f>
        <v/>
      </c>
      <c r="I820" t="s">
        <v>4290</v>
      </c>
      <c r="J820" t="str">
        <f t="shared" si="102"/>
        <v/>
      </c>
      <c r="K820" t="str">
        <f t="shared" si="104"/>
        <v/>
      </c>
      <c r="L820" s="69"/>
      <c r="M820">
        <f>'TMIS US'!A811</f>
        <v>9677</v>
      </c>
      <c r="N820" t="str">
        <f>T('TMIS US'!B811)</f>
        <v>Corazón</v>
      </c>
      <c r="O820" t="s">
        <v>4288</v>
      </c>
      <c r="P820" t="str">
        <f t="shared" si="103"/>
        <v/>
      </c>
      <c r="Q820" t="str">
        <f t="shared" si="105"/>
        <v/>
      </c>
      <c r="R820" s="69"/>
      <c r="S820">
        <f>'TMIS CA'!A811</f>
        <v>0</v>
      </c>
      <c r="T820" t="str">
        <f>T('TMIS CA'!B811)</f>
        <v/>
      </c>
      <c r="U820" t="s">
        <v>4290</v>
      </c>
      <c r="V820" t="str">
        <f t="shared" si="107"/>
        <v/>
      </c>
      <c r="W820" t="str">
        <f t="shared" si="106"/>
        <v/>
      </c>
    </row>
    <row r="821" spans="1:23">
      <c r="A821">
        <f>'IPTV US'!A812</f>
        <v>11078</v>
      </c>
      <c r="B821" t="str">
        <f>T('IPTV US'!B812)</f>
        <v>Spark TV Luz y Amor</v>
      </c>
      <c r="C821" t="s">
        <v>4288</v>
      </c>
      <c r="D821" t="str">
        <f t="shared" si="100"/>
        <v/>
      </c>
      <c r="E821" t="str">
        <f t="shared" si="101"/>
        <v/>
      </c>
      <c r="F821" s="68" t="s">
        <v>4289</v>
      </c>
      <c r="G821">
        <f>'IPTV CA'!A812</f>
        <v>0</v>
      </c>
      <c r="H821" t="str">
        <f>T('IPTV CA'!B812)</f>
        <v/>
      </c>
      <c r="I821" t="s">
        <v>4290</v>
      </c>
      <c r="J821" t="str">
        <f t="shared" si="102"/>
        <v/>
      </c>
      <c r="K821" t="str">
        <f t="shared" si="104"/>
        <v/>
      </c>
      <c r="L821" s="69"/>
      <c r="M821">
        <f>'TMIS US'!A812</f>
        <v>9678</v>
      </c>
      <c r="N821" t="str">
        <f>T('TMIS US'!B812)</f>
        <v>Spark TV Luz y Amor</v>
      </c>
      <c r="O821" t="s">
        <v>4288</v>
      </c>
      <c r="P821" t="str">
        <f t="shared" si="103"/>
        <v/>
      </c>
      <c r="Q821" t="str">
        <f t="shared" si="105"/>
        <v/>
      </c>
      <c r="R821" s="69"/>
      <c r="S821">
        <f>'TMIS CA'!A812</f>
        <v>0</v>
      </c>
      <c r="T821" t="str">
        <f>T('TMIS CA'!B812)</f>
        <v/>
      </c>
      <c r="U821" t="s">
        <v>4290</v>
      </c>
      <c r="V821" t="str">
        <f t="shared" si="107"/>
        <v/>
      </c>
      <c r="W821" t="str">
        <f t="shared" si="106"/>
        <v/>
      </c>
    </row>
    <row r="822" spans="1:23">
      <c r="A822">
        <f>'IPTV US'!A813</f>
        <v>11079</v>
      </c>
      <c r="B822" t="str">
        <f>T('IPTV US'!B813)</f>
        <v>FreeTV Familia</v>
      </c>
      <c r="C822" t="s">
        <v>4288</v>
      </c>
      <c r="D822" t="str">
        <f t="shared" si="100"/>
        <v/>
      </c>
      <c r="E822" t="str">
        <f t="shared" si="101"/>
        <v/>
      </c>
      <c r="F822" s="68" t="s">
        <v>4289</v>
      </c>
      <c r="G822">
        <f>'IPTV CA'!A813</f>
        <v>0</v>
      </c>
      <c r="H822" t="str">
        <f>T('IPTV CA'!B813)</f>
        <v/>
      </c>
      <c r="I822" t="s">
        <v>4290</v>
      </c>
      <c r="J822" t="str">
        <f t="shared" si="102"/>
        <v/>
      </c>
      <c r="K822" t="str">
        <f t="shared" si="104"/>
        <v/>
      </c>
      <c r="L822" s="69"/>
      <c r="M822">
        <f>'TMIS US'!A813</f>
        <v>9679</v>
      </c>
      <c r="N822" t="str">
        <f>T('TMIS US'!B813)</f>
        <v>FreeTV Familia</v>
      </c>
      <c r="O822" t="s">
        <v>4288</v>
      </c>
      <c r="P822" t="str">
        <f t="shared" si="103"/>
        <v/>
      </c>
      <c r="Q822" t="str">
        <f t="shared" si="105"/>
        <v/>
      </c>
      <c r="R822" s="69"/>
      <c r="S822">
        <f>'TMIS CA'!A813</f>
        <v>0</v>
      </c>
      <c r="T822" t="str">
        <f>T('TMIS CA'!B813)</f>
        <v/>
      </c>
      <c r="U822" t="s">
        <v>4290</v>
      </c>
      <c r="V822" t="str">
        <f t="shared" si="107"/>
        <v/>
      </c>
      <c r="W822" t="str">
        <f t="shared" si="106"/>
        <v/>
      </c>
    </row>
    <row r="823" spans="1:23">
      <c r="A823">
        <f>'IPTV US'!A814</f>
        <v>11080</v>
      </c>
      <c r="B823" t="str">
        <f>T('IPTV US'!B814)</f>
        <v>Oro TV</v>
      </c>
      <c r="C823" t="s">
        <v>4288</v>
      </c>
      <c r="D823" t="str">
        <f t="shared" si="100"/>
        <v/>
      </c>
      <c r="E823" t="str">
        <f t="shared" si="101"/>
        <v/>
      </c>
      <c r="F823" s="68" t="s">
        <v>4289</v>
      </c>
      <c r="G823">
        <f>'IPTV CA'!A814</f>
        <v>0</v>
      </c>
      <c r="H823" t="str">
        <f>T('IPTV CA'!B814)</f>
        <v/>
      </c>
      <c r="I823" t="s">
        <v>4290</v>
      </c>
      <c r="J823" t="str">
        <f t="shared" si="102"/>
        <v/>
      </c>
      <c r="K823" t="str">
        <f t="shared" si="104"/>
        <v/>
      </c>
      <c r="L823" s="69"/>
      <c r="M823">
        <f>'TMIS US'!A814</f>
        <v>9680</v>
      </c>
      <c r="N823" t="str">
        <f>T('TMIS US'!B814)</f>
        <v>Oro TV</v>
      </c>
      <c r="O823" t="s">
        <v>4288</v>
      </c>
      <c r="P823" t="str">
        <f t="shared" si="103"/>
        <v/>
      </c>
      <c r="Q823" t="str">
        <f t="shared" si="105"/>
        <v/>
      </c>
      <c r="R823" s="69"/>
      <c r="S823">
        <f>'TMIS CA'!A814</f>
        <v>0</v>
      </c>
      <c r="T823" t="str">
        <f>T('TMIS CA'!B814)</f>
        <v/>
      </c>
      <c r="U823" t="s">
        <v>4290</v>
      </c>
      <c r="V823" t="str">
        <f t="shared" si="107"/>
        <v/>
      </c>
      <c r="W823" t="str">
        <f t="shared" si="106"/>
        <v/>
      </c>
    </row>
    <row r="824" spans="1:23">
      <c r="A824">
        <f>'IPTV US'!A815</f>
        <v>11081</v>
      </c>
      <c r="B824" t="str">
        <f>T('IPTV US'!B815)</f>
        <v>Canela.TV Clásicos</v>
      </c>
      <c r="C824" t="s">
        <v>4288</v>
      </c>
      <c r="D824" t="str">
        <f t="shared" si="100"/>
        <v/>
      </c>
      <c r="E824" t="str">
        <f t="shared" si="101"/>
        <v/>
      </c>
      <c r="F824" s="68" t="s">
        <v>4289</v>
      </c>
      <c r="G824">
        <f>'IPTV CA'!A815</f>
        <v>0</v>
      </c>
      <c r="H824" t="str">
        <f>T('IPTV CA'!B815)</f>
        <v/>
      </c>
      <c r="I824" t="s">
        <v>4290</v>
      </c>
      <c r="J824" t="str">
        <f t="shared" si="102"/>
        <v/>
      </c>
      <c r="K824" t="str">
        <f t="shared" si="104"/>
        <v/>
      </c>
      <c r="L824" s="69"/>
      <c r="M824">
        <f>'TMIS US'!A815</f>
        <v>9681</v>
      </c>
      <c r="N824" t="str">
        <f>T('TMIS US'!B815)</f>
        <v>Canela.TV Clásicos</v>
      </c>
      <c r="O824" t="s">
        <v>4288</v>
      </c>
      <c r="P824" t="str">
        <f t="shared" si="103"/>
        <v/>
      </c>
      <c r="Q824" t="str">
        <f t="shared" si="105"/>
        <v/>
      </c>
      <c r="R824" s="69"/>
      <c r="S824">
        <f>'TMIS CA'!A815</f>
        <v>0</v>
      </c>
      <c r="T824" t="str">
        <f>T('TMIS CA'!B815)</f>
        <v/>
      </c>
      <c r="U824" t="s">
        <v>4290</v>
      </c>
      <c r="V824" t="str">
        <f t="shared" si="107"/>
        <v/>
      </c>
      <c r="W824" t="str">
        <f t="shared" si="106"/>
        <v/>
      </c>
    </row>
    <row r="825" spans="1:23">
      <c r="A825">
        <f>'IPTV US'!A816</f>
        <v>11082</v>
      </c>
      <c r="B825" t="str">
        <f>T('IPTV US'!B816)</f>
        <v>Cine y Series</v>
      </c>
      <c r="C825" t="s">
        <v>4288</v>
      </c>
      <c r="D825" t="str">
        <f t="shared" si="100"/>
        <v/>
      </c>
      <c r="E825" t="str">
        <f t="shared" si="101"/>
        <v/>
      </c>
      <c r="F825" s="68" t="s">
        <v>4289</v>
      </c>
      <c r="G825">
        <f>'IPTV CA'!A816</f>
        <v>0</v>
      </c>
      <c r="H825" t="str">
        <f>T('IPTV CA'!B816)</f>
        <v/>
      </c>
      <c r="I825" t="s">
        <v>4290</v>
      </c>
      <c r="J825" t="str">
        <f t="shared" si="102"/>
        <v/>
      </c>
      <c r="K825" t="str">
        <f t="shared" si="104"/>
        <v/>
      </c>
      <c r="L825" s="69"/>
      <c r="M825">
        <f>'TMIS US'!A816</f>
        <v>9682</v>
      </c>
      <c r="N825" t="str">
        <f>T('TMIS US'!B816)</f>
        <v>Cine y Series</v>
      </c>
      <c r="O825" t="s">
        <v>4288</v>
      </c>
      <c r="P825" t="str">
        <f t="shared" si="103"/>
        <v/>
      </c>
      <c r="Q825" t="str">
        <f t="shared" si="105"/>
        <v/>
      </c>
      <c r="R825" s="69"/>
      <c r="S825">
        <f>'TMIS CA'!A816</f>
        <v>0</v>
      </c>
      <c r="T825" t="str">
        <f>T('TMIS CA'!B816)</f>
        <v/>
      </c>
      <c r="U825" t="s">
        <v>4290</v>
      </c>
      <c r="V825" t="str">
        <f t="shared" si="107"/>
        <v/>
      </c>
      <c r="W825" t="str">
        <f t="shared" si="106"/>
        <v/>
      </c>
    </row>
    <row r="826" spans="1:23">
      <c r="A826">
        <f>'IPTV US'!A817</f>
        <v>11083</v>
      </c>
      <c r="B826" t="str">
        <f>T('IPTV US'!B817)</f>
        <v>Grjngo - Películas Del Oeste</v>
      </c>
      <c r="C826" t="s">
        <v>4288</v>
      </c>
      <c r="D826" t="str">
        <f t="shared" si="100"/>
        <v/>
      </c>
      <c r="E826" t="str">
        <f t="shared" si="101"/>
        <v/>
      </c>
      <c r="F826" s="68" t="s">
        <v>4289</v>
      </c>
      <c r="G826">
        <f>'IPTV CA'!A817</f>
        <v>0</v>
      </c>
      <c r="H826" t="str">
        <f>T('IPTV CA'!B817)</f>
        <v/>
      </c>
      <c r="I826" t="s">
        <v>4290</v>
      </c>
      <c r="J826" t="str">
        <f t="shared" si="102"/>
        <v/>
      </c>
      <c r="K826" t="str">
        <f t="shared" si="104"/>
        <v/>
      </c>
      <c r="L826" s="69"/>
      <c r="M826">
        <f>'TMIS US'!A817</f>
        <v>9683</v>
      </c>
      <c r="N826" t="str">
        <f>T('TMIS US'!B817)</f>
        <v>Grjngo - Películas Del Oeste</v>
      </c>
      <c r="O826" t="s">
        <v>4288</v>
      </c>
      <c r="P826" t="str">
        <f t="shared" si="103"/>
        <v/>
      </c>
      <c r="Q826" t="str">
        <f t="shared" si="105"/>
        <v/>
      </c>
      <c r="R826" s="69"/>
      <c r="S826">
        <f>'TMIS CA'!A817</f>
        <v>0</v>
      </c>
      <c r="T826" t="str">
        <f>T('TMIS CA'!B817)</f>
        <v/>
      </c>
      <c r="U826" t="s">
        <v>4290</v>
      </c>
      <c r="V826" t="str">
        <f t="shared" si="107"/>
        <v/>
      </c>
      <c r="W826" t="str">
        <f t="shared" si="106"/>
        <v/>
      </c>
    </row>
    <row r="827" spans="1:23">
      <c r="A827">
        <f>'IPTV US'!A818</f>
        <v>11084</v>
      </c>
      <c r="B827" t="str">
        <f>T('IPTV US'!B818)</f>
        <v/>
      </c>
      <c r="C827" t="s">
        <v>4290</v>
      </c>
      <c r="D827" t="str">
        <f t="shared" si="100"/>
        <v/>
      </c>
      <c r="E827" t="str">
        <f t="shared" si="101"/>
        <v/>
      </c>
      <c r="F827" s="68" t="s">
        <v>4289</v>
      </c>
      <c r="G827">
        <f>'IPTV CA'!A818</f>
        <v>0</v>
      </c>
      <c r="H827" t="str">
        <f>T('IPTV CA'!B818)</f>
        <v/>
      </c>
      <c r="I827" t="s">
        <v>4290</v>
      </c>
      <c r="J827" t="str">
        <f t="shared" si="102"/>
        <v/>
      </c>
      <c r="K827" t="str">
        <f t="shared" si="104"/>
        <v/>
      </c>
      <c r="L827" s="69"/>
      <c r="M827">
        <f>'TMIS US'!A818</f>
        <v>9684</v>
      </c>
      <c r="N827" t="str">
        <f>T('TMIS US'!B818)</f>
        <v/>
      </c>
      <c r="O827" t="s">
        <v>4290</v>
      </c>
      <c r="P827" t="str">
        <f t="shared" si="103"/>
        <v/>
      </c>
      <c r="Q827" t="str">
        <f t="shared" si="105"/>
        <v/>
      </c>
      <c r="R827" s="69"/>
      <c r="S827">
        <f>'TMIS CA'!A818</f>
        <v>0</v>
      </c>
      <c r="T827" t="str">
        <f>T('TMIS CA'!B818)</f>
        <v/>
      </c>
      <c r="U827" t="s">
        <v>4290</v>
      </c>
      <c r="V827" t="str">
        <f t="shared" si="107"/>
        <v/>
      </c>
      <c r="W827" t="str">
        <f t="shared" si="106"/>
        <v/>
      </c>
    </row>
    <row r="828" spans="1:23">
      <c r="A828">
        <f>'IPTV US'!A819</f>
        <v>11085</v>
      </c>
      <c r="B828" t="str">
        <f>T('IPTV US'!B819)</f>
        <v/>
      </c>
      <c r="C828" t="s">
        <v>4290</v>
      </c>
      <c r="D828" t="str">
        <f t="shared" si="100"/>
        <v/>
      </c>
      <c r="E828" t="str">
        <f t="shared" si="101"/>
        <v/>
      </c>
      <c r="F828" s="68" t="s">
        <v>4289</v>
      </c>
      <c r="G828">
        <f>'IPTV CA'!A819</f>
        <v>0</v>
      </c>
      <c r="H828" t="str">
        <f>T('IPTV CA'!B819)</f>
        <v/>
      </c>
      <c r="I828" t="s">
        <v>4290</v>
      </c>
      <c r="J828" t="str">
        <f t="shared" si="102"/>
        <v/>
      </c>
      <c r="K828" t="str">
        <f t="shared" si="104"/>
        <v/>
      </c>
      <c r="L828" s="69"/>
      <c r="M828">
        <f>'TMIS US'!A819</f>
        <v>9685</v>
      </c>
      <c r="N828" t="str">
        <f>T('TMIS US'!B819)</f>
        <v/>
      </c>
      <c r="O828" t="s">
        <v>4290</v>
      </c>
      <c r="P828" t="str">
        <f t="shared" si="103"/>
        <v/>
      </c>
      <c r="Q828" t="str">
        <f t="shared" si="105"/>
        <v/>
      </c>
      <c r="R828" s="69"/>
      <c r="S828">
        <f>'TMIS CA'!A819</f>
        <v>0</v>
      </c>
      <c r="T828" t="str">
        <f>T('TMIS CA'!B819)</f>
        <v/>
      </c>
      <c r="U828" t="s">
        <v>4290</v>
      </c>
      <c r="V828" t="str">
        <f t="shared" si="107"/>
        <v/>
      </c>
      <c r="W828" t="str">
        <f t="shared" si="106"/>
        <v/>
      </c>
    </row>
    <row r="829" spans="1:23">
      <c r="A829">
        <f>'IPTV US'!A820</f>
        <v>11086</v>
      </c>
      <c r="B829" t="str">
        <f>T('IPTV US'!B820)</f>
        <v>Crimen</v>
      </c>
      <c r="C829" t="s">
        <v>4288</v>
      </c>
      <c r="D829" t="str">
        <f t="shared" si="100"/>
        <v/>
      </c>
      <c r="E829" t="str">
        <f t="shared" si="101"/>
        <v/>
      </c>
      <c r="F829" s="68" t="s">
        <v>4289</v>
      </c>
      <c r="G829">
        <f>'IPTV CA'!A820</f>
        <v>0</v>
      </c>
      <c r="H829" t="str">
        <f>T('IPTV CA'!B820)</f>
        <v/>
      </c>
      <c r="I829" t="s">
        <v>4290</v>
      </c>
      <c r="J829" t="str">
        <f t="shared" si="102"/>
        <v/>
      </c>
      <c r="K829" t="str">
        <f t="shared" si="104"/>
        <v/>
      </c>
      <c r="L829" s="69"/>
      <c r="M829">
        <f>'TMIS US'!A820</f>
        <v>9686</v>
      </c>
      <c r="N829" t="str">
        <f>T('TMIS US'!B820)</f>
        <v>Crimen</v>
      </c>
      <c r="O829" t="s">
        <v>4288</v>
      </c>
      <c r="P829" t="str">
        <f t="shared" si="103"/>
        <v/>
      </c>
      <c r="Q829" t="str">
        <f t="shared" si="105"/>
        <v/>
      </c>
      <c r="R829" s="69"/>
      <c r="S829">
        <f>'TMIS CA'!A820</f>
        <v>0</v>
      </c>
      <c r="T829" t="str">
        <f>T('TMIS CA'!B820)</f>
        <v/>
      </c>
      <c r="U829" t="s">
        <v>4290</v>
      </c>
      <c r="V829" t="str">
        <f t="shared" si="107"/>
        <v/>
      </c>
      <c r="W829" t="str">
        <f t="shared" si="106"/>
        <v/>
      </c>
    </row>
    <row r="830" spans="1:23">
      <c r="A830">
        <f>'IPTV US'!A821</f>
        <v>11087</v>
      </c>
      <c r="B830" t="str">
        <f>T('IPTV US'!B821)</f>
        <v>COPS en Español</v>
      </c>
      <c r="C830" t="s">
        <v>4288</v>
      </c>
      <c r="D830" t="str">
        <f t="shared" si="100"/>
        <v/>
      </c>
      <c r="E830" t="str">
        <f t="shared" si="101"/>
        <v/>
      </c>
      <c r="F830" s="68" t="s">
        <v>4289</v>
      </c>
      <c r="G830">
        <f>'IPTV CA'!A821</f>
        <v>0</v>
      </c>
      <c r="H830" t="str">
        <f>T('IPTV CA'!B821)</f>
        <v/>
      </c>
      <c r="I830" t="s">
        <v>4290</v>
      </c>
      <c r="J830" t="str">
        <f t="shared" si="102"/>
        <v/>
      </c>
      <c r="K830" t="str">
        <f t="shared" si="104"/>
        <v/>
      </c>
      <c r="L830" s="69"/>
      <c r="M830">
        <f>'TMIS US'!A821</f>
        <v>9687</v>
      </c>
      <c r="N830" t="str">
        <f>T('TMIS US'!B821)</f>
        <v>COPS en Español</v>
      </c>
      <c r="O830" t="s">
        <v>4288</v>
      </c>
      <c r="P830" t="str">
        <f t="shared" si="103"/>
        <v/>
      </c>
      <c r="Q830" t="str">
        <f t="shared" si="105"/>
        <v/>
      </c>
      <c r="R830" s="69"/>
      <c r="S830">
        <f>'TMIS CA'!A821</f>
        <v>0</v>
      </c>
      <c r="T830" t="str">
        <f>T('TMIS CA'!B821)</f>
        <v/>
      </c>
      <c r="U830" t="s">
        <v>4290</v>
      </c>
      <c r="V830" t="str">
        <f t="shared" si="107"/>
        <v/>
      </c>
      <c r="W830" t="str">
        <f t="shared" si="106"/>
        <v/>
      </c>
    </row>
    <row r="831" spans="1:23">
      <c r="A831">
        <f>'IPTV US'!A822</f>
        <v>11088</v>
      </c>
      <c r="B831" t="str">
        <f>T('IPTV US'!B822)</f>
        <v>Misterios sin Resolver</v>
      </c>
      <c r="C831" t="s">
        <v>4288</v>
      </c>
      <c r="D831" t="str">
        <f t="shared" si="100"/>
        <v/>
      </c>
      <c r="E831" t="str">
        <f t="shared" si="101"/>
        <v/>
      </c>
      <c r="F831" s="68" t="s">
        <v>4289</v>
      </c>
      <c r="G831">
        <f>'IPTV CA'!A822</f>
        <v>0</v>
      </c>
      <c r="H831" t="str">
        <f>T('IPTV CA'!B822)</f>
        <v/>
      </c>
      <c r="I831" t="s">
        <v>4290</v>
      </c>
      <c r="J831" t="str">
        <f t="shared" si="102"/>
        <v/>
      </c>
      <c r="K831" t="str">
        <f t="shared" si="104"/>
        <v/>
      </c>
      <c r="L831" s="69"/>
      <c r="M831">
        <f>'TMIS US'!A822</f>
        <v>9688</v>
      </c>
      <c r="N831" t="str">
        <f>T('TMIS US'!B822)</f>
        <v>Misterios sin Resolver</v>
      </c>
      <c r="O831" t="s">
        <v>4288</v>
      </c>
      <c r="P831" t="str">
        <f t="shared" si="103"/>
        <v/>
      </c>
      <c r="Q831" t="str">
        <f t="shared" si="105"/>
        <v/>
      </c>
      <c r="R831" s="69"/>
      <c r="S831">
        <f>'TMIS CA'!A822</f>
        <v>0</v>
      </c>
      <c r="T831" t="str">
        <f>T('TMIS CA'!B822)</f>
        <v/>
      </c>
      <c r="U831" t="s">
        <v>4290</v>
      </c>
      <c r="V831" t="str">
        <f t="shared" si="107"/>
        <v/>
      </c>
      <c r="W831" t="str">
        <f t="shared" si="106"/>
        <v/>
      </c>
    </row>
    <row r="832" spans="1:23">
      <c r="A832">
        <f>'IPTV US'!A823</f>
        <v>11089</v>
      </c>
      <c r="B832" t="str">
        <f>T('IPTV US'!B823)</f>
        <v>FilmRise Crímenes Verdaderos</v>
      </c>
      <c r="C832" t="s">
        <v>4288</v>
      </c>
      <c r="D832" t="str">
        <f t="shared" si="100"/>
        <v/>
      </c>
      <c r="E832" t="str">
        <f t="shared" si="101"/>
        <v/>
      </c>
      <c r="F832" s="68" t="s">
        <v>4289</v>
      </c>
      <c r="G832">
        <f>'IPTV CA'!A823</f>
        <v>0</v>
      </c>
      <c r="H832" t="str">
        <f>T('IPTV CA'!B823)</f>
        <v/>
      </c>
      <c r="I832" t="s">
        <v>4290</v>
      </c>
      <c r="J832" t="str">
        <f t="shared" si="102"/>
        <v/>
      </c>
      <c r="K832" t="str">
        <f t="shared" si="104"/>
        <v/>
      </c>
      <c r="L832" s="69"/>
      <c r="M832">
        <f>'TMIS US'!A823</f>
        <v>9689</v>
      </c>
      <c r="N832" t="str">
        <f>T('TMIS US'!B823)</f>
        <v>FilmRise Crímenes Verdaderos</v>
      </c>
      <c r="O832" t="s">
        <v>4288</v>
      </c>
      <c r="P832" t="str">
        <f t="shared" si="103"/>
        <v/>
      </c>
      <c r="Q832" t="str">
        <f t="shared" si="105"/>
        <v/>
      </c>
      <c r="R832" s="69"/>
      <c r="S832">
        <f>'TMIS CA'!A823</f>
        <v>0</v>
      </c>
      <c r="T832" t="str">
        <f>T('TMIS CA'!B823)</f>
        <v/>
      </c>
      <c r="U832" t="s">
        <v>4290</v>
      </c>
      <c r="V832" t="str">
        <f t="shared" si="107"/>
        <v/>
      </c>
      <c r="W832" t="str">
        <f t="shared" si="106"/>
        <v/>
      </c>
    </row>
    <row r="833" spans="1:23">
      <c r="A833">
        <f>'IPTV US'!A824</f>
        <v>11090</v>
      </c>
      <c r="B833" t="str">
        <f>T('IPTV US'!B824)</f>
        <v>Todo Crimen</v>
      </c>
      <c r="C833" t="s">
        <v>4288</v>
      </c>
      <c r="D833" t="str">
        <f t="shared" si="100"/>
        <v/>
      </c>
      <c r="E833" t="str">
        <f t="shared" si="101"/>
        <v/>
      </c>
      <c r="F833" s="68" t="s">
        <v>4289</v>
      </c>
      <c r="G833">
        <f>'IPTV CA'!A824</f>
        <v>0</v>
      </c>
      <c r="H833" t="str">
        <f>T('IPTV CA'!B824)</f>
        <v/>
      </c>
      <c r="I833" t="s">
        <v>4290</v>
      </c>
      <c r="J833" t="str">
        <f t="shared" si="102"/>
        <v/>
      </c>
      <c r="K833" t="str">
        <f t="shared" si="104"/>
        <v/>
      </c>
      <c r="L833" s="69"/>
      <c r="M833">
        <f>'TMIS US'!A824</f>
        <v>9690</v>
      </c>
      <c r="N833" t="str">
        <f>T('TMIS US'!B824)</f>
        <v>Todo Crimen</v>
      </c>
      <c r="O833" t="s">
        <v>4288</v>
      </c>
      <c r="P833" t="str">
        <f t="shared" si="103"/>
        <v/>
      </c>
      <c r="Q833" t="str">
        <f t="shared" si="105"/>
        <v/>
      </c>
      <c r="R833" s="69"/>
      <c r="S833">
        <f>'TMIS CA'!A824</f>
        <v>0</v>
      </c>
      <c r="T833" t="str">
        <f>T('TMIS CA'!B824)</f>
        <v/>
      </c>
      <c r="U833" t="s">
        <v>4290</v>
      </c>
      <c r="V833" t="str">
        <f t="shared" si="107"/>
        <v/>
      </c>
      <c r="W833" t="str">
        <f t="shared" si="106"/>
        <v/>
      </c>
    </row>
    <row r="834" spans="1:23">
      <c r="A834">
        <f>'IPTV US'!A825</f>
        <v>11091</v>
      </c>
      <c r="B834" t="str">
        <f>T('IPTV US'!B825)</f>
        <v>Zona Investigación</v>
      </c>
      <c r="C834" t="s">
        <v>4288</v>
      </c>
      <c r="D834" t="str">
        <f t="shared" si="100"/>
        <v/>
      </c>
      <c r="E834" t="str">
        <f t="shared" si="101"/>
        <v/>
      </c>
      <c r="F834" s="68" t="s">
        <v>4289</v>
      </c>
      <c r="G834">
        <f>'IPTV CA'!A825</f>
        <v>0</v>
      </c>
      <c r="H834" t="str">
        <f>T('IPTV CA'!B825)</f>
        <v/>
      </c>
      <c r="I834" t="s">
        <v>4290</v>
      </c>
      <c r="J834" t="str">
        <f t="shared" si="102"/>
        <v/>
      </c>
      <c r="K834" t="str">
        <f t="shared" si="104"/>
        <v/>
      </c>
      <c r="L834" s="69"/>
      <c r="M834">
        <f>'TMIS US'!A825</f>
        <v>9691</v>
      </c>
      <c r="N834" t="str">
        <f>T('TMIS US'!B825)</f>
        <v>Zona Investigación</v>
      </c>
      <c r="O834" t="s">
        <v>4288</v>
      </c>
      <c r="P834" t="str">
        <f t="shared" si="103"/>
        <v/>
      </c>
      <c r="Q834" t="str">
        <f t="shared" si="105"/>
        <v/>
      </c>
      <c r="R834" s="69"/>
      <c r="S834">
        <f>'TMIS CA'!A825</f>
        <v>0</v>
      </c>
      <c r="T834" t="str">
        <f>T('TMIS CA'!B825)</f>
        <v/>
      </c>
      <c r="U834" t="s">
        <v>4290</v>
      </c>
      <c r="V834" t="str">
        <f t="shared" si="107"/>
        <v/>
      </c>
      <c r="W834" t="str">
        <f t="shared" si="106"/>
        <v/>
      </c>
    </row>
    <row r="835" spans="1:23">
      <c r="A835">
        <f>'IPTV US'!A826</f>
        <v>11092</v>
      </c>
      <c r="B835" t="str">
        <f>T('IPTV US'!B826)</f>
        <v/>
      </c>
      <c r="C835" t="s">
        <v>4290</v>
      </c>
      <c r="D835" t="str">
        <f t="shared" si="100"/>
        <v/>
      </c>
      <c r="E835" t="str">
        <f t="shared" si="101"/>
        <v/>
      </c>
      <c r="F835" s="68" t="s">
        <v>4289</v>
      </c>
      <c r="G835">
        <f>'IPTV CA'!A826</f>
        <v>0</v>
      </c>
      <c r="H835" t="str">
        <f>T('IPTV CA'!B826)</f>
        <v/>
      </c>
      <c r="I835" t="s">
        <v>4290</v>
      </c>
      <c r="J835" t="str">
        <f t="shared" si="102"/>
        <v/>
      </c>
      <c r="K835" t="str">
        <f t="shared" si="104"/>
        <v/>
      </c>
      <c r="L835" s="69"/>
      <c r="M835">
        <f>'TMIS US'!A826</f>
        <v>9692</v>
      </c>
      <c r="N835" t="str">
        <f>T('TMIS US'!B826)</f>
        <v/>
      </c>
      <c r="O835" t="s">
        <v>4290</v>
      </c>
      <c r="P835" t="str">
        <f t="shared" si="103"/>
        <v/>
      </c>
      <c r="Q835" t="str">
        <f t="shared" si="105"/>
        <v/>
      </c>
      <c r="R835" s="69"/>
      <c r="S835">
        <f>'TMIS CA'!A826</f>
        <v>0</v>
      </c>
      <c r="T835" t="str">
        <f>T('TMIS CA'!B826)</f>
        <v/>
      </c>
      <c r="U835" t="s">
        <v>4290</v>
      </c>
      <c r="V835" t="str">
        <f t="shared" si="107"/>
        <v/>
      </c>
      <c r="W835" t="str">
        <f t="shared" si="106"/>
        <v/>
      </c>
    </row>
    <row r="836" spans="1:23">
      <c r="A836">
        <f>'IPTV US'!A827</f>
        <v>11093</v>
      </c>
      <c r="B836" t="str">
        <f>T('IPTV US'!B827)</f>
        <v/>
      </c>
      <c r="C836" t="s">
        <v>4290</v>
      </c>
      <c r="D836" t="str">
        <f t="shared" si="100"/>
        <v/>
      </c>
      <c r="E836" t="str">
        <f t="shared" si="101"/>
        <v/>
      </c>
      <c r="F836" s="68" t="s">
        <v>4289</v>
      </c>
      <c r="G836">
        <f>'IPTV CA'!A827</f>
        <v>0</v>
      </c>
      <c r="H836" t="str">
        <f>T('IPTV CA'!B827)</f>
        <v/>
      </c>
      <c r="I836" t="s">
        <v>4290</v>
      </c>
      <c r="J836" t="str">
        <f t="shared" si="102"/>
        <v/>
      </c>
      <c r="K836" t="str">
        <f t="shared" si="104"/>
        <v/>
      </c>
      <c r="L836" s="69"/>
      <c r="M836">
        <f>'TMIS US'!A827</f>
        <v>9693</v>
      </c>
      <c r="N836" t="str">
        <f>T('TMIS US'!B827)</f>
        <v/>
      </c>
      <c r="O836" t="s">
        <v>4290</v>
      </c>
      <c r="P836" t="str">
        <f t="shared" si="103"/>
        <v/>
      </c>
      <c r="Q836" t="str">
        <f t="shared" si="105"/>
        <v/>
      </c>
      <c r="R836" s="69"/>
      <c r="S836">
        <f>'TMIS CA'!A827</f>
        <v>0</v>
      </c>
      <c r="T836" t="str">
        <f>T('TMIS CA'!B827)</f>
        <v/>
      </c>
      <c r="U836" t="s">
        <v>4290</v>
      </c>
      <c r="V836" t="str">
        <f t="shared" si="107"/>
        <v/>
      </c>
      <c r="W836" t="str">
        <f t="shared" si="106"/>
        <v/>
      </c>
    </row>
    <row r="837" spans="1:23">
      <c r="A837">
        <f>'IPTV US'!A828</f>
        <v>11094</v>
      </c>
      <c r="B837" t="str">
        <f>T('IPTV US'!B828)</f>
        <v>Cine de Horror</v>
      </c>
      <c r="C837" t="s">
        <v>4288</v>
      </c>
      <c r="D837" t="str">
        <f t="shared" si="100"/>
        <v/>
      </c>
      <c r="E837" t="str">
        <f t="shared" si="101"/>
        <v/>
      </c>
      <c r="F837" s="68" t="s">
        <v>4289</v>
      </c>
      <c r="G837">
        <f>'IPTV CA'!A828</f>
        <v>0</v>
      </c>
      <c r="H837" t="str">
        <f>T('IPTV CA'!B828)</f>
        <v/>
      </c>
      <c r="I837" t="s">
        <v>4290</v>
      </c>
      <c r="J837" t="str">
        <f t="shared" si="102"/>
        <v/>
      </c>
      <c r="K837" t="str">
        <f t="shared" si="104"/>
        <v/>
      </c>
      <c r="L837" s="69"/>
      <c r="M837">
        <f>'TMIS US'!A828</f>
        <v>9694</v>
      </c>
      <c r="N837" t="str">
        <f>T('TMIS US'!B828)</f>
        <v>Cine de Horror</v>
      </c>
      <c r="O837" t="s">
        <v>4288</v>
      </c>
      <c r="P837" t="str">
        <f t="shared" si="103"/>
        <v/>
      </c>
      <c r="Q837" t="str">
        <f t="shared" si="105"/>
        <v/>
      </c>
      <c r="R837" s="69"/>
      <c r="S837">
        <f>'TMIS CA'!A828</f>
        <v>0</v>
      </c>
      <c r="T837" t="str">
        <f>T('TMIS CA'!B828)</f>
        <v/>
      </c>
      <c r="U837" t="s">
        <v>4290</v>
      </c>
      <c r="V837" t="str">
        <f t="shared" si="107"/>
        <v/>
      </c>
      <c r="W837" t="str">
        <f t="shared" si="106"/>
        <v/>
      </c>
    </row>
    <row r="838" spans="1:23">
      <c r="A838">
        <f>'IPTV US'!A829</f>
        <v>11095</v>
      </c>
      <c r="B838" t="str">
        <f>T('IPTV US'!B829)</f>
        <v>Expedientes Sobrenaturales</v>
      </c>
      <c r="C838" t="s">
        <v>4288</v>
      </c>
      <c r="D838" t="str">
        <f t="shared" si="100"/>
        <v/>
      </c>
      <c r="E838" t="str">
        <f t="shared" si="101"/>
        <v/>
      </c>
      <c r="F838" s="68" t="s">
        <v>4289</v>
      </c>
      <c r="G838">
        <f>'IPTV CA'!A829</f>
        <v>0</v>
      </c>
      <c r="H838" t="str">
        <f>T('IPTV CA'!B829)</f>
        <v/>
      </c>
      <c r="I838" t="s">
        <v>4290</v>
      </c>
      <c r="J838" t="str">
        <f t="shared" si="102"/>
        <v/>
      </c>
      <c r="K838" t="str">
        <f t="shared" si="104"/>
        <v/>
      </c>
      <c r="L838" s="69"/>
      <c r="M838">
        <f>'TMIS US'!A829</f>
        <v>9695</v>
      </c>
      <c r="N838" t="str">
        <f>T('TMIS US'!B829)</f>
        <v>Expedientes Sobrenaturales</v>
      </c>
      <c r="O838" t="s">
        <v>4288</v>
      </c>
      <c r="P838" t="str">
        <f t="shared" si="103"/>
        <v/>
      </c>
      <c r="Q838" t="str">
        <f t="shared" si="105"/>
        <v/>
      </c>
      <c r="R838" s="69"/>
      <c r="S838">
        <f>'TMIS CA'!A829</f>
        <v>0</v>
      </c>
      <c r="T838" t="str">
        <f>T('TMIS CA'!B829)</f>
        <v/>
      </c>
      <c r="U838" t="s">
        <v>4290</v>
      </c>
      <c r="V838" t="str">
        <f t="shared" si="107"/>
        <v/>
      </c>
      <c r="W838" t="str">
        <f t="shared" si="106"/>
        <v/>
      </c>
    </row>
    <row r="839" spans="1:23">
      <c r="A839">
        <f>'IPTV US'!A830</f>
        <v>11096</v>
      </c>
      <c r="B839" t="str">
        <f>T('IPTV US'!B830)</f>
        <v>TuWarner</v>
      </c>
      <c r="C839" t="s">
        <v>4288</v>
      </c>
      <c r="D839" t="str">
        <f t="shared" si="100"/>
        <v/>
      </c>
      <c r="E839" t="str">
        <f t="shared" si="101"/>
        <v/>
      </c>
      <c r="F839" s="68" t="s">
        <v>4289</v>
      </c>
      <c r="G839">
        <f>'IPTV CA'!A830</f>
        <v>0</v>
      </c>
      <c r="H839" t="str">
        <f>T('IPTV CA'!B830)</f>
        <v/>
      </c>
      <c r="I839" t="s">
        <v>4290</v>
      </c>
      <c r="J839" t="str">
        <f t="shared" si="102"/>
        <v/>
      </c>
      <c r="K839" t="str">
        <f t="shared" si="104"/>
        <v/>
      </c>
      <c r="L839" s="69"/>
      <c r="M839">
        <f>'TMIS US'!A830</f>
        <v>9696</v>
      </c>
      <c r="N839" t="str">
        <f>T('TMIS US'!B830)</f>
        <v>TuWarner</v>
      </c>
      <c r="O839" t="s">
        <v>4288</v>
      </c>
      <c r="P839" t="str">
        <f t="shared" si="103"/>
        <v/>
      </c>
      <c r="Q839" t="str">
        <f t="shared" si="105"/>
        <v/>
      </c>
      <c r="R839" s="69"/>
      <c r="S839">
        <f>'TMIS CA'!A830</f>
        <v>0</v>
      </c>
      <c r="T839" t="str">
        <f>T('TMIS CA'!B830)</f>
        <v/>
      </c>
      <c r="U839" t="s">
        <v>4290</v>
      </c>
      <c r="V839" t="str">
        <f t="shared" si="107"/>
        <v/>
      </c>
      <c r="W839" t="str">
        <f t="shared" si="106"/>
        <v/>
      </c>
    </row>
    <row r="840" spans="1:23">
      <c r="A840">
        <f>'IPTV US'!A831</f>
        <v>11097</v>
      </c>
      <c r="B840" t="str">
        <f>T('IPTV US'!B831)</f>
        <v>Bodas +</v>
      </c>
      <c r="C840" t="s">
        <v>4288</v>
      </c>
      <c r="D840" t="str">
        <f t="shared" si="100"/>
        <v/>
      </c>
      <c r="E840" t="str">
        <f t="shared" si="101"/>
        <v/>
      </c>
      <c r="F840" s="68" t="s">
        <v>4289</v>
      </c>
      <c r="G840">
        <f>'IPTV CA'!A831</f>
        <v>0</v>
      </c>
      <c r="H840" t="str">
        <f>T('IPTV CA'!B831)</f>
        <v/>
      </c>
      <c r="I840" t="s">
        <v>4290</v>
      </c>
      <c r="J840" t="str">
        <f t="shared" si="102"/>
        <v/>
      </c>
      <c r="K840" t="str">
        <f t="shared" si="104"/>
        <v/>
      </c>
      <c r="L840" s="69"/>
      <c r="M840">
        <f>'TMIS US'!A831</f>
        <v>9697</v>
      </c>
      <c r="N840" t="str">
        <f>T('TMIS US'!B831)</f>
        <v>Bodas +</v>
      </c>
      <c r="O840" t="s">
        <v>4288</v>
      </c>
      <c r="P840" t="str">
        <f t="shared" si="103"/>
        <v/>
      </c>
      <c r="Q840" t="str">
        <f t="shared" si="105"/>
        <v/>
      </c>
      <c r="R840" s="69"/>
      <c r="S840">
        <f>'TMIS CA'!A831</f>
        <v>0</v>
      </c>
      <c r="T840" t="str">
        <f>T('TMIS CA'!B831)</f>
        <v/>
      </c>
      <c r="U840" t="s">
        <v>4290</v>
      </c>
      <c r="V840" t="str">
        <f t="shared" si="107"/>
        <v/>
      </c>
      <c r="W840" t="str">
        <f t="shared" si="106"/>
        <v/>
      </c>
    </row>
    <row r="841" spans="1:23">
      <c r="A841">
        <f>'IPTV US'!A832</f>
        <v>11098</v>
      </c>
      <c r="B841" t="str">
        <f>T('IPTV US'!B832)</f>
        <v>TuDiscovery</v>
      </c>
      <c r="C841" t="s">
        <v>4288</v>
      </c>
      <c r="D841" t="str">
        <f t="shared" si="100"/>
        <v/>
      </c>
      <c r="E841" t="str">
        <f t="shared" si="101"/>
        <v/>
      </c>
      <c r="F841" s="68" t="s">
        <v>4289</v>
      </c>
      <c r="G841">
        <f>'IPTV CA'!A832</f>
        <v>0</v>
      </c>
      <c r="H841" t="str">
        <f>T('IPTV CA'!B832)</f>
        <v/>
      </c>
      <c r="I841" t="s">
        <v>4290</v>
      </c>
      <c r="J841" t="str">
        <f t="shared" si="102"/>
        <v/>
      </c>
      <c r="K841" t="str">
        <f t="shared" si="104"/>
        <v/>
      </c>
      <c r="L841" s="69"/>
      <c r="M841">
        <f>'TMIS US'!A832</f>
        <v>9698</v>
      </c>
      <c r="N841" t="str">
        <f>T('TMIS US'!B832)</f>
        <v>TuDiscovery</v>
      </c>
      <c r="O841" t="s">
        <v>4288</v>
      </c>
      <c r="P841" t="str">
        <f t="shared" si="103"/>
        <v/>
      </c>
      <c r="Q841" t="str">
        <f t="shared" si="105"/>
        <v/>
      </c>
      <c r="R841" s="69"/>
      <c r="S841">
        <f>'TMIS CA'!A832</f>
        <v>0</v>
      </c>
      <c r="T841" t="str">
        <f>T('TMIS CA'!B832)</f>
        <v/>
      </c>
      <c r="U841" t="s">
        <v>4290</v>
      </c>
      <c r="V841" t="str">
        <f t="shared" si="107"/>
        <v/>
      </c>
      <c r="W841" t="str">
        <f t="shared" si="106"/>
        <v/>
      </c>
    </row>
    <row r="842" spans="1:23">
      <c r="A842">
        <f>'IPTV US'!A833</f>
        <v>11099</v>
      </c>
      <c r="B842" t="str">
        <f>T('IPTV US'!B833)</f>
        <v>Aventura</v>
      </c>
      <c r="C842" t="s">
        <v>4288</v>
      </c>
      <c r="D842" t="str">
        <f t="shared" si="100"/>
        <v/>
      </c>
      <c r="E842" t="str">
        <f t="shared" si="101"/>
        <v/>
      </c>
      <c r="F842" s="68" t="s">
        <v>4289</v>
      </c>
      <c r="G842">
        <f>'IPTV CA'!A833</f>
        <v>0</v>
      </c>
      <c r="H842" t="str">
        <f>T('IPTV CA'!B833)</f>
        <v/>
      </c>
      <c r="I842" t="s">
        <v>4290</v>
      </c>
      <c r="J842" t="str">
        <f t="shared" si="102"/>
        <v/>
      </c>
      <c r="K842" t="str">
        <f t="shared" si="104"/>
        <v/>
      </c>
      <c r="L842" s="69"/>
      <c r="M842">
        <f>'TMIS US'!A833</f>
        <v>9699</v>
      </c>
      <c r="N842" t="str">
        <f>T('TMIS US'!B833)</f>
        <v>Aventura</v>
      </c>
      <c r="O842" t="s">
        <v>4288</v>
      </c>
      <c r="P842" t="str">
        <f t="shared" si="103"/>
        <v/>
      </c>
      <c r="Q842" t="str">
        <f t="shared" si="105"/>
        <v/>
      </c>
      <c r="R842" s="69"/>
      <c r="S842">
        <f>'TMIS CA'!A833</f>
        <v>0</v>
      </c>
      <c r="T842" t="str">
        <f>T('TMIS CA'!B833)</f>
        <v/>
      </c>
      <c r="U842" t="s">
        <v>4290</v>
      </c>
      <c r="V842" t="str">
        <f t="shared" si="107"/>
        <v/>
      </c>
      <c r="W842" t="str">
        <f t="shared" si="106"/>
        <v/>
      </c>
    </row>
    <row r="843" spans="1:23">
      <c r="A843">
        <f>'IPTV US'!A834</f>
        <v>11100</v>
      </c>
      <c r="B843" t="str">
        <f>T('IPTV US'!B834)</f>
        <v>Ice Pilots NWT (en español)</v>
      </c>
      <c r="C843" t="s">
        <v>4288</v>
      </c>
      <c r="D843" t="str">
        <f t="shared" ref="D843:D906" si="108">IF(C843="Active",IF(B843="","Please Notify - Channel Removed",""),"")</f>
        <v/>
      </c>
      <c r="E843" t="str">
        <f t="shared" ref="E843:E906" si="109">IF(C843="Vacant",IF(B843="","","Please Notify - Channel Added"),"")</f>
        <v/>
      </c>
      <c r="F843" s="68" t="s">
        <v>4289</v>
      </c>
      <c r="G843">
        <f>'IPTV CA'!A834</f>
        <v>0</v>
      </c>
      <c r="H843" t="str">
        <f>T('IPTV CA'!B834)</f>
        <v/>
      </c>
      <c r="I843" t="s">
        <v>4290</v>
      </c>
      <c r="J843" t="str">
        <f t="shared" ref="J843:J906" si="110">IF(I843="Active",IF(H843="","Please Notify - Channel Removed",""),"")</f>
        <v/>
      </c>
      <c r="K843" t="str">
        <f t="shared" si="104"/>
        <v/>
      </c>
      <c r="L843" s="69"/>
      <c r="M843">
        <f>'TMIS US'!A834</f>
        <v>9700</v>
      </c>
      <c r="N843" t="str">
        <f>T('TMIS US'!B834)</f>
        <v>Ice Pilots NWT (en español)</v>
      </c>
      <c r="O843" t="s">
        <v>4288</v>
      </c>
      <c r="P843" t="str">
        <f t="shared" ref="P843:P906" si="111">IF(O843="Active",IF(N843="","Please Notify - Channel Removed",""),"")</f>
        <v/>
      </c>
      <c r="Q843" t="str">
        <f t="shared" si="105"/>
        <v/>
      </c>
      <c r="R843" s="69"/>
      <c r="S843">
        <f>'TMIS CA'!A834</f>
        <v>0</v>
      </c>
      <c r="T843" t="str">
        <f>T('TMIS CA'!B834)</f>
        <v/>
      </c>
      <c r="U843" t="s">
        <v>4290</v>
      </c>
      <c r="V843" t="str">
        <f t="shared" si="107"/>
        <v/>
      </c>
      <c r="W843" t="str">
        <f t="shared" si="106"/>
        <v/>
      </c>
    </row>
    <row r="844" spans="1:23">
      <c r="A844">
        <f>'IPTV US'!A835</f>
        <v>11101</v>
      </c>
      <c r="B844" t="str">
        <f>T('IPTV US'!B835)</f>
        <v/>
      </c>
      <c r="C844" t="s">
        <v>4290</v>
      </c>
      <c r="D844" t="str">
        <f t="shared" si="108"/>
        <v/>
      </c>
      <c r="E844" t="str">
        <f t="shared" si="109"/>
        <v/>
      </c>
      <c r="F844" s="68" t="s">
        <v>4289</v>
      </c>
      <c r="G844">
        <f>'IPTV CA'!A835</f>
        <v>0</v>
      </c>
      <c r="H844" t="str">
        <f>T('IPTV CA'!B835)</f>
        <v/>
      </c>
      <c r="I844" t="s">
        <v>4290</v>
      </c>
      <c r="J844" t="str">
        <f t="shared" si="110"/>
        <v/>
      </c>
      <c r="K844" t="str">
        <f t="shared" ref="K844:K907" si="112">IF(I844="Vacant",IF(H844="","","Please Notify - Channel Added"),"")</f>
        <v/>
      </c>
      <c r="L844" s="69"/>
      <c r="M844">
        <f>'TMIS US'!A835</f>
        <v>9701</v>
      </c>
      <c r="N844" t="str">
        <f>T('TMIS US'!B835)</f>
        <v/>
      </c>
      <c r="O844" t="s">
        <v>4290</v>
      </c>
      <c r="P844" t="str">
        <f t="shared" si="111"/>
        <v/>
      </c>
      <c r="Q844" t="str">
        <f t="shared" ref="Q844:Q907" si="113">IF(O844="Vacant",IF(N844="","","Please Notify - Channel Added"),"")</f>
        <v/>
      </c>
      <c r="R844" s="69"/>
      <c r="S844">
        <f>'TMIS CA'!A835</f>
        <v>0</v>
      </c>
      <c r="T844" t="str">
        <f>T('TMIS CA'!B835)</f>
        <v/>
      </c>
      <c r="U844" t="s">
        <v>4290</v>
      </c>
      <c r="V844" t="str">
        <f t="shared" si="107"/>
        <v/>
      </c>
      <c r="W844" t="str">
        <f t="shared" ref="W844:W907" si="114">IF(U844="Vacant",IF(T844="","","Please Notify - Channel Added"),"")</f>
        <v/>
      </c>
    </row>
    <row r="845" spans="1:23">
      <c r="A845">
        <f>'IPTV US'!A836</f>
        <v>11102</v>
      </c>
      <c r="B845" t="str">
        <f>T('IPTV US'!B836)</f>
        <v/>
      </c>
      <c r="C845" t="s">
        <v>4290</v>
      </c>
      <c r="D845" t="str">
        <f t="shared" si="108"/>
        <v/>
      </c>
      <c r="E845" t="str">
        <f t="shared" si="109"/>
        <v/>
      </c>
      <c r="F845" s="68" t="s">
        <v>4289</v>
      </c>
      <c r="G845">
        <f>'IPTV CA'!A836</f>
        <v>0</v>
      </c>
      <c r="H845" t="str">
        <f>T('IPTV CA'!B836)</f>
        <v/>
      </c>
      <c r="I845" t="s">
        <v>4290</v>
      </c>
      <c r="J845" t="str">
        <f t="shared" si="110"/>
        <v/>
      </c>
      <c r="K845" t="str">
        <f t="shared" si="112"/>
        <v/>
      </c>
      <c r="L845" s="69"/>
      <c r="M845">
        <f>'TMIS US'!A836</f>
        <v>9702</v>
      </c>
      <c r="N845" t="str">
        <f>T('TMIS US'!B836)</f>
        <v/>
      </c>
      <c r="O845" t="s">
        <v>4290</v>
      </c>
      <c r="P845" t="str">
        <f t="shared" si="111"/>
        <v/>
      </c>
      <c r="Q845" t="str">
        <f t="shared" si="113"/>
        <v/>
      </c>
      <c r="R845" s="69"/>
      <c r="S845">
        <f>'TMIS CA'!A836</f>
        <v>0</v>
      </c>
      <c r="T845" t="str">
        <f>T('TMIS CA'!B836)</f>
        <v/>
      </c>
      <c r="U845" t="s">
        <v>4290</v>
      </c>
      <c r="V845" t="str">
        <f t="shared" si="107"/>
        <v/>
      </c>
      <c r="W845" t="str">
        <f t="shared" si="114"/>
        <v/>
      </c>
    </row>
    <row r="846" spans="1:23">
      <c r="A846">
        <f>'IPTV US'!A837</f>
        <v>11103</v>
      </c>
      <c r="B846" t="str">
        <f>T('IPTV US'!B837)</f>
        <v>Vidas Extremas</v>
      </c>
      <c r="C846" t="s">
        <v>4288</v>
      </c>
      <c r="D846" t="str">
        <f t="shared" si="108"/>
        <v/>
      </c>
      <c r="E846" t="str">
        <f t="shared" si="109"/>
        <v/>
      </c>
      <c r="F846" s="68" t="s">
        <v>4289</v>
      </c>
      <c r="G846">
        <f>'IPTV CA'!A837</f>
        <v>0</v>
      </c>
      <c r="H846" t="str">
        <f>T('IPTV CA'!B837)</f>
        <v/>
      </c>
      <c r="I846" t="s">
        <v>4290</v>
      </c>
      <c r="J846" t="str">
        <f t="shared" si="110"/>
        <v/>
      </c>
      <c r="K846" t="str">
        <f t="shared" si="112"/>
        <v/>
      </c>
      <c r="L846" s="69"/>
      <c r="M846">
        <f>'TMIS US'!A837</f>
        <v>9703</v>
      </c>
      <c r="N846" t="str">
        <f>T('TMIS US'!B837)</f>
        <v>Vidas Extremas</v>
      </c>
      <c r="O846" t="s">
        <v>4288</v>
      </c>
      <c r="P846" t="str">
        <f t="shared" si="111"/>
        <v/>
      </c>
      <c r="Q846" t="str">
        <f t="shared" si="113"/>
        <v/>
      </c>
      <c r="R846" s="69"/>
      <c r="S846">
        <f>'TMIS CA'!A837</f>
        <v>0</v>
      </c>
      <c r="T846" t="str">
        <f>T('TMIS CA'!B837)</f>
        <v/>
      </c>
      <c r="U846" t="s">
        <v>4290</v>
      </c>
      <c r="V846" t="str">
        <f t="shared" ref="V846:V909" si="115">IF(U846="Active",IF(T846="","Please Notify - Channel Removed",""),"")</f>
        <v/>
      </c>
      <c r="W846" t="str">
        <f t="shared" si="114"/>
        <v/>
      </c>
    </row>
    <row r="847" spans="1:23">
      <c r="A847">
        <f>'IPTV US'!A838</f>
        <v>11104</v>
      </c>
      <c r="B847" t="str">
        <f>T('IPTV US'!B838)</f>
        <v>La Fiebre del Jade</v>
      </c>
      <c r="C847" t="s">
        <v>4288</v>
      </c>
      <c r="D847" t="str">
        <f t="shared" si="108"/>
        <v/>
      </c>
      <c r="E847" t="str">
        <f t="shared" si="109"/>
        <v/>
      </c>
      <c r="F847" s="68" t="s">
        <v>4289</v>
      </c>
      <c r="G847">
        <f>'IPTV CA'!A838</f>
        <v>0</v>
      </c>
      <c r="H847" t="str">
        <f>T('IPTV CA'!B838)</f>
        <v/>
      </c>
      <c r="I847" t="s">
        <v>4290</v>
      </c>
      <c r="J847" t="str">
        <f t="shared" si="110"/>
        <v/>
      </c>
      <c r="K847" t="str">
        <f t="shared" si="112"/>
        <v/>
      </c>
      <c r="L847" s="69"/>
      <c r="M847">
        <f>'TMIS US'!A838</f>
        <v>9704</v>
      </c>
      <c r="N847" t="str">
        <f>T('TMIS US'!B838)</f>
        <v>La Fiebre del Jade</v>
      </c>
      <c r="O847" t="s">
        <v>4288</v>
      </c>
      <c r="P847" t="str">
        <f t="shared" si="111"/>
        <v/>
      </c>
      <c r="Q847" t="str">
        <f t="shared" si="113"/>
        <v/>
      </c>
      <c r="R847" s="69"/>
      <c r="S847">
        <f>'TMIS CA'!A838</f>
        <v>0</v>
      </c>
      <c r="T847" t="str">
        <f>T('TMIS CA'!B838)</f>
        <v/>
      </c>
      <c r="U847" t="s">
        <v>4290</v>
      </c>
      <c r="V847" t="str">
        <f t="shared" si="115"/>
        <v/>
      </c>
      <c r="W847" t="str">
        <f t="shared" si="114"/>
        <v/>
      </c>
    </row>
    <row r="848" spans="1:23">
      <c r="A848">
        <f>'IPTV US'!A839</f>
        <v>11105</v>
      </c>
      <c r="B848" t="str">
        <f>T('IPTV US'!B839)</f>
        <v>Azteca Internacional</v>
      </c>
      <c r="C848" t="s">
        <v>4288</v>
      </c>
      <c r="D848" t="str">
        <f t="shared" si="108"/>
        <v/>
      </c>
      <c r="E848" t="str">
        <f t="shared" si="109"/>
        <v/>
      </c>
      <c r="F848" s="68" t="s">
        <v>4289</v>
      </c>
      <c r="G848">
        <f>'IPTV CA'!A839</f>
        <v>0</v>
      </c>
      <c r="H848" t="str">
        <f>T('IPTV CA'!B839)</f>
        <v/>
      </c>
      <c r="I848" t="s">
        <v>4290</v>
      </c>
      <c r="J848" t="str">
        <f t="shared" si="110"/>
        <v/>
      </c>
      <c r="K848" t="str">
        <f t="shared" si="112"/>
        <v/>
      </c>
      <c r="L848" s="69"/>
      <c r="M848">
        <f>'TMIS US'!A839</f>
        <v>9705</v>
      </c>
      <c r="N848" t="str">
        <f>T('TMIS US'!B839)</f>
        <v>Azteca Internacional</v>
      </c>
      <c r="O848" t="s">
        <v>4288</v>
      </c>
      <c r="P848" t="str">
        <f t="shared" si="111"/>
        <v/>
      </c>
      <c r="Q848" t="str">
        <f t="shared" si="113"/>
        <v/>
      </c>
      <c r="R848" s="69"/>
      <c r="S848">
        <f>'TMIS CA'!A839</f>
        <v>0</v>
      </c>
      <c r="T848" t="str">
        <f>T('TMIS CA'!B839)</f>
        <v/>
      </c>
      <c r="U848" t="s">
        <v>4290</v>
      </c>
      <c r="V848" t="str">
        <f t="shared" si="115"/>
        <v/>
      </c>
      <c r="W848" t="str">
        <f t="shared" si="114"/>
        <v/>
      </c>
    </row>
    <row r="849" spans="1:23">
      <c r="A849">
        <f>'IPTV US'!A840</f>
        <v>11106</v>
      </c>
      <c r="B849" t="str">
        <f>T('IPTV US'!B840)</f>
        <v>Estrella TV Plex</v>
      </c>
      <c r="C849" t="s">
        <v>4288</v>
      </c>
      <c r="D849" t="str">
        <f t="shared" si="108"/>
        <v/>
      </c>
      <c r="E849" t="str">
        <f t="shared" si="109"/>
        <v/>
      </c>
      <c r="F849" s="68" t="s">
        <v>4289</v>
      </c>
      <c r="G849">
        <f>'IPTV CA'!A840</f>
        <v>0</v>
      </c>
      <c r="H849" t="str">
        <f>T('IPTV CA'!B840)</f>
        <v/>
      </c>
      <c r="I849" t="s">
        <v>4290</v>
      </c>
      <c r="J849" t="str">
        <f t="shared" si="110"/>
        <v/>
      </c>
      <c r="K849" t="str">
        <f t="shared" si="112"/>
        <v/>
      </c>
      <c r="L849" s="69"/>
      <c r="M849">
        <f>'TMIS US'!A840</f>
        <v>9706</v>
      </c>
      <c r="N849" t="str">
        <f>T('TMIS US'!B840)</f>
        <v>Estrella TV Plex</v>
      </c>
      <c r="O849" t="s">
        <v>4288</v>
      </c>
      <c r="P849" t="str">
        <f t="shared" si="111"/>
        <v/>
      </c>
      <c r="Q849" t="str">
        <f t="shared" si="113"/>
        <v/>
      </c>
      <c r="R849" s="69"/>
      <c r="S849">
        <f>'TMIS CA'!A840</f>
        <v>0</v>
      </c>
      <c r="T849" t="str">
        <f>T('TMIS CA'!B840)</f>
        <v/>
      </c>
      <c r="U849" t="s">
        <v>4290</v>
      </c>
      <c r="V849" t="str">
        <f t="shared" si="115"/>
        <v/>
      </c>
      <c r="W849" t="str">
        <f t="shared" si="114"/>
        <v/>
      </c>
    </row>
    <row r="850" spans="1:23">
      <c r="A850">
        <f>'IPTV US'!A841</f>
        <v>11107</v>
      </c>
      <c r="B850" t="str">
        <f>T('IPTV US'!B841)</f>
        <v/>
      </c>
      <c r="C850" t="s">
        <v>4290</v>
      </c>
      <c r="D850" t="str">
        <f t="shared" si="108"/>
        <v/>
      </c>
      <c r="E850" t="str">
        <f t="shared" si="109"/>
        <v/>
      </c>
      <c r="F850" s="68" t="s">
        <v>4289</v>
      </c>
      <c r="G850">
        <f>'IPTV CA'!A841</f>
        <v>0</v>
      </c>
      <c r="H850" t="str">
        <f>T('IPTV CA'!B841)</f>
        <v/>
      </c>
      <c r="I850" t="s">
        <v>4290</v>
      </c>
      <c r="J850" t="str">
        <f t="shared" si="110"/>
        <v/>
      </c>
      <c r="K850" t="str">
        <f t="shared" si="112"/>
        <v/>
      </c>
      <c r="L850" s="69"/>
      <c r="M850">
        <f>'TMIS US'!A841</f>
        <v>9707</v>
      </c>
      <c r="N850" t="str">
        <f>T('TMIS US'!B841)</f>
        <v/>
      </c>
      <c r="O850" t="s">
        <v>4290</v>
      </c>
      <c r="P850" t="str">
        <f t="shared" si="111"/>
        <v/>
      </c>
      <c r="Q850" t="str">
        <f t="shared" si="113"/>
        <v/>
      </c>
      <c r="R850" s="69"/>
      <c r="S850">
        <f>'TMIS CA'!A841</f>
        <v>0</v>
      </c>
      <c r="T850" t="str">
        <f>T('TMIS CA'!B841)</f>
        <v/>
      </c>
      <c r="U850" t="s">
        <v>4290</v>
      </c>
      <c r="V850" t="str">
        <f t="shared" si="115"/>
        <v/>
      </c>
      <c r="W850" t="str">
        <f t="shared" si="114"/>
        <v/>
      </c>
    </row>
    <row r="851" spans="1:23">
      <c r="A851">
        <f>'IPTV US'!A842</f>
        <v>11108</v>
      </c>
      <c r="B851" t="str">
        <f>T('IPTV US'!B842)</f>
        <v/>
      </c>
      <c r="C851" t="s">
        <v>4290</v>
      </c>
      <c r="D851" t="str">
        <f t="shared" si="108"/>
        <v/>
      </c>
      <c r="E851" t="str">
        <f t="shared" si="109"/>
        <v/>
      </c>
      <c r="F851" s="68" t="s">
        <v>4289</v>
      </c>
      <c r="G851">
        <f>'IPTV CA'!A842</f>
        <v>0</v>
      </c>
      <c r="H851" t="str">
        <f>T('IPTV CA'!B842)</f>
        <v/>
      </c>
      <c r="I851" t="s">
        <v>4290</v>
      </c>
      <c r="J851" t="str">
        <f t="shared" si="110"/>
        <v/>
      </c>
      <c r="K851" t="str">
        <f t="shared" si="112"/>
        <v/>
      </c>
      <c r="L851" s="69"/>
      <c r="M851">
        <f>'TMIS US'!A842</f>
        <v>9708</v>
      </c>
      <c r="N851" t="str">
        <f>T('TMIS US'!B842)</f>
        <v/>
      </c>
      <c r="O851" t="s">
        <v>4290</v>
      </c>
      <c r="P851" t="str">
        <f t="shared" si="111"/>
        <v/>
      </c>
      <c r="Q851" t="str">
        <f t="shared" si="113"/>
        <v/>
      </c>
      <c r="R851" s="69"/>
      <c r="S851">
        <f>'TMIS CA'!A842</f>
        <v>0</v>
      </c>
      <c r="T851" t="str">
        <f>T('TMIS CA'!B842)</f>
        <v/>
      </c>
      <c r="U851" t="s">
        <v>4290</v>
      </c>
      <c r="V851" t="str">
        <f t="shared" si="115"/>
        <v/>
      </c>
      <c r="W851" t="str">
        <f t="shared" si="114"/>
        <v/>
      </c>
    </row>
    <row r="852" spans="1:23">
      <c r="A852">
        <f>'IPTV US'!A843</f>
        <v>11109</v>
      </c>
      <c r="B852" t="str">
        <f>T('IPTV US'!B843)</f>
        <v>Clic</v>
      </c>
      <c r="C852" t="s">
        <v>4288</v>
      </c>
      <c r="D852" t="str">
        <f t="shared" si="108"/>
        <v/>
      </c>
      <c r="E852" t="str">
        <f t="shared" si="109"/>
        <v/>
      </c>
      <c r="F852" s="68" t="s">
        <v>4289</v>
      </c>
      <c r="G852">
        <f>'IPTV CA'!A843</f>
        <v>0</v>
      </c>
      <c r="H852" t="str">
        <f>T('IPTV CA'!B843)</f>
        <v/>
      </c>
      <c r="I852" t="s">
        <v>4290</v>
      </c>
      <c r="J852" t="str">
        <f t="shared" si="110"/>
        <v/>
      </c>
      <c r="K852" t="str">
        <f t="shared" si="112"/>
        <v/>
      </c>
      <c r="L852" s="69"/>
      <c r="M852">
        <f>'TMIS US'!A843</f>
        <v>9709</v>
      </c>
      <c r="N852" t="str">
        <f>T('TMIS US'!B843)</f>
        <v>Clic</v>
      </c>
      <c r="O852" t="s">
        <v>4288</v>
      </c>
      <c r="P852" t="str">
        <f t="shared" si="111"/>
        <v/>
      </c>
      <c r="Q852" t="str">
        <f t="shared" si="113"/>
        <v/>
      </c>
      <c r="R852" s="69"/>
      <c r="S852">
        <f>'TMIS CA'!A843</f>
        <v>0</v>
      </c>
      <c r="T852" t="str">
        <f>T('TMIS CA'!B843)</f>
        <v/>
      </c>
      <c r="U852" t="s">
        <v>4290</v>
      </c>
      <c r="V852" t="str">
        <f t="shared" si="115"/>
        <v/>
      </c>
      <c r="W852" t="str">
        <f t="shared" si="114"/>
        <v/>
      </c>
    </row>
    <row r="853" spans="1:23">
      <c r="A853">
        <f>'IPTV US'!A844</f>
        <v>11110</v>
      </c>
      <c r="B853" t="str">
        <f>T('IPTV US'!B844)</f>
        <v>FLOU Detonación</v>
      </c>
      <c r="C853" t="s">
        <v>4288</v>
      </c>
      <c r="D853" t="str">
        <f t="shared" si="108"/>
        <v/>
      </c>
      <c r="E853" t="str">
        <f t="shared" si="109"/>
        <v/>
      </c>
      <c r="F853" s="68" t="s">
        <v>4289</v>
      </c>
      <c r="G853">
        <f>'IPTV CA'!A844</f>
        <v>0</v>
      </c>
      <c r="H853" t="str">
        <f>T('IPTV CA'!B844)</f>
        <v/>
      </c>
      <c r="I853" t="s">
        <v>4290</v>
      </c>
      <c r="J853" t="str">
        <f t="shared" si="110"/>
        <v/>
      </c>
      <c r="K853" t="str">
        <f t="shared" si="112"/>
        <v/>
      </c>
      <c r="L853" s="69"/>
      <c r="M853">
        <f>'TMIS US'!A844</f>
        <v>9710</v>
      </c>
      <c r="N853" t="str">
        <f>T('TMIS US'!B844)</f>
        <v>FLOU Detonación</v>
      </c>
      <c r="O853" t="s">
        <v>4288</v>
      </c>
      <c r="P853" t="str">
        <f t="shared" si="111"/>
        <v/>
      </c>
      <c r="Q853" t="str">
        <f t="shared" si="113"/>
        <v/>
      </c>
      <c r="R853" s="69"/>
      <c r="S853">
        <f>'TMIS CA'!A844</f>
        <v>0</v>
      </c>
      <c r="T853" t="str">
        <f>T('TMIS CA'!B844)</f>
        <v/>
      </c>
      <c r="U853" t="s">
        <v>4290</v>
      </c>
      <c r="V853" t="str">
        <f t="shared" si="115"/>
        <v/>
      </c>
      <c r="W853" t="str">
        <f t="shared" si="114"/>
        <v/>
      </c>
    </row>
    <row r="854" spans="1:23">
      <c r="A854">
        <f>'IPTV US'!A845</f>
        <v>11111</v>
      </c>
      <c r="B854" t="str">
        <f>T('IPTV US'!B845)</f>
        <v>LATV</v>
      </c>
      <c r="C854" t="s">
        <v>4288</v>
      </c>
      <c r="D854" t="str">
        <f t="shared" si="108"/>
        <v/>
      </c>
      <c r="E854" t="str">
        <f t="shared" si="109"/>
        <v/>
      </c>
      <c r="F854" s="68" t="s">
        <v>4289</v>
      </c>
      <c r="G854">
        <f>'IPTV CA'!A845</f>
        <v>0</v>
      </c>
      <c r="H854" t="str">
        <f>T('IPTV CA'!B845)</f>
        <v/>
      </c>
      <c r="I854" t="s">
        <v>4290</v>
      </c>
      <c r="J854" t="str">
        <f t="shared" si="110"/>
        <v/>
      </c>
      <c r="K854" t="str">
        <f t="shared" si="112"/>
        <v/>
      </c>
      <c r="L854" s="69"/>
      <c r="M854">
        <f>'TMIS US'!A845</f>
        <v>9711</v>
      </c>
      <c r="N854" t="str">
        <f>T('TMIS US'!B845)</f>
        <v>LATV</v>
      </c>
      <c r="O854" t="s">
        <v>4288</v>
      </c>
      <c r="P854" t="str">
        <f t="shared" si="111"/>
        <v/>
      </c>
      <c r="Q854" t="str">
        <f t="shared" si="113"/>
        <v/>
      </c>
      <c r="R854" s="69"/>
      <c r="S854">
        <f>'TMIS CA'!A845</f>
        <v>0</v>
      </c>
      <c r="T854" t="str">
        <f>T('TMIS CA'!B845)</f>
        <v/>
      </c>
      <c r="U854" t="s">
        <v>4290</v>
      </c>
      <c r="V854" t="str">
        <f t="shared" si="115"/>
        <v/>
      </c>
      <c r="W854" t="str">
        <f t="shared" si="114"/>
        <v/>
      </c>
    </row>
    <row r="855" spans="1:23">
      <c r="A855">
        <f>'IPTV US'!A846</f>
        <v>11112</v>
      </c>
      <c r="B855" t="str">
        <f>T('IPTV US'!B846)</f>
        <v>Always Funny en Español</v>
      </c>
      <c r="C855" t="s">
        <v>4288</v>
      </c>
      <c r="D855" t="str">
        <f t="shared" si="108"/>
        <v/>
      </c>
      <c r="E855" t="str">
        <f t="shared" si="109"/>
        <v/>
      </c>
      <c r="F855" s="68" t="s">
        <v>4289</v>
      </c>
      <c r="G855">
        <f>'IPTV CA'!A846</f>
        <v>0</v>
      </c>
      <c r="H855" t="str">
        <f>T('IPTV CA'!B846)</f>
        <v/>
      </c>
      <c r="I855" t="s">
        <v>4290</v>
      </c>
      <c r="J855" t="str">
        <f t="shared" si="110"/>
        <v/>
      </c>
      <c r="K855" t="str">
        <f t="shared" si="112"/>
        <v/>
      </c>
      <c r="L855" s="69"/>
      <c r="M855">
        <f>'TMIS US'!A846</f>
        <v>9712</v>
      </c>
      <c r="N855" t="str">
        <f>T('TMIS US'!B846)</f>
        <v>Always Funny en Español</v>
      </c>
      <c r="O855" t="s">
        <v>4288</v>
      </c>
      <c r="P855" t="str">
        <f t="shared" si="111"/>
        <v/>
      </c>
      <c r="Q855" t="str">
        <f t="shared" si="113"/>
        <v/>
      </c>
      <c r="R855" s="69"/>
      <c r="S855">
        <f>'TMIS CA'!A846</f>
        <v>0</v>
      </c>
      <c r="T855" t="str">
        <f>T('TMIS CA'!B846)</f>
        <v/>
      </c>
      <c r="U855" t="s">
        <v>4290</v>
      </c>
      <c r="V855" t="str">
        <f t="shared" si="115"/>
        <v/>
      </c>
      <c r="W855" t="str">
        <f t="shared" si="114"/>
        <v/>
      </c>
    </row>
    <row r="856" spans="1:23">
      <c r="A856">
        <f>'IPTV US'!A847</f>
        <v>11113</v>
      </c>
      <c r="B856" t="str">
        <f>T('IPTV US'!B847)</f>
        <v>El Conflicto TV</v>
      </c>
      <c r="C856" t="s">
        <v>4288</v>
      </c>
      <c r="D856" t="str">
        <f t="shared" si="108"/>
        <v/>
      </c>
      <c r="E856" t="str">
        <f t="shared" si="109"/>
        <v/>
      </c>
      <c r="F856" s="68" t="s">
        <v>4289</v>
      </c>
      <c r="G856">
        <f>'IPTV CA'!A847</f>
        <v>0</v>
      </c>
      <c r="H856" t="str">
        <f>T('IPTV CA'!B847)</f>
        <v/>
      </c>
      <c r="I856" t="s">
        <v>4290</v>
      </c>
      <c r="J856" t="str">
        <f t="shared" si="110"/>
        <v/>
      </c>
      <c r="K856" t="str">
        <f t="shared" si="112"/>
        <v/>
      </c>
      <c r="L856" s="69"/>
      <c r="M856">
        <f>'TMIS US'!A847</f>
        <v>9713</v>
      </c>
      <c r="N856" t="str">
        <f>T('TMIS US'!B847)</f>
        <v>El Conflicto TV</v>
      </c>
      <c r="O856" t="s">
        <v>4288</v>
      </c>
      <c r="P856" t="str">
        <f t="shared" si="111"/>
        <v/>
      </c>
      <c r="Q856" t="str">
        <f t="shared" si="113"/>
        <v/>
      </c>
      <c r="R856" s="69"/>
      <c r="S856">
        <f>'TMIS CA'!A847</f>
        <v>0</v>
      </c>
      <c r="T856" t="str">
        <f>T('TMIS CA'!B847)</f>
        <v/>
      </c>
      <c r="U856" t="s">
        <v>4290</v>
      </c>
      <c r="V856" t="str">
        <f t="shared" si="115"/>
        <v/>
      </c>
      <c r="W856" t="str">
        <f t="shared" si="114"/>
        <v/>
      </c>
    </row>
    <row r="857" spans="1:23">
      <c r="A857">
        <f>'IPTV US'!A848</f>
        <v>11114</v>
      </c>
      <c r="B857" t="str">
        <f>T('IPTV US'!B848)</f>
        <v>Nosey Escándalos</v>
      </c>
      <c r="C857" t="s">
        <v>4288</v>
      </c>
      <c r="D857" t="str">
        <f t="shared" si="108"/>
        <v/>
      </c>
      <c r="E857" t="str">
        <f t="shared" si="109"/>
        <v/>
      </c>
      <c r="F857" s="68" t="s">
        <v>4289</v>
      </c>
      <c r="G857">
        <f>'IPTV CA'!A848</f>
        <v>0</v>
      </c>
      <c r="H857" t="str">
        <f>T('IPTV CA'!B848)</f>
        <v/>
      </c>
      <c r="I857" t="s">
        <v>4290</v>
      </c>
      <c r="J857" t="str">
        <f t="shared" si="110"/>
        <v/>
      </c>
      <c r="K857" t="str">
        <f t="shared" si="112"/>
        <v/>
      </c>
      <c r="L857" s="69"/>
      <c r="M857">
        <f>'TMIS US'!A848</f>
        <v>9714</v>
      </c>
      <c r="N857" t="str">
        <f>T('TMIS US'!B848)</f>
        <v>Nosey Escándalos</v>
      </c>
      <c r="O857" t="s">
        <v>4288</v>
      </c>
      <c r="P857" t="str">
        <f t="shared" si="111"/>
        <v/>
      </c>
      <c r="Q857" t="str">
        <f t="shared" si="113"/>
        <v/>
      </c>
      <c r="R857" s="69"/>
      <c r="S857">
        <f>'TMIS CA'!A848</f>
        <v>0</v>
      </c>
      <c r="T857" t="str">
        <f>T('TMIS CA'!B848)</f>
        <v/>
      </c>
      <c r="U857" t="s">
        <v>4290</v>
      </c>
      <c r="V857" t="str">
        <f t="shared" si="115"/>
        <v/>
      </c>
      <c r="W857" t="str">
        <f t="shared" si="114"/>
        <v/>
      </c>
    </row>
    <row r="858" spans="1:23">
      <c r="A858">
        <f>'IPTV US'!A849</f>
        <v>11115</v>
      </c>
      <c r="B858" t="str">
        <f>T('IPTV US'!B849)</f>
        <v>Cheaters en Español</v>
      </c>
      <c r="C858" t="s">
        <v>4288</v>
      </c>
      <c r="D858" t="str">
        <f t="shared" si="108"/>
        <v/>
      </c>
      <c r="E858" t="str">
        <f t="shared" si="109"/>
        <v/>
      </c>
      <c r="F858" s="68" t="s">
        <v>4289</v>
      </c>
      <c r="G858">
        <f>'IPTV CA'!A849</f>
        <v>0</v>
      </c>
      <c r="H858" t="str">
        <f>T('IPTV CA'!B849)</f>
        <v/>
      </c>
      <c r="I858" t="s">
        <v>4290</v>
      </c>
      <c r="J858" t="str">
        <f t="shared" si="110"/>
        <v/>
      </c>
      <c r="K858" t="str">
        <f t="shared" si="112"/>
        <v/>
      </c>
      <c r="L858" s="69"/>
      <c r="M858">
        <f>'TMIS US'!A849</f>
        <v>9715</v>
      </c>
      <c r="N858" t="str">
        <f>T('TMIS US'!B849)</f>
        <v>Cheaters en Español</v>
      </c>
      <c r="O858" t="s">
        <v>4288</v>
      </c>
      <c r="P858" t="str">
        <f t="shared" si="111"/>
        <v/>
      </c>
      <c r="Q858" t="str">
        <f t="shared" si="113"/>
        <v/>
      </c>
      <c r="R858" s="69"/>
      <c r="S858">
        <f>'TMIS CA'!A849</f>
        <v>0</v>
      </c>
      <c r="T858" t="str">
        <f>T('TMIS CA'!B849)</f>
        <v/>
      </c>
      <c r="U858" t="s">
        <v>4290</v>
      </c>
      <c r="V858" t="str">
        <f t="shared" si="115"/>
        <v/>
      </c>
      <c r="W858" t="str">
        <f t="shared" si="114"/>
        <v/>
      </c>
    </row>
    <row r="859" spans="1:23">
      <c r="A859">
        <f>'IPTV US'!A850</f>
        <v>11116</v>
      </c>
      <c r="B859" t="str">
        <f>T('IPTV US'!B850)</f>
        <v/>
      </c>
      <c r="C859" t="s">
        <v>4290</v>
      </c>
      <c r="D859" t="str">
        <f t="shared" si="108"/>
        <v/>
      </c>
      <c r="E859" t="str">
        <f t="shared" si="109"/>
        <v/>
      </c>
      <c r="F859" s="68" t="s">
        <v>4289</v>
      </c>
      <c r="G859">
        <f>'IPTV CA'!A850</f>
        <v>0</v>
      </c>
      <c r="H859" t="str">
        <f>T('IPTV CA'!B850)</f>
        <v/>
      </c>
      <c r="I859" t="s">
        <v>4290</v>
      </c>
      <c r="J859" t="str">
        <f t="shared" si="110"/>
        <v/>
      </c>
      <c r="K859" t="str">
        <f t="shared" si="112"/>
        <v/>
      </c>
      <c r="L859" s="69"/>
      <c r="M859">
        <f>'TMIS US'!A850</f>
        <v>9716</v>
      </c>
      <c r="N859" t="str">
        <f>T('TMIS US'!B850)</f>
        <v/>
      </c>
      <c r="O859" t="s">
        <v>4290</v>
      </c>
      <c r="P859" t="str">
        <f t="shared" si="111"/>
        <v/>
      </c>
      <c r="Q859" t="str">
        <f t="shared" si="113"/>
        <v/>
      </c>
      <c r="R859" s="69"/>
      <c r="S859">
        <f>'TMIS CA'!A850</f>
        <v>0</v>
      </c>
      <c r="T859" t="str">
        <f>T('TMIS CA'!B850)</f>
        <v/>
      </c>
      <c r="U859" t="s">
        <v>4290</v>
      </c>
      <c r="V859" t="str">
        <f t="shared" si="115"/>
        <v/>
      </c>
      <c r="W859" t="str">
        <f t="shared" si="114"/>
        <v/>
      </c>
    </row>
    <row r="860" spans="1:23">
      <c r="A860">
        <f>'IPTV US'!A851</f>
        <v>11117</v>
      </c>
      <c r="B860" t="str">
        <f>T('IPTV US'!B851)</f>
        <v/>
      </c>
      <c r="C860" t="s">
        <v>4290</v>
      </c>
      <c r="D860" t="str">
        <f t="shared" si="108"/>
        <v/>
      </c>
      <c r="E860" t="str">
        <f t="shared" si="109"/>
        <v/>
      </c>
      <c r="F860" s="68" t="s">
        <v>4289</v>
      </c>
      <c r="G860">
        <f>'IPTV CA'!A851</f>
        <v>0</v>
      </c>
      <c r="H860" t="str">
        <f>T('IPTV CA'!B851)</f>
        <v/>
      </c>
      <c r="I860" t="s">
        <v>4290</v>
      </c>
      <c r="J860" t="str">
        <f t="shared" si="110"/>
        <v/>
      </c>
      <c r="K860" t="str">
        <f t="shared" si="112"/>
        <v/>
      </c>
      <c r="L860" s="69"/>
      <c r="M860">
        <f>'TMIS US'!A851</f>
        <v>9717</v>
      </c>
      <c r="N860" t="str">
        <f>T('TMIS US'!B851)</f>
        <v/>
      </c>
      <c r="O860" t="s">
        <v>4290</v>
      </c>
      <c r="P860" t="str">
        <f t="shared" si="111"/>
        <v/>
      </c>
      <c r="Q860" t="str">
        <f t="shared" si="113"/>
        <v/>
      </c>
      <c r="R860" s="69"/>
      <c r="S860">
        <f>'TMIS CA'!A851</f>
        <v>0</v>
      </c>
      <c r="T860" t="str">
        <f>T('TMIS CA'!B851)</f>
        <v/>
      </c>
      <c r="U860" t="s">
        <v>4290</v>
      </c>
      <c r="V860" t="str">
        <f t="shared" si="115"/>
        <v/>
      </c>
      <c r="W860" t="str">
        <f t="shared" si="114"/>
        <v/>
      </c>
    </row>
    <row r="861" spans="1:23">
      <c r="A861">
        <f>'IPTV US'!A852</f>
        <v>11118</v>
      </c>
      <c r="B861" t="str">
        <f>T('IPTV US'!B852)</f>
        <v>Estrella Games</v>
      </c>
      <c r="C861" t="s">
        <v>4288</v>
      </c>
      <c r="D861" t="str">
        <f t="shared" si="108"/>
        <v/>
      </c>
      <c r="E861" t="str">
        <f t="shared" si="109"/>
        <v/>
      </c>
      <c r="F861" s="68" t="s">
        <v>4289</v>
      </c>
      <c r="G861">
        <f>'IPTV CA'!A852</f>
        <v>0</v>
      </c>
      <c r="H861" t="str">
        <f>T('IPTV CA'!B852)</f>
        <v/>
      </c>
      <c r="I861" t="s">
        <v>4290</v>
      </c>
      <c r="J861" t="str">
        <f t="shared" si="110"/>
        <v/>
      </c>
      <c r="K861" t="str">
        <f t="shared" si="112"/>
        <v/>
      </c>
      <c r="L861" s="69"/>
      <c r="M861">
        <f>'TMIS US'!A852</f>
        <v>9718</v>
      </c>
      <c r="N861" t="str">
        <f>T('TMIS US'!B852)</f>
        <v>Estrella Games</v>
      </c>
      <c r="O861" t="s">
        <v>4288</v>
      </c>
      <c r="P861" t="str">
        <f t="shared" si="111"/>
        <v/>
      </c>
      <c r="Q861" t="str">
        <f t="shared" si="113"/>
        <v/>
      </c>
      <c r="R861" s="69"/>
      <c r="S861">
        <f>'TMIS CA'!A852</f>
        <v>0</v>
      </c>
      <c r="T861" t="str">
        <f>T('TMIS CA'!B852)</f>
        <v/>
      </c>
      <c r="U861" t="s">
        <v>4290</v>
      </c>
      <c r="V861" t="str">
        <f t="shared" si="115"/>
        <v/>
      </c>
      <c r="W861" t="str">
        <f t="shared" si="114"/>
        <v/>
      </c>
    </row>
    <row r="862" spans="1:23">
      <c r="A862">
        <f>'IPTV US'!A853</f>
        <v>11119</v>
      </c>
      <c r="B862" t="str">
        <f>T('IPTV US'!B853)</f>
        <v>Construcciones Asombrosas</v>
      </c>
      <c r="C862" t="s">
        <v>4288</v>
      </c>
      <c r="D862" t="str">
        <f t="shared" si="108"/>
        <v/>
      </c>
      <c r="E862" t="str">
        <f t="shared" si="109"/>
        <v/>
      </c>
      <c r="F862" s="68" t="s">
        <v>4289</v>
      </c>
      <c r="G862">
        <f>'IPTV CA'!A853</f>
        <v>0</v>
      </c>
      <c r="H862" t="str">
        <f>T('IPTV CA'!B853)</f>
        <v/>
      </c>
      <c r="I862" t="s">
        <v>4290</v>
      </c>
      <c r="J862" t="str">
        <f t="shared" si="110"/>
        <v/>
      </c>
      <c r="K862" t="str">
        <f t="shared" si="112"/>
        <v/>
      </c>
      <c r="L862" s="69"/>
      <c r="M862">
        <f>'TMIS US'!A853</f>
        <v>9719</v>
      </c>
      <c r="N862" t="str">
        <f>T('TMIS US'!B853)</f>
        <v>Construcciones Asombrosas</v>
      </c>
      <c r="O862" t="s">
        <v>4288</v>
      </c>
      <c r="P862" t="str">
        <f t="shared" si="111"/>
        <v/>
      </c>
      <c r="Q862" t="str">
        <f t="shared" si="113"/>
        <v/>
      </c>
      <c r="R862" s="69"/>
      <c r="S862">
        <f>'TMIS CA'!A853</f>
        <v>0</v>
      </c>
      <c r="T862" t="str">
        <f>T('TMIS CA'!B853)</f>
        <v/>
      </c>
      <c r="U862" t="s">
        <v>4290</v>
      </c>
      <c r="V862" t="str">
        <f t="shared" si="115"/>
        <v/>
      </c>
      <c r="W862" t="str">
        <f t="shared" si="114"/>
        <v/>
      </c>
    </row>
    <row r="863" spans="1:23">
      <c r="A863">
        <f>'IPTV US'!A854</f>
        <v>11120</v>
      </c>
      <c r="B863" t="str">
        <f>T('IPTV US'!B854)</f>
        <v>FilmRise Concursos de Cocina</v>
      </c>
      <c r="C863" t="s">
        <v>4288</v>
      </c>
      <c r="D863" t="str">
        <f t="shared" si="108"/>
        <v/>
      </c>
      <c r="E863" t="str">
        <f t="shared" si="109"/>
        <v/>
      </c>
      <c r="F863" s="68" t="s">
        <v>4289</v>
      </c>
      <c r="G863">
        <f>'IPTV CA'!A854</f>
        <v>0</v>
      </c>
      <c r="H863" t="str">
        <f>T('IPTV CA'!B854)</f>
        <v/>
      </c>
      <c r="I863" t="s">
        <v>4290</v>
      </c>
      <c r="J863" t="str">
        <f t="shared" si="110"/>
        <v/>
      </c>
      <c r="K863" t="str">
        <f t="shared" si="112"/>
        <v/>
      </c>
      <c r="L863" s="69"/>
      <c r="M863">
        <f>'TMIS US'!A854</f>
        <v>9720</v>
      </c>
      <c r="N863" t="str">
        <f>T('TMIS US'!B854)</f>
        <v>FilmRise Concursos de Cocina</v>
      </c>
      <c r="O863" t="s">
        <v>4288</v>
      </c>
      <c r="P863" t="str">
        <f t="shared" si="111"/>
        <v/>
      </c>
      <c r="Q863" t="str">
        <f t="shared" si="113"/>
        <v/>
      </c>
      <c r="R863" s="69"/>
      <c r="S863">
        <f>'TMIS CA'!A854</f>
        <v>0</v>
      </c>
      <c r="T863" t="str">
        <f>T('TMIS CA'!B854)</f>
        <v/>
      </c>
      <c r="U863" t="s">
        <v>4290</v>
      </c>
      <c r="V863" t="str">
        <f t="shared" si="115"/>
        <v/>
      </c>
      <c r="W863" t="str">
        <f t="shared" si="114"/>
        <v/>
      </c>
    </row>
    <row r="864" spans="1:23">
      <c r="A864">
        <f>'IPTV US'!A855</f>
        <v>11121</v>
      </c>
      <c r="B864" t="str">
        <f>T('IPTV US'!B855)</f>
        <v>Iron Chef en español</v>
      </c>
      <c r="C864" t="s">
        <v>4288</v>
      </c>
      <c r="D864" t="str">
        <f t="shared" si="108"/>
        <v/>
      </c>
      <c r="E864" t="str">
        <f t="shared" si="109"/>
        <v/>
      </c>
      <c r="F864" s="68" t="s">
        <v>4289</v>
      </c>
      <c r="G864">
        <f>'IPTV CA'!A855</f>
        <v>0</v>
      </c>
      <c r="H864" t="str">
        <f>T('IPTV CA'!B855)</f>
        <v/>
      </c>
      <c r="I864" t="s">
        <v>4290</v>
      </c>
      <c r="J864" t="str">
        <f t="shared" si="110"/>
        <v/>
      </c>
      <c r="K864" t="str">
        <f t="shared" si="112"/>
        <v/>
      </c>
      <c r="L864" s="69"/>
      <c r="M864">
        <f>'TMIS US'!A855</f>
        <v>9721</v>
      </c>
      <c r="N864" t="str">
        <f>T('TMIS US'!B855)</f>
        <v>Iron Chef en español</v>
      </c>
      <c r="O864" t="s">
        <v>4288</v>
      </c>
      <c r="P864" t="str">
        <f t="shared" si="111"/>
        <v/>
      </c>
      <c r="Q864" t="str">
        <f t="shared" si="113"/>
        <v/>
      </c>
      <c r="R864" s="69"/>
      <c r="S864">
        <f>'TMIS CA'!A855</f>
        <v>0</v>
      </c>
      <c r="T864" t="str">
        <f>T('TMIS CA'!B855)</f>
        <v/>
      </c>
      <c r="U864" t="s">
        <v>4290</v>
      </c>
      <c r="V864" t="str">
        <f t="shared" si="115"/>
        <v/>
      </c>
      <c r="W864" t="str">
        <f t="shared" si="114"/>
        <v/>
      </c>
    </row>
    <row r="865" spans="1:23">
      <c r="A865">
        <f>'IPTV US'!A856</f>
        <v>11122</v>
      </c>
      <c r="B865" t="str">
        <f>T('IPTV US'!B856)</f>
        <v>Saborear TV</v>
      </c>
      <c r="C865" t="s">
        <v>4288</v>
      </c>
      <c r="D865" t="str">
        <f t="shared" si="108"/>
        <v/>
      </c>
      <c r="E865" t="str">
        <f t="shared" si="109"/>
        <v/>
      </c>
      <c r="F865" s="68" t="s">
        <v>4289</v>
      </c>
      <c r="G865">
        <f>'IPTV CA'!A856</f>
        <v>0</v>
      </c>
      <c r="H865" t="str">
        <f>T('IPTV CA'!B856)</f>
        <v/>
      </c>
      <c r="I865" t="s">
        <v>4290</v>
      </c>
      <c r="J865" t="str">
        <f t="shared" si="110"/>
        <v/>
      </c>
      <c r="K865" t="str">
        <f t="shared" si="112"/>
        <v/>
      </c>
      <c r="L865" s="69"/>
      <c r="M865">
        <f>'TMIS US'!A856</f>
        <v>9722</v>
      </c>
      <c r="N865" t="str">
        <f>T('TMIS US'!B856)</f>
        <v>Saborear TV</v>
      </c>
      <c r="O865" t="s">
        <v>4288</v>
      </c>
      <c r="P865" t="str">
        <f t="shared" si="111"/>
        <v/>
      </c>
      <c r="Q865" t="str">
        <f t="shared" si="113"/>
        <v/>
      </c>
      <c r="R865" s="69"/>
      <c r="S865">
        <f>'TMIS CA'!A856</f>
        <v>0</v>
      </c>
      <c r="T865" t="str">
        <f>T('TMIS CA'!B856)</f>
        <v/>
      </c>
      <c r="U865" t="s">
        <v>4290</v>
      </c>
      <c r="V865" t="str">
        <f t="shared" si="115"/>
        <v/>
      </c>
      <c r="W865" t="str">
        <f t="shared" si="114"/>
        <v/>
      </c>
    </row>
    <row r="866" spans="1:23">
      <c r="A866">
        <f>'IPTV US'!A857</f>
        <v>11123</v>
      </c>
      <c r="B866" t="str">
        <f>T('IPTV US'!B857)</f>
        <v>Buen Viaje</v>
      </c>
      <c r="C866" t="s">
        <v>4288</v>
      </c>
      <c r="D866" t="str">
        <f t="shared" si="108"/>
        <v/>
      </c>
      <c r="E866" t="str">
        <f t="shared" si="109"/>
        <v/>
      </c>
      <c r="F866" s="68" t="s">
        <v>4289</v>
      </c>
      <c r="G866">
        <f>'IPTV CA'!A857</f>
        <v>0</v>
      </c>
      <c r="H866" t="str">
        <f>T('IPTV CA'!B857)</f>
        <v/>
      </c>
      <c r="I866" t="s">
        <v>4290</v>
      </c>
      <c r="J866" t="str">
        <f t="shared" si="110"/>
        <v/>
      </c>
      <c r="K866" t="str">
        <f t="shared" si="112"/>
        <v/>
      </c>
      <c r="L866" s="69"/>
      <c r="M866">
        <f>'TMIS US'!A857</f>
        <v>9723</v>
      </c>
      <c r="N866" t="str">
        <f>T('TMIS US'!B857)</f>
        <v>Buen Viaje</v>
      </c>
      <c r="O866" t="s">
        <v>4288</v>
      </c>
      <c r="P866" t="str">
        <f t="shared" si="111"/>
        <v/>
      </c>
      <c r="Q866" t="str">
        <f t="shared" si="113"/>
        <v/>
      </c>
      <c r="R866" s="69"/>
      <c r="S866">
        <f>'TMIS CA'!A857</f>
        <v>0</v>
      </c>
      <c r="T866" t="str">
        <f>T('TMIS CA'!B857)</f>
        <v/>
      </c>
      <c r="U866" t="s">
        <v>4290</v>
      </c>
      <c r="V866" t="str">
        <f t="shared" si="115"/>
        <v/>
      </c>
      <c r="W866" t="str">
        <f t="shared" si="114"/>
        <v/>
      </c>
    </row>
    <row r="867" spans="1:23">
      <c r="A867">
        <f>'IPTV US'!A858</f>
        <v>11124</v>
      </c>
      <c r="B867" t="str">
        <f>T('IPTV US'!B858)</f>
        <v>Mi Casa</v>
      </c>
      <c r="C867" t="s">
        <v>4288</v>
      </c>
      <c r="D867" t="str">
        <f t="shared" si="108"/>
        <v/>
      </c>
      <c r="E867" t="str">
        <f t="shared" si="109"/>
        <v/>
      </c>
      <c r="F867" s="68" t="s">
        <v>4289</v>
      </c>
      <c r="G867">
        <f>'IPTV CA'!A858</f>
        <v>0</v>
      </c>
      <c r="H867" t="str">
        <f>T('IPTV CA'!B858)</f>
        <v/>
      </c>
      <c r="I867" t="s">
        <v>4290</v>
      </c>
      <c r="J867" t="str">
        <f t="shared" si="110"/>
        <v/>
      </c>
      <c r="K867" t="str">
        <f t="shared" si="112"/>
        <v/>
      </c>
      <c r="L867" s="69"/>
      <c r="M867">
        <f>'TMIS US'!A858</f>
        <v>9724</v>
      </c>
      <c r="N867" t="str">
        <f>T('TMIS US'!B858)</f>
        <v>Mi Casa</v>
      </c>
      <c r="O867" t="s">
        <v>4288</v>
      </c>
      <c r="P867" t="str">
        <f t="shared" si="111"/>
        <v/>
      </c>
      <c r="Q867" t="str">
        <f t="shared" si="113"/>
        <v/>
      </c>
      <c r="R867" s="69"/>
      <c r="S867">
        <f>'TMIS CA'!A858</f>
        <v>0</v>
      </c>
      <c r="T867" t="str">
        <f>T('TMIS CA'!B858)</f>
        <v/>
      </c>
      <c r="U867" t="s">
        <v>4290</v>
      </c>
      <c r="V867" t="str">
        <f t="shared" si="115"/>
        <v/>
      </c>
      <c r="W867" t="str">
        <f t="shared" si="114"/>
        <v/>
      </c>
    </row>
    <row r="868" spans="1:23">
      <c r="A868">
        <f>'IPTV US'!A859</f>
        <v>11125</v>
      </c>
      <c r="B868" t="str">
        <f>T('IPTV US'!B859)</f>
        <v>ÚN TV</v>
      </c>
      <c r="C868" t="s">
        <v>4288</v>
      </c>
      <c r="D868" t="str">
        <f t="shared" si="108"/>
        <v/>
      </c>
      <c r="E868" t="str">
        <f t="shared" si="109"/>
        <v/>
      </c>
      <c r="F868" s="68" t="s">
        <v>4289</v>
      </c>
      <c r="G868">
        <f>'IPTV CA'!A859</f>
        <v>0</v>
      </c>
      <c r="H868" t="str">
        <f>T('IPTV CA'!B859)</f>
        <v/>
      </c>
      <c r="I868" t="s">
        <v>4290</v>
      </c>
      <c r="J868" t="str">
        <f t="shared" si="110"/>
        <v/>
      </c>
      <c r="K868" t="str">
        <f t="shared" si="112"/>
        <v/>
      </c>
      <c r="L868" s="69"/>
      <c r="M868">
        <f>'TMIS US'!A859</f>
        <v>9725</v>
      </c>
      <c r="N868" t="str">
        <f>T('TMIS US'!B859)</f>
        <v>ÚN TV</v>
      </c>
      <c r="O868" t="s">
        <v>4288</v>
      </c>
      <c r="P868" t="str">
        <f t="shared" si="111"/>
        <v/>
      </c>
      <c r="Q868" t="str">
        <f t="shared" si="113"/>
        <v/>
      </c>
      <c r="R868" s="69"/>
      <c r="S868">
        <f>'TMIS CA'!A859</f>
        <v>0</v>
      </c>
      <c r="T868" t="str">
        <f>T('TMIS CA'!B859)</f>
        <v/>
      </c>
      <c r="U868" t="s">
        <v>4290</v>
      </c>
      <c r="V868" t="str">
        <f t="shared" si="115"/>
        <v/>
      </c>
      <c r="W868" t="str">
        <f t="shared" si="114"/>
        <v/>
      </c>
    </row>
    <row r="869" spans="1:23">
      <c r="A869">
        <f>'IPTV US'!A860</f>
        <v>11126</v>
      </c>
      <c r="B869" t="str">
        <f>T('IPTV US'!B860)</f>
        <v>FreeTV Saber Más</v>
      </c>
      <c r="C869" t="s">
        <v>4288</v>
      </c>
      <c r="D869" t="str">
        <f t="shared" si="108"/>
        <v/>
      </c>
      <c r="E869" t="str">
        <f t="shared" si="109"/>
        <v/>
      </c>
      <c r="F869" s="68" t="s">
        <v>4289</v>
      </c>
      <c r="G869">
        <f>'IPTV CA'!A860</f>
        <v>0</v>
      </c>
      <c r="H869" t="str">
        <f>T('IPTV CA'!B860)</f>
        <v/>
      </c>
      <c r="I869" t="s">
        <v>4290</v>
      </c>
      <c r="J869" t="str">
        <f t="shared" si="110"/>
        <v/>
      </c>
      <c r="K869" t="str">
        <f t="shared" si="112"/>
        <v/>
      </c>
      <c r="L869" s="69"/>
      <c r="M869">
        <f>'TMIS US'!A860</f>
        <v>9726</v>
      </c>
      <c r="N869" t="str">
        <f>T('TMIS US'!B860)</f>
        <v>FreeTV Saber Más</v>
      </c>
      <c r="O869" t="s">
        <v>4288</v>
      </c>
      <c r="P869" t="str">
        <f t="shared" si="111"/>
        <v/>
      </c>
      <c r="Q869" t="str">
        <f t="shared" si="113"/>
        <v/>
      </c>
      <c r="R869" s="69"/>
      <c r="S869">
        <f>'TMIS CA'!A860</f>
        <v>0</v>
      </c>
      <c r="T869" t="str">
        <f>T('TMIS CA'!B860)</f>
        <v/>
      </c>
      <c r="U869" t="s">
        <v>4290</v>
      </c>
      <c r="V869" t="str">
        <f t="shared" si="115"/>
        <v/>
      </c>
      <c r="W869" t="str">
        <f t="shared" si="114"/>
        <v/>
      </c>
    </row>
    <row r="870" spans="1:23">
      <c r="A870">
        <f>'IPTV US'!A861</f>
        <v>11127</v>
      </c>
      <c r="B870" t="str">
        <f>T('IPTV US'!B861)</f>
        <v>Naturaleza</v>
      </c>
      <c r="C870" t="s">
        <v>4288</v>
      </c>
      <c r="D870" t="str">
        <f t="shared" si="108"/>
        <v/>
      </c>
      <c r="E870" t="str">
        <f t="shared" si="109"/>
        <v/>
      </c>
      <c r="F870" s="68" t="s">
        <v>4289</v>
      </c>
      <c r="G870">
        <f>'IPTV CA'!A861</f>
        <v>0</v>
      </c>
      <c r="H870" t="str">
        <f>T('IPTV CA'!B861)</f>
        <v/>
      </c>
      <c r="I870" t="s">
        <v>4290</v>
      </c>
      <c r="J870" t="str">
        <f t="shared" si="110"/>
        <v/>
      </c>
      <c r="K870" t="str">
        <f t="shared" si="112"/>
        <v/>
      </c>
      <c r="L870" s="69"/>
      <c r="M870">
        <f>'TMIS US'!A861</f>
        <v>9727</v>
      </c>
      <c r="N870" t="str">
        <f>T('TMIS US'!B861)</f>
        <v>Naturaleza</v>
      </c>
      <c r="O870" t="s">
        <v>4288</v>
      </c>
      <c r="P870" t="str">
        <f t="shared" si="111"/>
        <v/>
      </c>
      <c r="Q870" t="str">
        <f t="shared" si="113"/>
        <v/>
      </c>
      <c r="R870" s="69"/>
      <c r="S870">
        <f>'TMIS CA'!A861</f>
        <v>0</v>
      </c>
      <c r="T870" t="str">
        <f>T('TMIS CA'!B861)</f>
        <v/>
      </c>
      <c r="U870" t="s">
        <v>4290</v>
      </c>
      <c r="V870" t="str">
        <f t="shared" si="115"/>
        <v/>
      </c>
      <c r="W870" t="str">
        <f t="shared" si="114"/>
        <v/>
      </c>
    </row>
    <row r="871" spans="1:23">
      <c r="A871">
        <f>'IPTV US'!A862</f>
        <v>11128</v>
      </c>
      <c r="B871" t="str">
        <f>T('IPTV US'!B862)</f>
        <v>Naturaleza Salvaje</v>
      </c>
      <c r="C871" t="s">
        <v>4288</v>
      </c>
      <c r="D871" t="str">
        <f t="shared" si="108"/>
        <v/>
      </c>
      <c r="E871" t="str">
        <f t="shared" si="109"/>
        <v/>
      </c>
      <c r="F871" s="68" t="s">
        <v>4289</v>
      </c>
      <c r="G871">
        <f>'IPTV CA'!A862</f>
        <v>0</v>
      </c>
      <c r="H871" t="str">
        <f>T('IPTV CA'!B862)</f>
        <v/>
      </c>
      <c r="I871" t="s">
        <v>4290</v>
      </c>
      <c r="J871" t="str">
        <f t="shared" si="110"/>
        <v/>
      </c>
      <c r="K871" t="str">
        <f t="shared" si="112"/>
        <v/>
      </c>
      <c r="L871" s="69"/>
      <c r="M871">
        <f>'TMIS US'!A862</f>
        <v>9728</v>
      </c>
      <c r="N871" t="str">
        <f>T('TMIS US'!B862)</f>
        <v>Naturaleza Salvaje</v>
      </c>
      <c r="O871" t="s">
        <v>4288</v>
      </c>
      <c r="P871" t="str">
        <f t="shared" si="111"/>
        <v/>
      </c>
      <c r="Q871" t="str">
        <f t="shared" si="113"/>
        <v/>
      </c>
      <c r="R871" s="69"/>
      <c r="S871">
        <f>'TMIS CA'!A862</f>
        <v>0</v>
      </c>
      <c r="T871" t="str">
        <f>T('TMIS CA'!B862)</f>
        <v/>
      </c>
      <c r="U871" t="s">
        <v>4290</v>
      </c>
      <c r="V871" t="str">
        <f t="shared" si="115"/>
        <v/>
      </c>
      <c r="W871" t="str">
        <f t="shared" si="114"/>
        <v/>
      </c>
    </row>
    <row r="872" spans="1:23">
      <c r="A872">
        <f>'IPTV US'!A863</f>
        <v>11129</v>
      </c>
      <c r="B872" t="str">
        <f>T('IPTV US'!B863)</f>
        <v>Canela.TV Deportes</v>
      </c>
      <c r="C872" t="s">
        <v>4288</v>
      </c>
      <c r="D872" t="str">
        <f t="shared" si="108"/>
        <v/>
      </c>
      <c r="E872" t="str">
        <f t="shared" si="109"/>
        <v/>
      </c>
      <c r="F872" s="68" t="s">
        <v>4289</v>
      </c>
      <c r="G872">
        <f>'IPTV CA'!A863</f>
        <v>0</v>
      </c>
      <c r="H872" t="str">
        <f>T('IPTV CA'!B863)</f>
        <v/>
      </c>
      <c r="I872" t="s">
        <v>4290</v>
      </c>
      <c r="J872" t="str">
        <f t="shared" si="110"/>
        <v/>
      </c>
      <c r="K872" t="str">
        <f t="shared" si="112"/>
        <v/>
      </c>
      <c r="L872" s="69"/>
      <c r="M872">
        <f>'TMIS US'!A863</f>
        <v>9729</v>
      </c>
      <c r="N872" t="str">
        <f>T('TMIS US'!B863)</f>
        <v>Canela.TV Deportes</v>
      </c>
      <c r="O872" t="s">
        <v>4288</v>
      </c>
      <c r="P872" t="str">
        <f t="shared" si="111"/>
        <v/>
      </c>
      <c r="Q872" t="str">
        <f t="shared" si="113"/>
        <v/>
      </c>
      <c r="R872" s="69"/>
      <c r="S872">
        <f>'TMIS CA'!A863</f>
        <v>0</v>
      </c>
      <c r="T872" t="str">
        <f>T('TMIS CA'!B863)</f>
        <v/>
      </c>
      <c r="U872" t="s">
        <v>4290</v>
      </c>
      <c r="V872" t="str">
        <f t="shared" si="115"/>
        <v/>
      </c>
      <c r="W872" t="str">
        <f t="shared" si="114"/>
        <v/>
      </c>
    </row>
    <row r="873" spans="1:23">
      <c r="A873">
        <f>'IPTV US'!A864</f>
        <v>11130</v>
      </c>
      <c r="B873" t="str">
        <f>T('IPTV US'!B864)</f>
        <v/>
      </c>
      <c r="C873" t="s">
        <v>4290</v>
      </c>
      <c r="D873" t="str">
        <f t="shared" si="108"/>
        <v/>
      </c>
      <c r="E873" t="str">
        <f t="shared" si="109"/>
        <v/>
      </c>
      <c r="F873" s="68" t="s">
        <v>4289</v>
      </c>
      <c r="G873">
        <f>'IPTV CA'!A864</f>
        <v>0</v>
      </c>
      <c r="H873" t="str">
        <f>T('IPTV CA'!B864)</f>
        <v/>
      </c>
      <c r="I873" t="s">
        <v>4290</v>
      </c>
      <c r="J873" t="str">
        <f t="shared" si="110"/>
        <v/>
      </c>
      <c r="K873" t="str">
        <f t="shared" si="112"/>
        <v/>
      </c>
      <c r="L873" s="69"/>
      <c r="M873">
        <f>'TMIS US'!A864</f>
        <v>9730</v>
      </c>
      <c r="N873" t="str">
        <f>T('TMIS US'!B864)</f>
        <v/>
      </c>
      <c r="O873" t="s">
        <v>4290</v>
      </c>
      <c r="P873" t="str">
        <f t="shared" si="111"/>
        <v/>
      </c>
      <c r="Q873" t="str">
        <f t="shared" si="113"/>
        <v/>
      </c>
      <c r="R873" s="69"/>
      <c r="S873">
        <f>'TMIS CA'!A864</f>
        <v>0</v>
      </c>
      <c r="T873" t="str">
        <f>T('TMIS CA'!B864)</f>
        <v/>
      </c>
      <c r="U873" t="s">
        <v>4290</v>
      </c>
      <c r="V873" t="str">
        <f t="shared" si="115"/>
        <v/>
      </c>
      <c r="W873" t="str">
        <f t="shared" si="114"/>
        <v/>
      </c>
    </row>
    <row r="874" spans="1:23">
      <c r="A874">
        <f>'IPTV US'!A865</f>
        <v>11131</v>
      </c>
      <c r="B874" t="str">
        <f>T('IPTV US'!B865)</f>
        <v/>
      </c>
      <c r="C874" t="s">
        <v>4290</v>
      </c>
      <c r="D874" t="str">
        <f t="shared" si="108"/>
        <v/>
      </c>
      <c r="E874" t="str">
        <f t="shared" si="109"/>
        <v/>
      </c>
      <c r="F874" s="68" t="s">
        <v>4289</v>
      </c>
      <c r="G874">
        <f>'IPTV CA'!A865</f>
        <v>0</v>
      </c>
      <c r="H874" t="str">
        <f>T('IPTV CA'!B865)</f>
        <v/>
      </c>
      <c r="I874" t="s">
        <v>4290</v>
      </c>
      <c r="J874" t="str">
        <f t="shared" si="110"/>
        <v/>
      </c>
      <c r="K874" t="str">
        <f t="shared" si="112"/>
        <v/>
      </c>
      <c r="L874" s="69"/>
      <c r="M874">
        <f>'TMIS US'!A865</f>
        <v>9731</v>
      </c>
      <c r="N874" t="str">
        <f>T('TMIS US'!B865)</f>
        <v/>
      </c>
      <c r="O874" t="s">
        <v>4290</v>
      </c>
      <c r="P874" t="str">
        <f t="shared" si="111"/>
        <v/>
      </c>
      <c r="Q874" t="str">
        <f t="shared" si="113"/>
        <v/>
      </c>
      <c r="R874" s="69"/>
      <c r="S874">
        <f>'TMIS CA'!A865</f>
        <v>0</v>
      </c>
      <c r="T874" t="str">
        <f>T('TMIS CA'!B865)</f>
        <v/>
      </c>
      <c r="U874" t="s">
        <v>4290</v>
      </c>
      <c r="V874" t="str">
        <f t="shared" si="115"/>
        <v/>
      </c>
      <c r="W874" t="str">
        <f t="shared" si="114"/>
        <v/>
      </c>
    </row>
    <row r="875" spans="1:23">
      <c r="A875">
        <f>'IPTV US'!A866</f>
        <v>11132</v>
      </c>
      <c r="B875" t="str">
        <f>T('IPTV US'!B866)</f>
        <v/>
      </c>
      <c r="C875" t="s">
        <v>4290</v>
      </c>
      <c r="D875" t="str">
        <f t="shared" si="108"/>
        <v/>
      </c>
      <c r="E875" t="str">
        <f t="shared" si="109"/>
        <v/>
      </c>
      <c r="F875" s="68" t="s">
        <v>4289</v>
      </c>
      <c r="G875">
        <f>'IPTV CA'!A866</f>
        <v>0</v>
      </c>
      <c r="H875" t="str">
        <f>T('IPTV CA'!B866)</f>
        <v/>
      </c>
      <c r="I875" t="s">
        <v>4290</v>
      </c>
      <c r="J875" t="str">
        <f t="shared" si="110"/>
        <v/>
      </c>
      <c r="K875" t="str">
        <f t="shared" si="112"/>
        <v/>
      </c>
      <c r="L875" s="69"/>
      <c r="M875">
        <f>'TMIS US'!A866</f>
        <v>9732</v>
      </c>
      <c r="N875" t="str">
        <f>T('TMIS US'!B866)</f>
        <v/>
      </c>
      <c r="O875" t="s">
        <v>4290</v>
      </c>
      <c r="P875" t="str">
        <f t="shared" si="111"/>
        <v/>
      </c>
      <c r="Q875" t="str">
        <f t="shared" si="113"/>
        <v/>
      </c>
      <c r="R875" s="69"/>
      <c r="S875">
        <f>'TMIS CA'!A866</f>
        <v>0</v>
      </c>
      <c r="T875" t="str">
        <f>T('TMIS CA'!B866)</f>
        <v/>
      </c>
      <c r="U875" t="s">
        <v>4290</v>
      </c>
      <c r="V875" t="str">
        <f t="shared" si="115"/>
        <v/>
      </c>
      <c r="W875" t="str">
        <f t="shared" si="114"/>
        <v/>
      </c>
    </row>
    <row r="876" spans="1:23">
      <c r="A876">
        <f>'IPTV US'!A867</f>
        <v>11133</v>
      </c>
      <c r="B876" t="str">
        <f>T('IPTV US'!B867)</f>
        <v/>
      </c>
      <c r="C876" t="s">
        <v>4290</v>
      </c>
      <c r="D876" t="str">
        <f t="shared" si="108"/>
        <v/>
      </c>
      <c r="E876" t="str">
        <f t="shared" si="109"/>
        <v/>
      </c>
      <c r="F876" s="68" t="s">
        <v>4289</v>
      </c>
      <c r="G876">
        <f>'IPTV CA'!A867</f>
        <v>0</v>
      </c>
      <c r="H876" t="str">
        <f>T('IPTV CA'!B867)</f>
        <v/>
      </c>
      <c r="I876" t="s">
        <v>4290</v>
      </c>
      <c r="J876" t="str">
        <f t="shared" si="110"/>
        <v/>
      </c>
      <c r="K876" t="str">
        <f t="shared" si="112"/>
        <v/>
      </c>
      <c r="L876" s="69"/>
      <c r="M876">
        <f>'TMIS US'!A867</f>
        <v>9733</v>
      </c>
      <c r="N876" t="str">
        <f>T('TMIS US'!B867)</f>
        <v/>
      </c>
      <c r="O876" t="s">
        <v>4290</v>
      </c>
      <c r="P876" t="str">
        <f t="shared" si="111"/>
        <v/>
      </c>
      <c r="Q876" t="str">
        <f t="shared" si="113"/>
        <v/>
      </c>
      <c r="R876" s="69"/>
      <c r="S876">
        <f>'TMIS CA'!A867</f>
        <v>0</v>
      </c>
      <c r="T876" t="str">
        <f>T('TMIS CA'!B867)</f>
        <v/>
      </c>
      <c r="U876" t="s">
        <v>4290</v>
      </c>
      <c r="V876" t="str">
        <f t="shared" si="115"/>
        <v/>
      </c>
      <c r="W876" t="str">
        <f t="shared" si="114"/>
        <v/>
      </c>
    </row>
    <row r="877" spans="1:23">
      <c r="A877">
        <f>'IPTV US'!A868</f>
        <v>11134</v>
      </c>
      <c r="B877" t="str">
        <f>T('IPTV US'!B868)</f>
        <v>Lucha Plus</v>
      </c>
      <c r="C877" t="s">
        <v>4288</v>
      </c>
      <c r="D877" t="str">
        <f t="shared" si="108"/>
        <v/>
      </c>
      <c r="E877" t="str">
        <f t="shared" si="109"/>
        <v/>
      </c>
      <c r="F877" s="68" t="s">
        <v>4289</v>
      </c>
      <c r="G877">
        <f>'IPTV CA'!A868</f>
        <v>0</v>
      </c>
      <c r="H877" t="str">
        <f>T('IPTV CA'!B868)</f>
        <v/>
      </c>
      <c r="I877" t="s">
        <v>4290</v>
      </c>
      <c r="J877" t="str">
        <f t="shared" si="110"/>
        <v/>
      </c>
      <c r="K877" t="str">
        <f t="shared" si="112"/>
        <v/>
      </c>
      <c r="L877" s="69"/>
      <c r="M877">
        <f>'TMIS US'!A868</f>
        <v>9734</v>
      </c>
      <c r="N877" t="str">
        <f>T('TMIS US'!B868)</f>
        <v>Lucha Plus</v>
      </c>
      <c r="O877" t="s">
        <v>4288</v>
      </c>
      <c r="P877" t="str">
        <f t="shared" si="111"/>
        <v/>
      </c>
      <c r="Q877" t="str">
        <f t="shared" si="113"/>
        <v/>
      </c>
      <c r="R877" s="69"/>
      <c r="S877">
        <f>'TMIS CA'!A868</f>
        <v>0</v>
      </c>
      <c r="T877" t="str">
        <f>T('TMIS CA'!B868)</f>
        <v/>
      </c>
      <c r="U877" t="s">
        <v>4290</v>
      </c>
      <c r="V877" t="str">
        <f t="shared" si="115"/>
        <v/>
      </c>
      <c r="W877" t="str">
        <f t="shared" si="114"/>
        <v/>
      </c>
    </row>
    <row r="878" spans="1:23">
      <c r="A878">
        <f>'IPTV US'!A869</f>
        <v>11135</v>
      </c>
      <c r="B878" t="str">
        <f>T('IPTV US'!B869)</f>
        <v/>
      </c>
      <c r="C878" t="s">
        <v>4290</v>
      </c>
      <c r="D878" t="str">
        <f t="shared" si="108"/>
        <v/>
      </c>
      <c r="E878" t="str">
        <f t="shared" si="109"/>
        <v/>
      </c>
      <c r="F878" s="68" t="s">
        <v>4289</v>
      </c>
      <c r="G878">
        <f>'IPTV CA'!A869</f>
        <v>0</v>
      </c>
      <c r="H878" t="str">
        <f>T('IPTV CA'!B869)</f>
        <v/>
      </c>
      <c r="I878" t="s">
        <v>4290</v>
      </c>
      <c r="J878" t="str">
        <f t="shared" si="110"/>
        <v/>
      </c>
      <c r="K878" t="str">
        <f t="shared" si="112"/>
        <v/>
      </c>
      <c r="L878" s="69"/>
      <c r="M878">
        <f>'TMIS US'!A869</f>
        <v>9735</v>
      </c>
      <c r="N878" t="str">
        <f>T('TMIS US'!B869)</f>
        <v/>
      </c>
      <c r="O878" t="s">
        <v>4290</v>
      </c>
      <c r="P878" t="str">
        <f t="shared" si="111"/>
        <v/>
      </c>
      <c r="Q878" t="str">
        <f t="shared" si="113"/>
        <v/>
      </c>
      <c r="R878" s="69"/>
      <c r="S878">
        <f>'TMIS CA'!A869</f>
        <v>0</v>
      </c>
      <c r="T878" t="str">
        <f>T('TMIS CA'!B869)</f>
        <v/>
      </c>
      <c r="U878" t="s">
        <v>4290</v>
      </c>
      <c r="V878" t="str">
        <f t="shared" si="115"/>
        <v/>
      </c>
      <c r="W878" t="str">
        <f t="shared" si="114"/>
        <v/>
      </c>
    </row>
    <row r="879" spans="1:23">
      <c r="A879">
        <f>'IPTV US'!A870</f>
        <v>11136</v>
      </c>
      <c r="B879" t="str">
        <f>T('IPTV US'!B870)</f>
        <v/>
      </c>
      <c r="C879" t="s">
        <v>4290</v>
      </c>
      <c r="D879" t="str">
        <f t="shared" si="108"/>
        <v/>
      </c>
      <c r="E879" t="str">
        <f t="shared" si="109"/>
        <v/>
      </c>
      <c r="F879" s="68" t="s">
        <v>4289</v>
      </c>
      <c r="G879">
        <f>'IPTV CA'!A870</f>
        <v>0</v>
      </c>
      <c r="H879" t="str">
        <f>T('IPTV CA'!B870)</f>
        <v/>
      </c>
      <c r="I879" t="s">
        <v>4290</v>
      </c>
      <c r="J879" t="str">
        <f t="shared" si="110"/>
        <v/>
      </c>
      <c r="K879" t="str">
        <f t="shared" si="112"/>
        <v/>
      </c>
      <c r="L879" s="69"/>
      <c r="M879">
        <f>'TMIS US'!A870</f>
        <v>9736</v>
      </c>
      <c r="N879" t="str">
        <f>T('TMIS US'!B870)</f>
        <v/>
      </c>
      <c r="O879" t="s">
        <v>4290</v>
      </c>
      <c r="P879" t="str">
        <f t="shared" si="111"/>
        <v/>
      </c>
      <c r="Q879" t="str">
        <f t="shared" si="113"/>
        <v/>
      </c>
      <c r="R879" s="69"/>
      <c r="S879">
        <f>'TMIS CA'!A870</f>
        <v>0</v>
      </c>
      <c r="T879" t="str">
        <f>T('TMIS CA'!B870)</f>
        <v/>
      </c>
      <c r="U879" t="s">
        <v>4290</v>
      </c>
      <c r="V879" t="str">
        <f t="shared" si="115"/>
        <v/>
      </c>
      <c r="W879" t="str">
        <f t="shared" si="114"/>
        <v/>
      </c>
    </row>
    <row r="880" spans="1:23">
      <c r="A880">
        <f>'IPTV US'!A871</f>
        <v>11137</v>
      </c>
      <c r="B880" t="str">
        <f>T('IPTV US'!B871)</f>
        <v/>
      </c>
      <c r="C880" t="s">
        <v>4290</v>
      </c>
      <c r="D880" t="str">
        <f t="shared" si="108"/>
        <v/>
      </c>
      <c r="E880" t="str">
        <f t="shared" si="109"/>
        <v/>
      </c>
      <c r="F880" s="68" t="s">
        <v>4289</v>
      </c>
      <c r="G880">
        <f>'IPTV CA'!A871</f>
        <v>0</v>
      </c>
      <c r="H880" t="str">
        <f>T('IPTV CA'!B871)</f>
        <v/>
      </c>
      <c r="I880" t="s">
        <v>4290</v>
      </c>
      <c r="J880" t="str">
        <f t="shared" si="110"/>
        <v/>
      </c>
      <c r="K880" t="str">
        <f t="shared" si="112"/>
        <v/>
      </c>
      <c r="L880" s="69"/>
      <c r="M880">
        <f>'TMIS US'!A871</f>
        <v>9737</v>
      </c>
      <c r="N880" t="str">
        <f>T('TMIS US'!B871)</f>
        <v/>
      </c>
      <c r="O880" t="s">
        <v>4290</v>
      </c>
      <c r="P880" t="str">
        <f t="shared" si="111"/>
        <v/>
      </c>
      <c r="Q880" t="str">
        <f t="shared" si="113"/>
        <v/>
      </c>
      <c r="R880" s="69"/>
      <c r="S880">
        <f>'TMIS CA'!A871</f>
        <v>0</v>
      </c>
      <c r="T880" t="str">
        <f>T('TMIS CA'!B871)</f>
        <v/>
      </c>
      <c r="U880" t="s">
        <v>4290</v>
      </c>
      <c r="V880" t="str">
        <f t="shared" si="115"/>
        <v/>
      </c>
      <c r="W880" t="str">
        <f t="shared" si="114"/>
        <v/>
      </c>
    </row>
    <row r="881" spans="1:23">
      <c r="A881">
        <f>'IPTV US'!A872</f>
        <v>11138</v>
      </c>
      <c r="B881" t="str">
        <f>T('IPTV US'!B872)</f>
        <v/>
      </c>
      <c r="C881" t="s">
        <v>4290</v>
      </c>
      <c r="D881" t="str">
        <f t="shared" si="108"/>
        <v/>
      </c>
      <c r="E881" t="str">
        <f t="shared" si="109"/>
        <v/>
      </c>
      <c r="F881" s="68" t="s">
        <v>4289</v>
      </c>
      <c r="G881">
        <f>'IPTV CA'!A872</f>
        <v>0</v>
      </c>
      <c r="H881" t="str">
        <f>T('IPTV CA'!B872)</f>
        <v/>
      </c>
      <c r="I881" t="s">
        <v>4290</v>
      </c>
      <c r="J881" t="str">
        <f t="shared" si="110"/>
        <v/>
      </c>
      <c r="K881" t="str">
        <f t="shared" si="112"/>
        <v/>
      </c>
      <c r="L881" s="69"/>
      <c r="M881">
        <f>'TMIS US'!A872</f>
        <v>9738</v>
      </c>
      <c r="N881" t="str">
        <f>T('TMIS US'!B872)</f>
        <v/>
      </c>
      <c r="O881" t="s">
        <v>4290</v>
      </c>
      <c r="P881" t="str">
        <f t="shared" si="111"/>
        <v/>
      </c>
      <c r="Q881" t="str">
        <f t="shared" si="113"/>
        <v/>
      </c>
      <c r="R881" s="69"/>
      <c r="S881">
        <f>'TMIS CA'!A872</f>
        <v>0</v>
      </c>
      <c r="T881" t="str">
        <f>T('TMIS CA'!B872)</f>
        <v/>
      </c>
      <c r="U881" t="s">
        <v>4290</v>
      </c>
      <c r="V881" t="str">
        <f t="shared" si="115"/>
        <v/>
      </c>
      <c r="W881" t="str">
        <f t="shared" si="114"/>
        <v/>
      </c>
    </row>
    <row r="882" spans="1:23">
      <c r="A882">
        <f>'IPTV US'!A873</f>
        <v>11139</v>
      </c>
      <c r="B882" t="str">
        <f>T('IPTV US'!B873)</f>
        <v/>
      </c>
      <c r="C882" t="s">
        <v>4290</v>
      </c>
      <c r="D882" t="str">
        <f t="shared" si="108"/>
        <v/>
      </c>
      <c r="E882" t="str">
        <f t="shared" si="109"/>
        <v/>
      </c>
      <c r="F882" s="68" t="s">
        <v>4289</v>
      </c>
      <c r="G882">
        <f>'IPTV CA'!A873</f>
        <v>0</v>
      </c>
      <c r="H882" t="str">
        <f>T('IPTV CA'!B873)</f>
        <v/>
      </c>
      <c r="I882" t="s">
        <v>4290</v>
      </c>
      <c r="J882" t="str">
        <f t="shared" si="110"/>
        <v/>
      </c>
      <c r="K882" t="str">
        <f t="shared" si="112"/>
        <v/>
      </c>
      <c r="L882" s="69"/>
      <c r="M882">
        <f>'TMIS US'!A873</f>
        <v>9739</v>
      </c>
      <c r="N882" t="str">
        <f>T('TMIS US'!B873)</f>
        <v/>
      </c>
      <c r="O882" t="s">
        <v>4290</v>
      </c>
      <c r="P882" t="str">
        <f t="shared" si="111"/>
        <v/>
      </c>
      <c r="Q882" t="str">
        <f t="shared" si="113"/>
        <v/>
      </c>
      <c r="R882" s="69"/>
      <c r="S882">
        <f>'TMIS CA'!A873</f>
        <v>0</v>
      </c>
      <c r="T882" t="str">
        <f>T('TMIS CA'!B873)</f>
        <v/>
      </c>
      <c r="U882" t="s">
        <v>4290</v>
      </c>
      <c r="V882" t="str">
        <f t="shared" si="115"/>
        <v/>
      </c>
      <c r="W882" t="str">
        <f t="shared" si="114"/>
        <v/>
      </c>
    </row>
    <row r="883" spans="1:23">
      <c r="A883">
        <f>'IPTV US'!A874</f>
        <v>11140</v>
      </c>
      <c r="B883" t="str">
        <f>T('IPTV US'!B874)</f>
        <v>JUBAO</v>
      </c>
      <c r="C883" t="s">
        <v>4288</v>
      </c>
      <c r="D883" t="str">
        <f t="shared" si="108"/>
        <v/>
      </c>
      <c r="E883" t="str">
        <f t="shared" si="109"/>
        <v/>
      </c>
      <c r="F883" s="68" t="s">
        <v>4289</v>
      </c>
      <c r="G883">
        <f>'IPTV CA'!A874</f>
        <v>0</v>
      </c>
      <c r="H883" t="str">
        <f>T('IPTV CA'!B874)</f>
        <v/>
      </c>
      <c r="I883" t="s">
        <v>4290</v>
      </c>
      <c r="J883" t="str">
        <f t="shared" si="110"/>
        <v/>
      </c>
      <c r="K883" t="str">
        <f t="shared" si="112"/>
        <v/>
      </c>
      <c r="L883" s="69"/>
      <c r="M883">
        <f>'TMIS US'!A874</f>
        <v>9740</v>
      </c>
      <c r="N883" t="str">
        <f>T('TMIS US'!B874)</f>
        <v>JUBAO</v>
      </c>
      <c r="O883" t="s">
        <v>4288</v>
      </c>
      <c r="P883" t="str">
        <f t="shared" si="111"/>
        <v/>
      </c>
      <c r="Q883" t="str">
        <f t="shared" si="113"/>
        <v/>
      </c>
      <c r="R883" s="69"/>
      <c r="S883">
        <f>'TMIS CA'!A874</f>
        <v>0</v>
      </c>
      <c r="T883" t="str">
        <f>T('TMIS CA'!B874)</f>
        <v/>
      </c>
      <c r="U883" t="s">
        <v>4290</v>
      </c>
      <c r="V883" t="str">
        <f t="shared" si="115"/>
        <v/>
      </c>
      <c r="W883" t="str">
        <f t="shared" si="114"/>
        <v/>
      </c>
    </row>
    <row r="884" spans="1:23">
      <c r="A884">
        <f>'IPTV US'!A875</f>
        <v>11141</v>
      </c>
      <c r="B884" t="str">
        <f>T('IPTV US'!B875)</f>
        <v>Aliwko</v>
      </c>
      <c r="C884" t="s">
        <v>4288</v>
      </c>
      <c r="D884" t="str">
        <f t="shared" si="108"/>
        <v/>
      </c>
      <c r="E884" t="str">
        <f t="shared" si="109"/>
        <v/>
      </c>
      <c r="F884" s="68" t="s">
        <v>4289</v>
      </c>
      <c r="G884">
        <f>'IPTV CA'!A875</f>
        <v>0</v>
      </c>
      <c r="H884" t="str">
        <f>T('IPTV CA'!B875)</f>
        <v/>
      </c>
      <c r="I884" t="s">
        <v>4290</v>
      </c>
      <c r="J884" t="str">
        <f t="shared" si="110"/>
        <v/>
      </c>
      <c r="K884" t="str">
        <f t="shared" si="112"/>
        <v/>
      </c>
      <c r="L884" s="69"/>
      <c r="M884">
        <f>'TMIS US'!A875</f>
        <v>9741</v>
      </c>
      <c r="N884" t="str">
        <f>T('TMIS US'!B875)</f>
        <v>Aliwko</v>
      </c>
      <c r="O884" t="s">
        <v>4288</v>
      </c>
      <c r="P884" t="str">
        <f t="shared" si="111"/>
        <v/>
      </c>
      <c r="Q884" t="str">
        <f t="shared" si="113"/>
        <v/>
      </c>
      <c r="R884" s="69"/>
      <c r="S884">
        <f>'TMIS CA'!A875</f>
        <v>0</v>
      </c>
      <c r="T884" t="str">
        <f>T('TMIS CA'!B875)</f>
        <v/>
      </c>
      <c r="U884" t="s">
        <v>4290</v>
      </c>
      <c r="V884" t="str">
        <f t="shared" si="115"/>
        <v/>
      </c>
      <c r="W884" t="str">
        <f t="shared" si="114"/>
        <v/>
      </c>
    </row>
    <row r="885" spans="1:23">
      <c r="A885">
        <f>'IPTV US'!A876</f>
        <v>11142</v>
      </c>
      <c r="B885" t="str">
        <f>T('IPTV US'!B876)</f>
        <v>AsianCrush</v>
      </c>
      <c r="C885" t="s">
        <v>4288</v>
      </c>
      <c r="D885" t="str">
        <f t="shared" si="108"/>
        <v/>
      </c>
      <c r="E885" t="str">
        <f t="shared" si="109"/>
        <v/>
      </c>
      <c r="F885" s="68" t="s">
        <v>4289</v>
      </c>
      <c r="G885">
        <f>'IPTV CA'!A876</f>
        <v>0</v>
      </c>
      <c r="H885" t="str">
        <f>T('IPTV CA'!B876)</f>
        <v/>
      </c>
      <c r="I885" t="s">
        <v>4290</v>
      </c>
      <c r="J885" t="str">
        <f t="shared" si="110"/>
        <v/>
      </c>
      <c r="K885" t="str">
        <f t="shared" si="112"/>
        <v/>
      </c>
      <c r="L885" s="69"/>
      <c r="M885">
        <f>'TMIS US'!A876</f>
        <v>9742</v>
      </c>
      <c r="N885" t="str">
        <f>T('TMIS US'!B876)</f>
        <v>AsianCrush</v>
      </c>
      <c r="O885" t="s">
        <v>4288</v>
      </c>
      <c r="P885" t="str">
        <f t="shared" si="111"/>
        <v/>
      </c>
      <c r="Q885" t="str">
        <f t="shared" si="113"/>
        <v/>
      </c>
      <c r="R885" s="69"/>
      <c r="S885">
        <f>'TMIS CA'!A876</f>
        <v>0</v>
      </c>
      <c r="T885" t="str">
        <f>T('TMIS CA'!B876)</f>
        <v/>
      </c>
      <c r="U885" t="s">
        <v>4290</v>
      </c>
      <c r="V885" t="str">
        <f t="shared" si="115"/>
        <v/>
      </c>
      <c r="W885" t="str">
        <f t="shared" si="114"/>
        <v/>
      </c>
    </row>
    <row r="886" spans="1:23">
      <c r="A886">
        <f>'IPTV US'!A877</f>
        <v>11143</v>
      </c>
      <c r="B886" t="str">
        <f>T('IPTV US'!B877)</f>
        <v>TVB Pearl Drama</v>
      </c>
      <c r="C886" t="s">
        <v>4288</v>
      </c>
      <c r="D886" t="str">
        <f t="shared" si="108"/>
        <v/>
      </c>
      <c r="E886" t="str">
        <f t="shared" si="109"/>
        <v/>
      </c>
      <c r="F886" s="68" t="s">
        <v>4289</v>
      </c>
      <c r="G886">
        <f>'IPTV CA'!A877</f>
        <v>0</v>
      </c>
      <c r="H886" t="str">
        <f>T('IPTV CA'!B877)</f>
        <v/>
      </c>
      <c r="I886" t="s">
        <v>4290</v>
      </c>
      <c r="J886" t="str">
        <f t="shared" si="110"/>
        <v/>
      </c>
      <c r="K886" t="str">
        <f t="shared" si="112"/>
        <v/>
      </c>
      <c r="L886" s="69"/>
      <c r="M886">
        <f>'TMIS US'!A877</f>
        <v>9743</v>
      </c>
      <c r="N886" t="str">
        <f>T('TMIS US'!B877)</f>
        <v>TVB Pearl Drama</v>
      </c>
      <c r="O886" t="s">
        <v>4288</v>
      </c>
      <c r="P886" t="str">
        <f t="shared" si="111"/>
        <v/>
      </c>
      <c r="Q886" t="str">
        <f t="shared" si="113"/>
        <v/>
      </c>
      <c r="R886" s="69"/>
      <c r="S886">
        <f>'TMIS CA'!A877</f>
        <v>0</v>
      </c>
      <c r="T886" t="str">
        <f>T('TMIS CA'!B877)</f>
        <v/>
      </c>
      <c r="U886" t="s">
        <v>4290</v>
      </c>
      <c r="V886" t="str">
        <f t="shared" si="115"/>
        <v/>
      </c>
      <c r="W886" t="str">
        <f t="shared" si="114"/>
        <v/>
      </c>
    </row>
    <row r="887" spans="1:23">
      <c r="A887">
        <f>'IPTV US'!A878</f>
        <v>11144</v>
      </c>
      <c r="B887" t="str">
        <f>T('IPTV US'!B878)</f>
        <v/>
      </c>
      <c r="C887" t="s">
        <v>4290</v>
      </c>
      <c r="D887" t="str">
        <f t="shared" si="108"/>
        <v/>
      </c>
      <c r="E887" t="str">
        <f t="shared" si="109"/>
        <v/>
      </c>
      <c r="F887" s="68" t="s">
        <v>4289</v>
      </c>
      <c r="G887">
        <f>'IPTV CA'!A878</f>
        <v>0</v>
      </c>
      <c r="H887" t="str">
        <f>T('IPTV CA'!B878)</f>
        <v/>
      </c>
      <c r="I887" t="s">
        <v>4290</v>
      </c>
      <c r="J887" t="str">
        <f t="shared" si="110"/>
        <v/>
      </c>
      <c r="K887" t="str">
        <f t="shared" si="112"/>
        <v/>
      </c>
      <c r="L887" s="69"/>
      <c r="M887">
        <f>'TMIS US'!A878</f>
        <v>9744</v>
      </c>
      <c r="N887" t="str">
        <f>T('TMIS US'!B878)</f>
        <v/>
      </c>
      <c r="O887" t="s">
        <v>4290</v>
      </c>
      <c r="P887" t="str">
        <f t="shared" si="111"/>
        <v/>
      </c>
      <c r="Q887" t="str">
        <f t="shared" si="113"/>
        <v/>
      </c>
      <c r="R887" s="69"/>
      <c r="S887">
        <f>'TMIS CA'!A878</f>
        <v>0</v>
      </c>
      <c r="T887" t="str">
        <f>T('TMIS CA'!B878)</f>
        <v/>
      </c>
      <c r="U887" t="s">
        <v>4290</v>
      </c>
      <c r="V887" t="str">
        <f t="shared" si="115"/>
        <v/>
      </c>
      <c r="W887" t="str">
        <f t="shared" si="114"/>
        <v/>
      </c>
    </row>
    <row r="888" spans="1:23">
      <c r="A888">
        <f>'IPTV US'!A879</f>
        <v>11145</v>
      </c>
      <c r="B888" t="str">
        <f>T('IPTV US'!B879)</f>
        <v/>
      </c>
      <c r="C888" t="s">
        <v>4290</v>
      </c>
      <c r="D888" t="str">
        <f t="shared" si="108"/>
        <v/>
      </c>
      <c r="E888" t="str">
        <f t="shared" si="109"/>
        <v/>
      </c>
      <c r="F888" s="68" t="s">
        <v>4289</v>
      </c>
      <c r="G888">
        <f>'IPTV CA'!A879</f>
        <v>0</v>
      </c>
      <c r="H888" t="str">
        <f>T('IPTV CA'!B879)</f>
        <v/>
      </c>
      <c r="I888" t="s">
        <v>4290</v>
      </c>
      <c r="J888" t="str">
        <f t="shared" si="110"/>
        <v/>
      </c>
      <c r="K888" t="str">
        <f t="shared" si="112"/>
        <v/>
      </c>
      <c r="L888" s="69"/>
      <c r="M888">
        <f>'TMIS US'!A879</f>
        <v>9745</v>
      </c>
      <c r="N888" t="str">
        <f>T('TMIS US'!B879)</f>
        <v/>
      </c>
      <c r="O888" t="s">
        <v>4290</v>
      </c>
      <c r="P888" t="str">
        <f t="shared" si="111"/>
        <v/>
      </c>
      <c r="Q888" t="str">
        <f t="shared" si="113"/>
        <v/>
      </c>
      <c r="R888" s="69"/>
      <c r="S888">
        <f>'TMIS CA'!A879</f>
        <v>0</v>
      </c>
      <c r="T888" t="str">
        <f>T('TMIS CA'!B879)</f>
        <v/>
      </c>
      <c r="U888" t="s">
        <v>4290</v>
      </c>
      <c r="V888" t="str">
        <f t="shared" si="115"/>
        <v/>
      </c>
      <c r="W888" t="str">
        <f t="shared" si="114"/>
        <v/>
      </c>
    </row>
    <row r="889" spans="1:23">
      <c r="A889">
        <f>'IPTV US'!A880</f>
        <v>11146</v>
      </c>
      <c r="B889" t="str">
        <f>T('IPTV US'!B880)</f>
        <v/>
      </c>
      <c r="C889" t="s">
        <v>4290</v>
      </c>
      <c r="D889" t="str">
        <f t="shared" si="108"/>
        <v/>
      </c>
      <c r="E889" t="str">
        <f t="shared" si="109"/>
        <v/>
      </c>
      <c r="F889" s="68" t="s">
        <v>4289</v>
      </c>
      <c r="G889">
        <f>'IPTV CA'!A880</f>
        <v>0</v>
      </c>
      <c r="H889" t="str">
        <f>T('IPTV CA'!B880)</f>
        <v/>
      </c>
      <c r="I889" t="s">
        <v>4290</v>
      </c>
      <c r="J889" t="str">
        <f t="shared" si="110"/>
        <v/>
      </c>
      <c r="K889" t="str">
        <f t="shared" si="112"/>
        <v/>
      </c>
      <c r="L889" s="69"/>
      <c r="M889">
        <f>'TMIS US'!A880</f>
        <v>9746</v>
      </c>
      <c r="N889" t="str">
        <f>T('TMIS US'!B880)</f>
        <v/>
      </c>
      <c r="O889" t="s">
        <v>4290</v>
      </c>
      <c r="P889" t="str">
        <f t="shared" si="111"/>
        <v/>
      </c>
      <c r="Q889" t="str">
        <f t="shared" si="113"/>
        <v/>
      </c>
      <c r="R889" s="69"/>
      <c r="S889">
        <f>'TMIS CA'!A880</f>
        <v>0</v>
      </c>
      <c r="T889" t="str">
        <f>T('TMIS CA'!B880)</f>
        <v/>
      </c>
      <c r="U889" t="s">
        <v>4290</v>
      </c>
      <c r="V889" t="str">
        <f t="shared" si="115"/>
        <v/>
      </c>
      <c r="W889" t="str">
        <f t="shared" si="114"/>
        <v/>
      </c>
    </row>
    <row r="890" spans="1:23">
      <c r="A890">
        <f>'IPTV US'!A881</f>
        <v>11147</v>
      </c>
      <c r="B890" t="str">
        <f>T('IPTV US'!B881)</f>
        <v>Hi-YAH!</v>
      </c>
      <c r="C890" t="s">
        <v>4288</v>
      </c>
      <c r="D890" t="str">
        <f t="shared" si="108"/>
        <v/>
      </c>
      <c r="E890" t="str">
        <f t="shared" si="109"/>
        <v/>
      </c>
      <c r="F890" s="68" t="s">
        <v>4289</v>
      </c>
      <c r="G890">
        <f>'IPTV CA'!A881</f>
        <v>0</v>
      </c>
      <c r="H890" t="str">
        <f>T('IPTV CA'!B881)</f>
        <v/>
      </c>
      <c r="I890" t="s">
        <v>4290</v>
      </c>
      <c r="J890" t="str">
        <f t="shared" si="110"/>
        <v/>
      </c>
      <c r="K890" t="str">
        <f t="shared" si="112"/>
        <v/>
      </c>
      <c r="L890" s="69"/>
      <c r="M890">
        <f>'TMIS US'!A881</f>
        <v>9747</v>
      </c>
      <c r="N890" t="str">
        <f>T('TMIS US'!B881)</f>
        <v>Hi-YAH!</v>
      </c>
      <c r="O890" t="s">
        <v>4288</v>
      </c>
      <c r="P890" t="str">
        <f t="shared" si="111"/>
        <v/>
      </c>
      <c r="Q890" t="str">
        <f t="shared" si="113"/>
        <v/>
      </c>
      <c r="R890" s="69"/>
      <c r="S890">
        <f>'TMIS CA'!A881</f>
        <v>0</v>
      </c>
      <c r="T890" t="str">
        <f>T('TMIS CA'!B881)</f>
        <v/>
      </c>
      <c r="U890" t="s">
        <v>4290</v>
      </c>
      <c r="V890" t="str">
        <f t="shared" si="115"/>
        <v/>
      </c>
      <c r="W890" t="str">
        <f t="shared" si="114"/>
        <v/>
      </c>
    </row>
    <row r="891" spans="1:23">
      <c r="A891">
        <f>'IPTV US'!A882</f>
        <v>11148</v>
      </c>
      <c r="B891" t="str">
        <f>T('IPTV US'!B882)</f>
        <v>Wu Tang Collection</v>
      </c>
      <c r="C891" t="s">
        <v>4288</v>
      </c>
      <c r="D891" t="str">
        <f t="shared" si="108"/>
        <v/>
      </c>
      <c r="E891" t="str">
        <f t="shared" si="109"/>
        <v/>
      </c>
      <c r="F891" s="68" t="s">
        <v>4289</v>
      </c>
      <c r="G891">
        <f>'IPTV CA'!A882</f>
        <v>0</v>
      </c>
      <c r="H891" t="str">
        <f>T('IPTV CA'!B882)</f>
        <v/>
      </c>
      <c r="I891" t="s">
        <v>4290</v>
      </c>
      <c r="J891" t="str">
        <f t="shared" si="110"/>
        <v/>
      </c>
      <c r="K891" t="str">
        <f t="shared" si="112"/>
        <v/>
      </c>
      <c r="L891" s="69"/>
      <c r="M891">
        <f>'TMIS US'!A882</f>
        <v>9748</v>
      </c>
      <c r="N891" t="str">
        <f>T('TMIS US'!B882)</f>
        <v>Wu Tang Collection</v>
      </c>
      <c r="O891" t="s">
        <v>4288</v>
      </c>
      <c r="P891" t="str">
        <f t="shared" si="111"/>
        <v/>
      </c>
      <c r="Q891" t="str">
        <f t="shared" si="113"/>
        <v/>
      </c>
      <c r="R891" s="69"/>
      <c r="S891">
        <f>'TMIS CA'!A882</f>
        <v>0</v>
      </c>
      <c r="T891" t="str">
        <f>T('TMIS CA'!B882)</f>
        <v/>
      </c>
      <c r="U891" t="s">
        <v>4290</v>
      </c>
      <c r="V891" t="str">
        <f t="shared" si="115"/>
        <v/>
      </c>
      <c r="W891" t="str">
        <f t="shared" si="114"/>
        <v/>
      </c>
    </row>
    <row r="892" spans="1:23">
      <c r="A892">
        <f>'IPTV US'!A883</f>
        <v>11149</v>
      </c>
      <c r="B892" t="str">
        <f>T('IPTV US'!B883)</f>
        <v>AfrolandTV</v>
      </c>
      <c r="C892" t="s">
        <v>4288</v>
      </c>
      <c r="D892" t="str">
        <f t="shared" si="108"/>
        <v/>
      </c>
      <c r="E892" t="str">
        <f t="shared" si="109"/>
        <v/>
      </c>
      <c r="F892" s="68" t="s">
        <v>4289</v>
      </c>
      <c r="G892">
        <f>'IPTV CA'!A883</f>
        <v>0</v>
      </c>
      <c r="H892" t="str">
        <f>T('IPTV CA'!B883)</f>
        <v/>
      </c>
      <c r="I892" t="s">
        <v>4290</v>
      </c>
      <c r="J892" t="str">
        <f t="shared" si="110"/>
        <v/>
      </c>
      <c r="K892" t="str">
        <f t="shared" si="112"/>
        <v/>
      </c>
      <c r="L892" s="69"/>
      <c r="M892">
        <f>'TMIS US'!A883</f>
        <v>9749</v>
      </c>
      <c r="N892" t="str">
        <f>T('TMIS US'!B883)</f>
        <v>AfrolandTV</v>
      </c>
      <c r="O892" t="s">
        <v>4288</v>
      </c>
      <c r="P892" t="str">
        <f t="shared" si="111"/>
        <v/>
      </c>
      <c r="Q892" t="str">
        <f t="shared" si="113"/>
        <v/>
      </c>
      <c r="R892" s="69"/>
      <c r="S892">
        <f>'TMIS CA'!A883</f>
        <v>0</v>
      </c>
      <c r="T892" t="str">
        <f>T('TMIS CA'!B883)</f>
        <v/>
      </c>
      <c r="U892" t="s">
        <v>4290</v>
      </c>
      <c r="V892" t="str">
        <f t="shared" si="115"/>
        <v/>
      </c>
      <c r="W892" t="str">
        <f t="shared" si="114"/>
        <v/>
      </c>
    </row>
    <row r="893" spans="1:23">
      <c r="A893">
        <f>'IPTV US'!A884</f>
        <v>11150</v>
      </c>
      <c r="B893" t="str">
        <f>T('IPTV US'!B884)</f>
        <v>Nolly Africa HD</v>
      </c>
      <c r="C893" t="s">
        <v>4288</v>
      </c>
      <c r="D893" t="str">
        <f t="shared" si="108"/>
        <v/>
      </c>
      <c r="E893" t="str">
        <f t="shared" si="109"/>
        <v/>
      </c>
      <c r="F893" s="68" t="s">
        <v>4289</v>
      </c>
      <c r="G893">
        <f>'IPTV CA'!A884</f>
        <v>0</v>
      </c>
      <c r="H893" t="str">
        <f>T('IPTV CA'!B884)</f>
        <v/>
      </c>
      <c r="I893" t="s">
        <v>4290</v>
      </c>
      <c r="J893" t="str">
        <f t="shared" si="110"/>
        <v/>
      </c>
      <c r="K893" t="str">
        <f t="shared" si="112"/>
        <v/>
      </c>
      <c r="L893" s="69"/>
      <c r="M893">
        <f>'TMIS US'!A884</f>
        <v>9750</v>
      </c>
      <c r="N893" t="str">
        <f>T('TMIS US'!B884)</f>
        <v>Nolly Africa HD</v>
      </c>
      <c r="O893" t="s">
        <v>4288</v>
      </c>
      <c r="P893" t="str">
        <f t="shared" si="111"/>
        <v/>
      </c>
      <c r="Q893" t="str">
        <f t="shared" si="113"/>
        <v/>
      </c>
      <c r="R893" s="69"/>
      <c r="S893">
        <f>'TMIS CA'!A884</f>
        <v>0</v>
      </c>
      <c r="T893" t="str">
        <f>T('TMIS CA'!B884)</f>
        <v/>
      </c>
      <c r="U893" t="s">
        <v>4290</v>
      </c>
      <c r="V893" t="str">
        <f t="shared" si="115"/>
        <v/>
      </c>
      <c r="W893" t="str">
        <f t="shared" si="114"/>
        <v/>
      </c>
    </row>
    <row r="894" spans="1:23">
      <c r="A894">
        <f>'IPTV US'!A885</f>
        <v>11151</v>
      </c>
      <c r="B894" t="str">
        <f>T('IPTV US'!B885)</f>
        <v>Desi Play TV</v>
      </c>
      <c r="C894" t="s">
        <v>4288</v>
      </c>
      <c r="D894" t="str">
        <f t="shared" si="108"/>
        <v/>
      </c>
      <c r="E894" t="str">
        <f t="shared" si="109"/>
        <v/>
      </c>
      <c r="F894" s="68" t="s">
        <v>4289</v>
      </c>
      <c r="G894">
        <f>'IPTV CA'!A885</f>
        <v>0</v>
      </c>
      <c r="H894" t="str">
        <f>T('IPTV CA'!B885)</f>
        <v/>
      </c>
      <c r="I894" t="s">
        <v>4290</v>
      </c>
      <c r="J894" t="str">
        <f t="shared" si="110"/>
        <v/>
      </c>
      <c r="K894" t="str">
        <f t="shared" si="112"/>
        <v/>
      </c>
      <c r="L894" s="69"/>
      <c r="M894">
        <f>'TMIS US'!A885</f>
        <v>9751</v>
      </c>
      <c r="N894" t="str">
        <f>T('TMIS US'!B885)</f>
        <v>Desi Play TV</v>
      </c>
      <c r="O894" t="s">
        <v>4288</v>
      </c>
      <c r="P894" t="str">
        <f t="shared" si="111"/>
        <v/>
      </c>
      <c r="Q894" t="str">
        <f t="shared" si="113"/>
        <v/>
      </c>
      <c r="R894" s="69"/>
      <c r="S894">
        <f>'TMIS CA'!A885</f>
        <v>0</v>
      </c>
      <c r="T894" t="str">
        <f>T('TMIS CA'!B885)</f>
        <v/>
      </c>
      <c r="U894" t="s">
        <v>4290</v>
      </c>
      <c r="V894" t="str">
        <f t="shared" si="115"/>
        <v/>
      </c>
      <c r="W894" t="str">
        <f t="shared" si="114"/>
        <v/>
      </c>
    </row>
    <row r="895" spans="1:23">
      <c r="A895">
        <f>'IPTV US'!A886</f>
        <v>11152</v>
      </c>
      <c r="B895" t="str">
        <f>T('IPTV US'!B886)</f>
        <v>Shemaroo Bollywood</v>
      </c>
      <c r="C895" t="s">
        <v>4288</v>
      </c>
      <c r="D895" t="str">
        <f t="shared" si="108"/>
        <v/>
      </c>
      <c r="E895" t="str">
        <f t="shared" si="109"/>
        <v/>
      </c>
      <c r="F895" s="68" t="s">
        <v>4289</v>
      </c>
      <c r="G895">
        <f>'IPTV CA'!A886</f>
        <v>0</v>
      </c>
      <c r="H895" t="str">
        <f>T('IPTV CA'!B886)</f>
        <v/>
      </c>
      <c r="I895" t="s">
        <v>4290</v>
      </c>
      <c r="J895" t="str">
        <f t="shared" si="110"/>
        <v/>
      </c>
      <c r="K895" t="str">
        <f t="shared" si="112"/>
        <v/>
      </c>
      <c r="L895" s="69"/>
      <c r="M895">
        <f>'TMIS US'!A886</f>
        <v>9752</v>
      </c>
      <c r="N895" t="str">
        <f>T('TMIS US'!B886)</f>
        <v>Shemaroo Bollywood</v>
      </c>
      <c r="O895" t="s">
        <v>4288</v>
      </c>
      <c r="P895" t="str">
        <f t="shared" si="111"/>
        <v/>
      </c>
      <c r="Q895" t="str">
        <f t="shared" si="113"/>
        <v/>
      </c>
      <c r="R895" s="69"/>
      <c r="S895">
        <f>'TMIS CA'!A886</f>
        <v>0</v>
      </c>
      <c r="T895" t="str">
        <f>T('TMIS CA'!B886)</f>
        <v/>
      </c>
      <c r="U895" t="s">
        <v>4290</v>
      </c>
      <c r="V895" t="str">
        <f t="shared" si="115"/>
        <v/>
      </c>
      <c r="W895" t="str">
        <f t="shared" si="114"/>
        <v/>
      </c>
    </row>
    <row r="896" spans="1:23">
      <c r="A896">
        <f>'IPTV US'!A887</f>
        <v>11153</v>
      </c>
      <c r="B896" t="str">
        <f>T('IPTV US'!B887)</f>
        <v/>
      </c>
      <c r="C896" t="s">
        <v>4290</v>
      </c>
      <c r="D896" t="str">
        <f t="shared" si="108"/>
        <v/>
      </c>
      <c r="E896" t="str">
        <f t="shared" si="109"/>
        <v/>
      </c>
      <c r="F896" s="68" t="s">
        <v>4289</v>
      </c>
      <c r="G896">
        <f>'IPTV CA'!A887</f>
        <v>0</v>
      </c>
      <c r="H896" t="str">
        <f>T('IPTV CA'!B887)</f>
        <v/>
      </c>
      <c r="I896" t="s">
        <v>4290</v>
      </c>
      <c r="J896" t="str">
        <f t="shared" si="110"/>
        <v/>
      </c>
      <c r="K896" t="str">
        <f t="shared" si="112"/>
        <v/>
      </c>
      <c r="L896" s="69"/>
      <c r="M896">
        <f>'TMIS US'!A887</f>
        <v>9753</v>
      </c>
      <c r="N896" t="str">
        <f>T('TMIS US'!B887)</f>
        <v/>
      </c>
      <c r="O896" t="s">
        <v>4290</v>
      </c>
      <c r="P896" t="str">
        <f t="shared" si="111"/>
        <v/>
      </c>
      <c r="Q896" t="str">
        <f t="shared" si="113"/>
        <v/>
      </c>
      <c r="R896" s="69"/>
      <c r="S896">
        <f>'TMIS CA'!A887</f>
        <v>0</v>
      </c>
      <c r="T896" t="str">
        <f>T('TMIS CA'!B887)</f>
        <v/>
      </c>
      <c r="U896" t="s">
        <v>4290</v>
      </c>
      <c r="V896" t="str">
        <f t="shared" si="115"/>
        <v/>
      </c>
      <c r="W896" t="str">
        <f t="shared" si="114"/>
        <v/>
      </c>
    </row>
    <row r="897" spans="1:23">
      <c r="A897">
        <f>'IPTV US'!A888</f>
        <v>11154</v>
      </c>
      <c r="B897" t="str">
        <f>T('IPTV US'!B888)</f>
        <v/>
      </c>
      <c r="C897" t="s">
        <v>4290</v>
      </c>
      <c r="D897" t="str">
        <f t="shared" si="108"/>
        <v/>
      </c>
      <c r="E897" t="str">
        <f t="shared" si="109"/>
        <v/>
      </c>
      <c r="F897" s="68" t="s">
        <v>4289</v>
      </c>
      <c r="G897">
        <f>'IPTV CA'!A888</f>
        <v>0</v>
      </c>
      <c r="H897" t="str">
        <f>T('IPTV CA'!B888)</f>
        <v/>
      </c>
      <c r="I897" t="s">
        <v>4290</v>
      </c>
      <c r="J897" t="str">
        <f t="shared" si="110"/>
        <v/>
      </c>
      <c r="K897" t="str">
        <f t="shared" si="112"/>
        <v/>
      </c>
      <c r="L897" s="69"/>
      <c r="M897">
        <f>'TMIS US'!A888</f>
        <v>9754</v>
      </c>
      <c r="N897" t="str">
        <f>T('TMIS US'!B888)</f>
        <v/>
      </c>
      <c r="O897" t="s">
        <v>4290</v>
      </c>
      <c r="P897" t="str">
        <f t="shared" si="111"/>
        <v/>
      </c>
      <c r="Q897" t="str">
        <f t="shared" si="113"/>
        <v/>
      </c>
      <c r="R897" s="69"/>
      <c r="S897">
        <f>'TMIS CA'!A888</f>
        <v>0</v>
      </c>
      <c r="T897" t="str">
        <f>T('TMIS CA'!B888)</f>
        <v/>
      </c>
      <c r="U897" t="s">
        <v>4290</v>
      </c>
      <c r="V897" t="str">
        <f t="shared" si="115"/>
        <v/>
      </c>
      <c r="W897" t="str">
        <f t="shared" si="114"/>
        <v/>
      </c>
    </row>
    <row r="898" spans="1:23">
      <c r="A898">
        <f>'IPTV US'!A889</f>
        <v>11155</v>
      </c>
      <c r="B898" t="str">
        <f>T('IPTV US'!B889)</f>
        <v/>
      </c>
      <c r="C898" t="s">
        <v>4290</v>
      </c>
      <c r="D898" t="str">
        <f t="shared" si="108"/>
        <v/>
      </c>
      <c r="E898" t="str">
        <f t="shared" si="109"/>
        <v/>
      </c>
      <c r="F898" s="68" t="s">
        <v>4289</v>
      </c>
      <c r="G898">
        <f>'IPTV CA'!A889</f>
        <v>0</v>
      </c>
      <c r="H898" t="str">
        <f>T('IPTV CA'!B889)</f>
        <v/>
      </c>
      <c r="I898" t="s">
        <v>4290</v>
      </c>
      <c r="J898" t="str">
        <f t="shared" si="110"/>
        <v/>
      </c>
      <c r="K898" t="str">
        <f t="shared" si="112"/>
        <v/>
      </c>
      <c r="L898" s="69"/>
      <c r="M898">
        <f>'TMIS US'!A889</f>
        <v>9755</v>
      </c>
      <c r="N898" t="str">
        <f>T('TMIS US'!B889)</f>
        <v/>
      </c>
      <c r="O898" t="s">
        <v>4290</v>
      </c>
      <c r="P898" t="str">
        <f t="shared" si="111"/>
        <v/>
      </c>
      <c r="Q898" t="str">
        <f t="shared" si="113"/>
        <v/>
      </c>
      <c r="R898" s="69"/>
      <c r="S898">
        <f>'TMIS CA'!A889</f>
        <v>0</v>
      </c>
      <c r="T898" t="str">
        <f>T('TMIS CA'!B889)</f>
        <v/>
      </c>
      <c r="U898" t="s">
        <v>4290</v>
      </c>
      <c r="V898" t="str">
        <f t="shared" si="115"/>
        <v/>
      </c>
      <c r="W898" t="str">
        <f t="shared" si="114"/>
        <v/>
      </c>
    </row>
    <row r="899" spans="1:23">
      <c r="A899">
        <f>'IPTV US'!A890</f>
        <v>11156</v>
      </c>
      <c r="B899" t="str">
        <f>T('IPTV US'!B890)</f>
        <v/>
      </c>
      <c r="C899" t="s">
        <v>4290</v>
      </c>
      <c r="D899" t="str">
        <f t="shared" si="108"/>
        <v/>
      </c>
      <c r="E899" t="str">
        <f t="shared" si="109"/>
        <v/>
      </c>
      <c r="F899" s="68" t="s">
        <v>4289</v>
      </c>
      <c r="G899">
        <f>'IPTV CA'!A890</f>
        <v>0</v>
      </c>
      <c r="H899" t="str">
        <f>T('IPTV CA'!B890)</f>
        <v/>
      </c>
      <c r="I899" t="s">
        <v>4290</v>
      </c>
      <c r="J899" t="str">
        <f t="shared" si="110"/>
        <v/>
      </c>
      <c r="K899" t="str">
        <f t="shared" si="112"/>
        <v/>
      </c>
      <c r="L899" s="69"/>
      <c r="M899">
        <f>'TMIS US'!A890</f>
        <v>9756</v>
      </c>
      <c r="N899" t="str">
        <f>T('TMIS US'!B890)</f>
        <v/>
      </c>
      <c r="O899" t="s">
        <v>4290</v>
      </c>
      <c r="P899" t="str">
        <f t="shared" si="111"/>
        <v/>
      </c>
      <c r="Q899" t="str">
        <f t="shared" si="113"/>
        <v/>
      </c>
      <c r="R899" s="69"/>
      <c r="S899">
        <f>'TMIS CA'!A890</f>
        <v>0</v>
      </c>
      <c r="T899" t="str">
        <f>T('TMIS CA'!B890)</f>
        <v/>
      </c>
      <c r="U899" t="s">
        <v>4290</v>
      </c>
      <c r="V899" t="str">
        <f t="shared" si="115"/>
        <v/>
      </c>
      <c r="W899" t="str">
        <f t="shared" si="114"/>
        <v/>
      </c>
    </row>
    <row r="900" spans="1:23">
      <c r="A900">
        <f>'IPTV US'!A891</f>
        <v>11157</v>
      </c>
      <c r="B900" t="str">
        <f>T('IPTV US'!B891)</f>
        <v>Music Legends</v>
      </c>
      <c r="C900" t="s">
        <v>4288</v>
      </c>
      <c r="D900" t="str">
        <f t="shared" si="108"/>
        <v/>
      </c>
      <c r="E900" t="str">
        <f t="shared" si="109"/>
        <v/>
      </c>
      <c r="F900" s="68" t="s">
        <v>4289</v>
      </c>
      <c r="G900">
        <f>'IPTV CA'!A891</f>
        <v>0</v>
      </c>
      <c r="H900" t="str">
        <f>T('IPTV CA'!B891)</f>
        <v/>
      </c>
      <c r="I900" t="s">
        <v>4290</v>
      </c>
      <c r="J900" t="str">
        <f t="shared" si="110"/>
        <v/>
      </c>
      <c r="K900" t="str">
        <f t="shared" si="112"/>
        <v/>
      </c>
      <c r="L900" s="69"/>
      <c r="M900">
        <f>'TMIS US'!A891</f>
        <v>9757</v>
      </c>
      <c r="N900" t="str">
        <f>T('TMIS US'!B891)</f>
        <v>Music Legends</v>
      </c>
      <c r="O900" t="s">
        <v>4288</v>
      </c>
      <c r="P900" t="str">
        <f t="shared" si="111"/>
        <v/>
      </c>
      <c r="Q900" t="str">
        <f t="shared" si="113"/>
        <v/>
      </c>
      <c r="R900" s="69"/>
      <c r="S900">
        <f>'TMIS CA'!A891</f>
        <v>0</v>
      </c>
      <c r="T900" t="str">
        <f>T('TMIS CA'!B891)</f>
        <v/>
      </c>
      <c r="U900" t="s">
        <v>4290</v>
      </c>
      <c r="V900" t="str">
        <f t="shared" si="115"/>
        <v/>
      </c>
      <c r="W900" t="str">
        <f t="shared" si="114"/>
        <v/>
      </c>
    </row>
    <row r="901" spans="1:23">
      <c r="A901">
        <f>'IPTV US'!A892</f>
        <v>11158</v>
      </c>
      <c r="B901" t="str">
        <f>T('IPTV US'!B892)</f>
        <v>Qwest TV</v>
      </c>
      <c r="C901" t="s">
        <v>4288</v>
      </c>
      <c r="D901" t="str">
        <f t="shared" si="108"/>
        <v/>
      </c>
      <c r="E901" t="str">
        <f t="shared" si="109"/>
        <v/>
      </c>
      <c r="F901" s="68" t="s">
        <v>4289</v>
      </c>
      <c r="G901">
        <f>'IPTV CA'!A892</f>
        <v>0</v>
      </c>
      <c r="H901" t="str">
        <f>T('IPTV CA'!B892)</f>
        <v/>
      </c>
      <c r="I901" t="s">
        <v>4290</v>
      </c>
      <c r="J901" t="str">
        <f t="shared" si="110"/>
        <v/>
      </c>
      <c r="K901" t="str">
        <f t="shared" si="112"/>
        <v/>
      </c>
      <c r="L901" s="69"/>
      <c r="M901">
        <f>'TMIS US'!A892</f>
        <v>9758</v>
      </c>
      <c r="N901" t="str">
        <f>T('TMIS US'!B892)</f>
        <v>Qwest TV</v>
      </c>
      <c r="O901" t="s">
        <v>4288</v>
      </c>
      <c r="P901" t="str">
        <f t="shared" si="111"/>
        <v/>
      </c>
      <c r="Q901" t="str">
        <f t="shared" si="113"/>
        <v/>
      </c>
      <c r="R901" s="69"/>
      <c r="S901">
        <f>'TMIS CA'!A892</f>
        <v>0</v>
      </c>
      <c r="T901" t="str">
        <f>T('TMIS CA'!B892)</f>
        <v/>
      </c>
      <c r="U901" t="s">
        <v>4290</v>
      </c>
      <c r="V901" t="str">
        <f t="shared" si="115"/>
        <v/>
      </c>
      <c r="W901" t="str">
        <f t="shared" si="114"/>
        <v/>
      </c>
    </row>
    <row r="902" spans="1:23">
      <c r="A902">
        <f>'IPTV US'!A893</f>
        <v>11159</v>
      </c>
      <c r="B902" t="str">
        <f>T('IPTV US'!B893)</f>
        <v>Backstage</v>
      </c>
      <c r="C902" t="s">
        <v>4288</v>
      </c>
      <c r="D902" t="str">
        <f t="shared" si="108"/>
        <v/>
      </c>
      <c r="E902" t="str">
        <f t="shared" si="109"/>
        <v/>
      </c>
      <c r="F902" s="68" t="s">
        <v>4289</v>
      </c>
      <c r="G902">
        <f>'IPTV CA'!A893</f>
        <v>0</v>
      </c>
      <c r="H902" t="str">
        <f>T('IPTV CA'!B893)</f>
        <v/>
      </c>
      <c r="I902" t="s">
        <v>4290</v>
      </c>
      <c r="J902" t="str">
        <f t="shared" si="110"/>
        <v/>
      </c>
      <c r="K902" t="str">
        <f t="shared" si="112"/>
        <v/>
      </c>
      <c r="L902" s="69"/>
      <c r="M902">
        <f>'TMIS US'!A893</f>
        <v>9759</v>
      </c>
      <c r="N902" t="str">
        <f>T('TMIS US'!B893)</f>
        <v>Backstage</v>
      </c>
      <c r="O902" t="s">
        <v>4288</v>
      </c>
      <c r="P902" t="str">
        <f t="shared" si="111"/>
        <v/>
      </c>
      <c r="Q902" t="str">
        <f t="shared" si="113"/>
        <v/>
      </c>
      <c r="R902" s="69"/>
      <c r="S902">
        <f>'TMIS CA'!A893</f>
        <v>0</v>
      </c>
      <c r="T902" t="str">
        <f>T('TMIS CA'!B893)</f>
        <v/>
      </c>
      <c r="U902" t="s">
        <v>4290</v>
      </c>
      <c r="V902" t="str">
        <f t="shared" si="115"/>
        <v/>
      </c>
      <c r="W902" t="str">
        <f t="shared" si="114"/>
        <v/>
      </c>
    </row>
    <row r="903" spans="1:23">
      <c r="A903">
        <f>'IPTV US'!A894</f>
        <v>11160</v>
      </c>
      <c r="B903" t="str">
        <f>T('IPTV US'!B894)</f>
        <v/>
      </c>
      <c r="C903" t="s">
        <v>4290</v>
      </c>
      <c r="D903" t="str">
        <f t="shared" si="108"/>
        <v/>
      </c>
      <c r="E903" t="str">
        <f t="shared" si="109"/>
        <v/>
      </c>
      <c r="F903" s="68" t="s">
        <v>4289</v>
      </c>
      <c r="G903">
        <f>'IPTV CA'!A894</f>
        <v>0</v>
      </c>
      <c r="H903" t="str">
        <f>T('IPTV CA'!B894)</f>
        <v/>
      </c>
      <c r="I903" t="s">
        <v>4290</v>
      </c>
      <c r="J903" t="str">
        <f t="shared" si="110"/>
        <v/>
      </c>
      <c r="K903" t="str">
        <f t="shared" si="112"/>
        <v/>
      </c>
      <c r="L903" s="69"/>
      <c r="M903">
        <f>'TMIS US'!A894</f>
        <v>9760</v>
      </c>
      <c r="N903" t="str">
        <f>T('TMIS US'!B894)</f>
        <v/>
      </c>
      <c r="O903" t="s">
        <v>4290</v>
      </c>
      <c r="P903" t="str">
        <f t="shared" si="111"/>
        <v/>
      </c>
      <c r="Q903" t="str">
        <f t="shared" si="113"/>
        <v/>
      </c>
      <c r="R903" s="69"/>
      <c r="S903">
        <f>'TMIS CA'!A894</f>
        <v>0</v>
      </c>
      <c r="T903" t="str">
        <f>T('TMIS CA'!B894)</f>
        <v/>
      </c>
      <c r="U903" t="s">
        <v>4290</v>
      </c>
      <c r="V903" t="str">
        <f t="shared" si="115"/>
        <v/>
      </c>
      <c r="W903" t="str">
        <f t="shared" si="114"/>
        <v/>
      </c>
    </row>
    <row r="904" spans="1:23">
      <c r="A904">
        <f>'IPTV US'!A895</f>
        <v>11161</v>
      </c>
      <c r="B904" t="str">
        <f>T('IPTV US'!B895)</f>
        <v/>
      </c>
      <c r="C904" t="s">
        <v>4290</v>
      </c>
      <c r="D904" t="str">
        <f t="shared" si="108"/>
        <v/>
      </c>
      <c r="E904" t="str">
        <f t="shared" si="109"/>
        <v/>
      </c>
      <c r="F904" s="68" t="s">
        <v>4289</v>
      </c>
      <c r="G904">
        <f>'IPTV CA'!A895</f>
        <v>0</v>
      </c>
      <c r="H904" t="str">
        <f>T('IPTV CA'!B895)</f>
        <v/>
      </c>
      <c r="I904" t="s">
        <v>4290</v>
      </c>
      <c r="J904" t="str">
        <f t="shared" si="110"/>
        <v/>
      </c>
      <c r="K904" t="str">
        <f t="shared" si="112"/>
        <v/>
      </c>
      <c r="L904" s="69"/>
      <c r="M904">
        <f>'TMIS US'!A895</f>
        <v>9761</v>
      </c>
      <c r="N904" t="str">
        <f>T('TMIS US'!B895)</f>
        <v/>
      </c>
      <c r="O904" t="s">
        <v>4290</v>
      </c>
      <c r="P904" t="str">
        <f t="shared" si="111"/>
        <v/>
      </c>
      <c r="Q904" t="str">
        <f t="shared" si="113"/>
        <v/>
      </c>
      <c r="R904" s="69"/>
      <c r="S904">
        <f>'TMIS CA'!A895</f>
        <v>0</v>
      </c>
      <c r="T904" t="str">
        <f>T('TMIS CA'!B895)</f>
        <v/>
      </c>
      <c r="U904" t="s">
        <v>4290</v>
      </c>
      <c r="V904" t="str">
        <f t="shared" si="115"/>
        <v/>
      </c>
      <c r="W904" t="str">
        <f t="shared" si="114"/>
        <v/>
      </c>
    </row>
    <row r="905" spans="1:23">
      <c r="A905">
        <f>'IPTV US'!A896</f>
        <v>11162</v>
      </c>
      <c r="B905" t="str">
        <f>T('IPTV US'!B896)</f>
        <v/>
      </c>
      <c r="C905" t="s">
        <v>4290</v>
      </c>
      <c r="D905" t="str">
        <f t="shared" si="108"/>
        <v/>
      </c>
      <c r="E905" t="str">
        <f t="shared" si="109"/>
        <v/>
      </c>
      <c r="F905" s="68" t="s">
        <v>4289</v>
      </c>
      <c r="G905">
        <f>'IPTV CA'!A896</f>
        <v>0</v>
      </c>
      <c r="H905" t="str">
        <f>T('IPTV CA'!B896)</f>
        <v/>
      </c>
      <c r="I905" t="s">
        <v>4290</v>
      </c>
      <c r="J905" t="str">
        <f t="shared" si="110"/>
        <v/>
      </c>
      <c r="K905" t="str">
        <f t="shared" si="112"/>
        <v/>
      </c>
      <c r="L905" s="69"/>
      <c r="M905">
        <f>'TMIS US'!A896</f>
        <v>9762</v>
      </c>
      <c r="N905" t="str">
        <f>T('TMIS US'!B896)</f>
        <v/>
      </c>
      <c r="O905" t="s">
        <v>4290</v>
      </c>
      <c r="P905" t="str">
        <f t="shared" si="111"/>
        <v/>
      </c>
      <c r="Q905" t="str">
        <f t="shared" si="113"/>
        <v/>
      </c>
      <c r="R905" s="69"/>
      <c r="S905">
        <f>'TMIS CA'!A896</f>
        <v>0</v>
      </c>
      <c r="T905" t="str">
        <f>T('TMIS CA'!B896)</f>
        <v/>
      </c>
      <c r="U905" t="s">
        <v>4290</v>
      </c>
      <c r="V905" t="str">
        <f t="shared" si="115"/>
        <v/>
      </c>
      <c r="W905" t="str">
        <f t="shared" si="114"/>
        <v/>
      </c>
    </row>
    <row r="906" spans="1:23">
      <c r="A906">
        <f>'IPTV US'!A897</f>
        <v>11163</v>
      </c>
      <c r="B906" t="str">
        <f>T('IPTV US'!B897)</f>
        <v>TRACE Urban</v>
      </c>
      <c r="C906" t="s">
        <v>4288</v>
      </c>
      <c r="D906" t="str">
        <f t="shared" si="108"/>
        <v/>
      </c>
      <c r="E906" t="str">
        <f t="shared" si="109"/>
        <v/>
      </c>
      <c r="F906" s="68" t="s">
        <v>4289</v>
      </c>
      <c r="G906">
        <f>'IPTV CA'!A897</f>
        <v>0</v>
      </c>
      <c r="H906" t="str">
        <f>T('IPTV CA'!B897)</f>
        <v/>
      </c>
      <c r="I906" t="s">
        <v>4290</v>
      </c>
      <c r="J906" t="str">
        <f t="shared" si="110"/>
        <v/>
      </c>
      <c r="K906" t="str">
        <f t="shared" si="112"/>
        <v/>
      </c>
      <c r="L906" s="69"/>
      <c r="M906">
        <f>'TMIS US'!A897</f>
        <v>9763</v>
      </c>
      <c r="N906" t="str">
        <f>T('TMIS US'!B897)</f>
        <v>TRACE Urban</v>
      </c>
      <c r="O906" t="s">
        <v>4288</v>
      </c>
      <c r="P906" t="str">
        <f t="shared" si="111"/>
        <v/>
      </c>
      <c r="Q906" t="str">
        <f t="shared" si="113"/>
        <v/>
      </c>
      <c r="R906" s="69"/>
      <c r="S906">
        <f>'TMIS CA'!A897</f>
        <v>0</v>
      </c>
      <c r="T906" t="str">
        <f>T('TMIS CA'!B897)</f>
        <v/>
      </c>
      <c r="U906" t="s">
        <v>4290</v>
      </c>
      <c r="V906" t="str">
        <f t="shared" si="115"/>
        <v/>
      </c>
      <c r="W906" t="str">
        <f t="shared" si="114"/>
        <v/>
      </c>
    </row>
    <row r="907" spans="1:23">
      <c r="A907">
        <f>'IPTV US'!A898</f>
        <v>11164</v>
      </c>
      <c r="B907" t="str">
        <f>T('IPTV US'!B898)</f>
        <v>TRACE Brazuca</v>
      </c>
      <c r="C907" t="s">
        <v>4288</v>
      </c>
      <c r="D907" t="str">
        <f t="shared" ref="D907:D970" si="116">IF(C907="Active",IF(B907="","Please Notify - Channel Removed",""),"")</f>
        <v/>
      </c>
      <c r="E907" t="str">
        <f t="shared" ref="E907:E970" si="117">IF(C907="Vacant",IF(B907="","","Please Notify - Channel Added"),"")</f>
        <v/>
      </c>
      <c r="F907" s="68" t="s">
        <v>4289</v>
      </c>
      <c r="G907">
        <f>'IPTV CA'!A898</f>
        <v>0</v>
      </c>
      <c r="H907" t="str">
        <f>T('IPTV CA'!B898)</f>
        <v/>
      </c>
      <c r="I907" t="s">
        <v>4290</v>
      </c>
      <c r="J907" t="str">
        <f t="shared" ref="J907:J970" si="118">IF(I907="Active",IF(H907="","Please Notify - Channel Removed",""),"")</f>
        <v/>
      </c>
      <c r="K907" t="str">
        <f t="shared" si="112"/>
        <v/>
      </c>
      <c r="L907" s="69"/>
      <c r="M907">
        <f>'TMIS US'!A898</f>
        <v>9764</v>
      </c>
      <c r="N907" t="str">
        <f>T('TMIS US'!B898)</f>
        <v>TRACE Brazuca</v>
      </c>
      <c r="O907" t="s">
        <v>4288</v>
      </c>
      <c r="P907" t="str">
        <f t="shared" ref="P907:P970" si="119">IF(O907="Active",IF(N907="","Please Notify - Channel Removed",""),"")</f>
        <v/>
      </c>
      <c r="Q907" t="str">
        <f t="shared" si="113"/>
        <v/>
      </c>
      <c r="R907" s="69"/>
      <c r="S907">
        <f>'TMIS CA'!A898</f>
        <v>0</v>
      </c>
      <c r="T907" t="str">
        <f>T('TMIS CA'!B898)</f>
        <v/>
      </c>
      <c r="U907" t="s">
        <v>4290</v>
      </c>
      <c r="V907" t="str">
        <f t="shared" si="115"/>
        <v/>
      </c>
      <c r="W907" t="str">
        <f t="shared" si="114"/>
        <v/>
      </c>
    </row>
    <row r="908" spans="1:23">
      <c r="A908">
        <f>'IPTV US'!A899</f>
        <v>11165</v>
      </c>
      <c r="B908" t="str">
        <f>T('IPTV US'!B899)</f>
        <v>TRACE Latina</v>
      </c>
      <c r="C908" t="s">
        <v>4288</v>
      </c>
      <c r="D908" t="str">
        <f t="shared" si="116"/>
        <v/>
      </c>
      <c r="E908" t="str">
        <f t="shared" si="117"/>
        <v/>
      </c>
      <c r="F908" s="68" t="s">
        <v>4289</v>
      </c>
      <c r="G908">
        <f>'IPTV CA'!A899</f>
        <v>0</v>
      </c>
      <c r="H908" t="str">
        <f>T('IPTV CA'!B899)</f>
        <v/>
      </c>
      <c r="I908" t="s">
        <v>4290</v>
      </c>
      <c r="J908" t="str">
        <f t="shared" si="118"/>
        <v/>
      </c>
      <c r="K908" t="str">
        <f t="shared" ref="K908:K971" si="120">IF(I908="Vacant",IF(H908="","","Please Notify - Channel Added"),"")</f>
        <v/>
      </c>
      <c r="L908" s="69"/>
      <c r="M908">
        <f>'TMIS US'!A899</f>
        <v>9765</v>
      </c>
      <c r="N908" t="str">
        <f>T('TMIS US'!B899)</f>
        <v>TRACE Latina</v>
      </c>
      <c r="O908" t="s">
        <v>4288</v>
      </c>
      <c r="P908" t="str">
        <f t="shared" si="119"/>
        <v/>
      </c>
      <c r="Q908" t="str">
        <f t="shared" ref="Q908:Q971" si="121">IF(O908="Vacant",IF(N908="","","Please Notify - Channel Added"),"")</f>
        <v/>
      </c>
      <c r="R908" s="69"/>
      <c r="S908">
        <f>'TMIS CA'!A899</f>
        <v>0</v>
      </c>
      <c r="T908" t="str">
        <f>T('TMIS CA'!B899)</f>
        <v/>
      </c>
      <c r="U908" t="s">
        <v>4290</v>
      </c>
      <c r="V908" t="str">
        <f t="shared" si="115"/>
        <v/>
      </c>
      <c r="W908" t="str">
        <f t="shared" ref="W908:W971" si="122">IF(U908="Vacant",IF(T908="","","Please Notify - Channel Added"),"")</f>
        <v/>
      </c>
    </row>
    <row r="909" spans="1:23">
      <c r="A909">
        <f>'IPTV US'!A900</f>
        <v>11166</v>
      </c>
      <c r="B909" t="str">
        <f>T('IPTV US'!B900)</f>
        <v/>
      </c>
      <c r="C909" t="s">
        <v>4290</v>
      </c>
      <c r="D909" t="str">
        <f t="shared" si="116"/>
        <v/>
      </c>
      <c r="E909" t="str">
        <f t="shared" si="117"/>
        <v/>
      </c>
      <c r="F909" s="68" t="s">
        <v>4289</v>
      </c>
      <c r="G909">
        <f>'IPTV CA'!A900</f>
        <v>0</v>
      </c>
      <c r="H909" t="str">
        <f>T('IPTV CA'!B900)</f>
        <v/>
      </c>
      <c r="I909" t="s">
        <v>4290</v>
      </c>
      <c r="J909" t="str">
        <f t="shared" si="118"/>
        <v/>
      </c>
      <c r="K909" t="str">
        <f t="shared" si="120"/>
        <v/>
      </c>
      <c r="L909" s="69"/>
      <c r="M909">
        <f>'TMIS US'!A900</f>
        <v>9766</v>
      </c>
      <c r="N909" t="str">
        <f>T('TMIS US'!B900)</f>
        <v/>
      </c>
      <c r="O909" t="s">
        <v>4290</v>
      </c>
      <c r="P909" t="str">
        <f t="shared" si="119"/>
        <v/>
      </c>
      <c r="Q909" t="str">
        <f t="shared" si="121"/>
        <v/>
      </c>
      <c r="R909" s="69"/>
      <c r="S909">
        <f>'TMIS CA'!A900</f>
        <v>0</v>
      </c>
      <c r="T909" t="str">
        <f>T('TMIS CA'!B900)</f>
        <v/>
      </c>
      <c r="U909" t="s">
        <v>4290</v>
      </c>
      <c r="V909" t="str">
        <f t="shared" si="115"/>
        <v/>
      </c>
      <c r="W909" t="str">
        <f t="shared" si="122"/>
        <v/>
      </c>
    </row>
    <row r="910" spans="1:23">
      <c r="A910">
        <f>'IPTV US'!A901</f>
        <v>11167</v>
      </c>
      <c r="B910" t="str">
        <f>T('IPTV US'!B901)</f>
        <v/>
      </c>
      <c r="C910" t="s">
        <v>4290</v>
      </c>
      <c r="D910" t="str">
        <f t="shared" si="116"/>
        <v/>
      </c>
      <c r="E910" t="str">
        <f t="shared" si="117"/>
        <v/>
      </c>
      <c r="F910" s="68" t="s">
        <v>4289</v>
      </c>
      <c r="G910">
        <f>'IPTV CA'!A901</f>
        <v>0</v>
      </c>
      <c r="H910" t="str">
        <f>T('IPTV CA'!B901)</f>
        <v/>
      </c>
      <c r="I910" t="s">
        <v>4290</v>
      </c>
      <c r="J910" t="str">
        <f t="shared" si="118"/>
        <v/>
      </c>
      <c r="K910" t="str">
        <f t="shared" si="120"/>
        <v/>
      </c>
      <c r="L910" s="69"/>
      <c r="M910">
        <f>'TMIS US'!A901</f>
        <v>9767</v>
      </c>
      <c r="N910" t="str">
        <f>T('TMIS US'!B901)</f>
        <v/>
      </c>
      <c r="O910" t="s">
        <v>4290</v>
      </c>
      <c r="P910" t="str">
        <f t="shared" si="119"/>
        <v/>
      </c>
      <c r="Q910" t="str">
        <f t="shared" si="121"/>
        <v/>
      </c>
      <c r="R910" s="69"/>
      <c r="S910">
        <f>'TMIS CA'!A901</f>
        <v>0</v>
      </c>
      <c r="T910" t="str">
        <f>T('TMIS CA'!B901)</f>
        <v/>
      </c>
      <c r="U910" t="s">
        <v>4290</v>
      </c>
      <c r="V910" t="str">
        <f t="shared" ref="V910:V973" si="123">IF(U910="Active",IF(T910="","Please Notify - Channel Removed",""),"")</f>
        <v/>
      </c>
      <c r="W910" t="str">
        <f t="shared" si="122"/>
        <v/>
      </c>
    </row>
    <row r="911" spans="1:23">
      <c r="A911">
        <f>'IPTV US'!A902</f>
        <v>11168</v>
      </c>
      <c r="B911" t="str">
        <f>T('IPTV US'!B902)</f>
        <v/>
      </c>
      <c r="C911" t="s">
        <v>4290</v>
      </c>
      <c r="D911" t="str">
        <f t="shared" si="116"/>
        <v/>
      </c>
      <c r="E911" t="str">
        <f t="shared" si="117"/>
        <v/>
      </c>
      <c r="F911" s="68" t="s">
        <v>4289</v>
      </c>
      <c r="G911">
        <f>'IPTV CA'!A902</f>
        <v>0</v>
      </c>
      <c r="H911" t="str">
        <f>T('IPTV CA'!B902)</f>
        <v/>
      </c>
      <c r="I911" t="s">
        <v>4290</v>
      </c>
      <c r="J911" t="str">
        <f t="shared" si="118"/>
        <v/>
      </c>
      <c r="K911" t="str">
        <f t="shared" si="120"/>
        <v/>
      </c>
      <c r="L911" s="69"/>
      <c r="M911">
        <f>'TMIS US'!A902</f>
        <v>9768</v>
      </c>
      <c r="N911" t="str">
        <f>T('TMIS US'!B902)</f>
        <v/>
      </c>
      <c r="O911" t="s">
        <v>4290</v>
      </c>
      <c r="P911" t="str">
        <f t="shared" si="119"/>
        <v/>
      </c>
      <c r="Q911" t="str">
        <f t="shared" si="121"/>
        <v/>
      </c>
      <c r="R911" s="69"/>
      <c r="S911">
        <f>'TMIS CA'!A902</f>
        <v>0</v>
      </c>
      <c r="T911" t="str">
        <f>T('TMIS CA'!B902)</f>
        <v/>
      </c>
      <c r="U911" t="s">
        <v>4290</v>
      </c>
      <c r="V911" t="str">
        <f t="shared" si="123"/>
        <v/>
      </c>
      <c r="W911" t="str">
        <f t="shared" si="122"/>
        <v/>
      </c>
    </row>
    <row r="912" spans="1:23">
      <c r="A912">
        <f>'IPTV US'!A903</f>
        <v>11169</v>
      </c>
      <c r="B912" t="str">
        <f>T('IPTV US'!B903)</f>
        <v/>
      </c>
      <c r="C912" t="s">
        <v>4290</v>
      </c>
      <c r="D912" t="str">
        <f t="shared" si="116"/>
        <v/>
      </c>
      <c r="E912" t="str">
        <f t="shared" si="117"/>
        <v/>
      </c>
      <c r="F912" s="68" t="s">
        <v>4289</v>
      </c>
      <c r="G912">
        <f>'IPTV CA'!A903</f>
        <v>0</v>
      </c>
      <c r="H912" t="str">
        <f>T('IPTV CA'!B903)</f>
        <v/>
      </c>
      <c r="I912" t="s">
        <v>4290</v>
      </c>
      <c r="J912" t="str">
        <f t="shared" si="118"/>
        <v/>
      </c>
      <c r="K912" t="str">
        <f t="shared" si="120"/>
        <v/>
      </c>
      <c r="L912" s="69"/>
      <c r="M912">
        <f>'TMIS US'!A903</f>
        <v>9769</v>
      </c>
      <c r="N912" t="str">
        <f>T('TMIS US'!B903)</f>
        <v/>
      </c>
      <c r="O912" t="s">
        <v>4290</v>
      </c>
      <c r="P912" t="str">
        <f t="shared" si="119"/>
        <v/>
      </c>
      <c r="Q912" t="str">
        <f t="shared" si="121"/>
        <v/>
      </c>
      <c r="R912" s="69"/>
      <c r="S912">
        <f>'TMIS CA'!A903</f>
        <v>0</v>
      </c>
      <c r="T912" t="str">
        <f>T('TMIS CA'!B903)</f>
        <v/>
      </c>
      <c r="U912" t="s">
        <v>4290</v>
      </c>
      <c r="V912" t="str">
        <f t="shared" si="123"/>
        <v/>
      </c>
      <c r="W912" t="str">
        <f t="shared" si="122"/>
        <v/>
      </c>
    </row>
    <row r="913" spans="1:23">
      <c r="A913">
        <f>'IPTV US'!A904</f>
        <v>11170</v>
      </c>
      <c r="B913" t="str">
        <f>T('IPTV US'!B904)</f>
        <v>FreeTV Hits</v>
      </c>
      <c r="C913" t="s">
        <v>4288</v>
      </c>
      <c r="D913" t="str">
        <f t="shared" si="116"/>
        <v/>
      </c>
      <c r="E913" t="str">
        <f t="shared" si="117"/>
        <v/>
      </c>
      <c r="F913" s="68" t="s">
        <v>4289</v>
      </c>
      <c r="G913">
        <f>'IPTV CA'!A904</f>
        <v>0</v>
      </c>
      <c r="H913" t="str">
        <f>T('IPTV CA'!B904)</f>
        <v/>
      </c>
      <c r="I913" t="s">
        <v>4290</v>
      </c>
      <c r="J913" t="str">
        <f t="shared" si="118"/>
        <v/>
      </c>
      <c r="K913" t="str">
        <f t="shared" si="120"/>
        <v/>
      </c>
      <c r="L913" s="69"/>
      <c r="M913">
        <f>'TMIS US'!A904</f>
        <v>9770</v>
      </c>
      <c r="N913" t="str">
        <f>T('TMIS US'!B904)</f>
        <v>FreeTV Hits</v>
      </c>
      <c r="O913" t="s">
        <v>4288</v>
      </c>
      <c r="P913" t="str">
        <f t="shared" si="119"/>
        <v/>
      </c>
      <c r="Q913" t="str">
        <f t="shared" si="121"/>
        <v/>
      </c>
      <c r="R913" s="69"/>
      <c r="S913">
        <f>'TMIS CA'!A904</f>
        <v>0</v>
      </c>
      <c r="T913" t="str">
        <f>T('TMIS CA'!B904)</f>
        <v/>
      </c>
      <c r="U913" t="s">
        <v>4290</v>
      </c>
      <c r="V913" t="str">
        <f t="shared" si="123"/>
        <v/>
      </c>
      <c r="W913" t="str">
        <f t="shared" si="122"/>
        <v/>
      </c>
    </row>
    <row r="914" spans="1:23">
      <c r="A914">
        <f>'IPTV US'!A905</f>
        <v>11171</v>
      </c>
      <c r="B914" t="str">
        <f>T('IPTV US'!B905)</f>
        <v>VR+</v>
      </c>
      <c r="C914" t="s">
        <v>4288</v>
      </c>
      <c r="D914" t="str">
        <f t="shared" si="116"/>
        <v/>
      </c>
      <c r="E914" t="str">
        <f t="shared" si="117"/>
        <v/>
      </c>
      <c r="F914" s="68" t="s">
        <v>4289</v>
      </c>
      <c r="G914">
        <f>'IPTV CA'!A905</f>
        <v>0</v>
      </c>
      <c r="H914" t="str">
        <f>T('IPTV CA'!B905)</f>
        <v/>
      </c>
      <c r="I914" t="s">
        <v>4290</v>
      </c>
      <c r="J914" t="str">
        <f t="shared" si="118"/>
        <v/>
      </c>
      <c r="K914" t="str">
        <f t="shared" si="120"/>
        <v/>
      </c>
      <c r="L914" s="69"/>
      <c r="M914">
        <f>'TMIS US'!A905</f>
        <v>9771</v>
      </c>
      <c r="N914" t="str">
        <f>T('TMIS US'!B905)</f>
        <v>VR+</v>
      </c>
      <c r="O914" t="s">
        <v>4288</v>
      </c>
      <c r="P914" t="str">
        <f t="shared" si="119"/>
        <v/>
      </c>
      <c r="Q914" t="str">
        <f t="shared" si="121"/>
        <v/>
      </c>
      <c r="R914" s="69"/>
      <c r="S914">
        <f>'TMIS CA'!A905</f>
        <v>0</v>
      </c>
      <c r="T914" t="str">
        <f>T('TMIS CA'!B905)</f>
        <v/>
      </c>
      <c r="U914" t="s">
        <v>4290</v>
      </c>
      <c r="V914" t="str">
        <f t="shared" si="123"/>
        <v/>
      </c>
      <c r="W914" t="str">
        <f t="shared" si="122"/>
        <v/>
      </c>
    </row>
    <row r="915" spans="1:23">
      <c r="A915">
        <f>'IPTV US'!A906</f>
        <v>11172</v>
      </c>
      <c r="B915" t="str">
        <f>T('IPTV US'!B906)</f>
        <v/>
      </c>
      <c r="C915" t="s">
        <v>4290</v>
      </c>
      <c r="D915" t="str">
        <f t="shared" si="116"/>
        <v/>
      </c>
      <c r="E915" t="str">
        <f t="shared" si="117"/>
        <v/>
      </c>
      <c r="F915" s="68" t="s">
        <v>4289</v>
      </c>
      <c r="G915">
        <f>'IPTV CA'!A906</f>
        <v>0</v>
      </c>
      <c r="H915" t="str">
        <f>T('IPTV CA'!B906)</f>
        <v/>
      </c>
      <c r="I915" t="s">
        <v>4290</v>
      </c>
      <c r="J915" t="str">
        <f t="shared" si="118"/>
        <v/>
      </c>
      <c r="K915" t="str">
        <f t="shared" si="120"/>
        <v/>
      </c>
      <c r="L915" s="69"/>
      <c r="M915">
        <f>'TMIS US'!A906</f>
        <v>9772</v>
      </c>
      <c r="N915" t="str">
        <f>T('TMIS US'!B906)</f>
        <v/>
      </c>
      <c r="O915" t="s">
        <v>4290</v>
      </c>
      <c r="P915" t="str">
        <f t="shared" si="119"/>
        <v/>
      </c>
      <c r="Q915" t="str">
        <f t="shared" si="121"/>
        <v/>
      </c>
      <c r="R915" s="69"/>
      <c r="S915">
        <f>'TMIS CA'!A906</f>
        <v>0</v>
      </c>
      <c r="T915" t="str">
        <f>T('TMIS CA'!B906)</f>
        <v/>
      </c>
      <c r="U915" t="s">
        <v>4290</v>
      </c>
      <c r="V915" t="str">
        <f t="shared" si="123"/>
        <v/>
      </c>
      <c r="W915" t="str">
        <f t="shared" si="122"/>
        <v/>
      </c>
    </row>
    <row r="916" spans="1:23">
      <c r="A916">
        <f>'IPTV US'!A907</f>
        <v>11173</v>
      </c>
      <c r="B916" t="str">
        <f>T('IPTV US'!B907)</f>
        <v/>
      </c>
      <c r="C916" t="s">
        <v>4290</v>
      </c>
      <c r="D916" t="str">
        <f t="shared" si="116"/>
        <v/>
      </c>
      <c r="E916" t="str">
        <f t="shared" si="117"/>
        <v/>
      </c>
      <c r="F916" s="68" t="s">
        <v>4289</v>
      </c>
      <c r="G916">
        <f>'IPTV CA'!A907</f>
        <v>0</v>
      </c>
      <c r="H916" t="str">
        <f>T('IPTV CA'!B907)</f>
        <v/>
      </c>
      <c r="I916" t="s">
        <v>4290</v>
      </c>
      <c r="J916" t="str">
        <f t="shared" si="118"/>
        <v/>
      </c>
      <c r="K916" t="str">
        <f t="shared" si="120"/>
        <v/>
      </c>
      <c r="L916" s="69"/>
      <c r="M916">
        <f>'TMIS US'!A907</f>
        <v>9773</v>
      </c>
      <c r="N916" t="str">
        <f>T('TMIS US'!B907)</f>
        <v/>
      </c>
      <c r="O916" t="s">
        <v>4290</v>
      </c>
      <c r="P916" t="str">
        <f t="shared" si="119"/>
        <v/>
      </c>
      <c r="Q916" t="str">
        <f t="shared" si="121"/>
        <v/>
      </c>
      <c r="R916" s="69"/>
      <c r="S916">
        <f>'TMIS CA'!A907</f>
        <v>0</v>
      </c>
      <c r="T916" t="str">
        <f>T('TMIS CA'!B907)</f>
        <v/>
      </c>
      <c r="U916" t="s">
        <v>4290</v>
      </c>
      <c r="V916" t="str">
        <f t="shared" si="123"/>
        <v/>
      </c>
      <c r="W916" t="str">
        <f t="shared" si="122"/>
        <v/>
      </c>
    </row>
    <row r="917" spans="1:23">
      <c r="A917">
        <f>'IPTV US'!A908</f>
        <v>11174</v>
      </c>
      <c r="B917" t="str">
        <f>T('IPTV US'!B908)</f>
        <v/>
      </c>
      <c r="C917" t="s">
        <v>4290</v>
      </c>
      <c r="D917" t="str">
        <f t="shared" si="116"/>
        <v/>
      </c>
      <c r="E917" t="str">
        <f t="shared" si="117"/>
        <v/>
      </c>
      <c r="F917" s="68" t="s">
        <v>4289</v>
      </c>
      <c r="G917">
        <f>'IPTV CA'!A908</f>
        <v>0</v>
      </c>
      <c r="H917" t="str">
        <f>T('IPTV CA'!B908)</f>
        <v/>
      </c>
      <c r="I917" t="s">
        <v>4290</v>
      </c>
      <c r="J917" t="str">
        <f t="shared" si="118"/>
        <v/>
      </c>
      <c r="K917" t="str">
        <f t="shared" si="120"/>
        <v/>
      </c>
      <c r="L917" s="69"/>
      <c r="M917">
        <f>'TMIS US'!A908</f>
        <v>9774</v>
      </c>
      <c r="N917" t="str">
        <f>T('TMIS US'!B908)</f>
        <v/>
      </c>
      <c r="O917" t="s">
        <v>4290</v>
      </c>
      <c r="P917" t="str">
        <f t="shared" si="119"/>
        <v/>
      </c>
      <c r="Q917" t="str">
        <f t="shared" si="121"/>
        <v/>
      </c>
      <c r="R917" s="69"/>
      <c r="S917">
        <f>'TMIS CA'!A908</f>
        <v>0</v>
      </c>
      <c r="T917" t="str">
        <f>T('TMIS CA'!B908)</f>
        <v/>
      </c>
      <c r="U917" t="s">
        <v>4290</v>
      </c>
      <c r="V917" t="str">
        <f t="shared" si="123"/>
        <v/>
      </c>
      <c r="W917" t="str">
        <f t="shared" si="122"/>
        <v/>
      </c>
    </row>
    <row r="918" spans="1:23">
      <c r="A918">
        <f>'IPTV US'!A909</f>
        <v>11175</v>
      </c>
      <c r="B918" t="str">
        <f>T('IPTV US'!B909)</f>
        <v/>
      </c>
      <c r="C918" t="s">
        <v>4290</v>
      </c>
      <c r="D918" t="str">
        <f t="shared" si="116"/>
        <v/>
      </c>
      <c r="E918" t="str">
        <f t="shared" si="117"/>
        <v/>
      </c>
      <c r="F918" s="68" t="s">
        <v>4289</v>
      </c>
      <c r="G918">
        <f>'IPTV CA'!A909</f>
        <v>0</v>
      </c>
      <c r="H918" t="str">
        <f>T('IPTV CA'!B909)</f>
        <v/>
      </c>
      <c r="I918" t="s">
        <v>4290</v>
      </c>
      <c r="J918" t="str">
        <f t="shared" si="118"/>
        <v/>
      </c>
      <c r="K918" t="str">
        <f t="shared" si="120"/>
        <v/>
      </c>
      <c r="L918" s="69"/>
      <c r="M918">
        <f>'TMIS US'!A909</f>
        <v>9775</v>
      </c>
      <c r="N918" t="str">
        <f>T('TMIS US'!B909)</f>
        <v/>
      </c>
      <c r="O918" t="s">
        <v>4290</v>
      </c>
      <c r="P918" t="str">
        <f t="shared" si="119"/>
        <v/>
      </c>
      <c r="Q918" t="str">
        <f t="shared" si="121"/>
        <v/>
      </c>
      <c r="R918" s="69"/>
      <c r="S918">
        <f>'TMIS CA'!A909</f>
        <v>0</v>
      </c>
      <c r="T918" t="str">
        <f>T('TMIS CA'!B909)</f>
        <v/>
      </c>
      <c r="U918" t="s">
        <v>4290</v>
      </c>
      <c r="V918" t="str">
        <f t="shared" si="123"/>
        <v/>
      </c>
      <c r="W918" t="str">
        <f t="shared" si="122"/>
        <v/>
      </c>
    </row>
    <row r="919" spans="1:23">
      <c r="A919">
        <f>'IPTV US'!A910</f>
        <v>11176</v>
      </c>
      <c r="B919" t="str">
        <f>T('IPTV US'!B910)</f>
        <v>Action News Jax</v>
      </c>
      <c r="C919" t="s">
        <v>4288</v>
      </c>
      <c r="D919" t="str">
        <f t="shared" si="116"/>
        <v/>
      </c>
      <c r="E919" t="str">
        <f t="shared" si="117"/>
        <v/>
      </c>
      <c r="F919" s="68" t="s">
        <v>4289</v>
      </c>
      <c r="G919">
        <f>'IPTV CA'!A910</f>
        <v>0</v>
      </c>
      <c r="H919" t="str">
        <f>T('IPTV CA'!B910)</f>
        <v/>
      </c>
      <c r="I919" t="s">
        <v>4290</v>
      </c>
      <c r="J919" t="str">
        <f t="shared" si="118"/>
        <v/>
      </c>
      <c r="K919" t="str">
        <f t="shared" si="120"/>
        <v/>
      </c>
      <c r="L919" s="69"/>
      <c r="M919">
        <f>'TMIS US'!A910</f>
        <v>9776</v>
      </c>
      <c r="N919" t="str">
        <f>T('TMIS US'!B910)</f>
        <v>Action News Jax</v>
      </c>
      <c r="O919" t="s">
        <v>4288</v>
      </c>
      <c r="P919" t="str">
        <f t="shared" si="119"/>
        <v/>
      </c>
      <c r="Q919" t="str">
        <f t="shared" si="121"/>
        <v/>
      </c>
      <c r="R919" s="69"/>
      <c r="S919">
        <f>'TMIS CA'!A910</f>
        <v>0</v>
      </c>
      <c r="T919" t="str">
        <f>T('TMIS CA'!B910)</f>
        <v/>
      </c>
      <c r="U919" t="s">
        <v>4290</v>
      </c>
      <c r="V919" t="str">
        <f t="shared" si="123"/>
        <v/>
      </c>
      <c r="W919" t="str">
        <f t="shared" si="122"/>
        <v/>
      </c>
    </row>
    <row r="920" spans="1:23">
      <c r="A920">
        <f>'IPTV US'!A911</f>
        <v>11177</v>
      </c>
      <c r="B920" t="str">
        <f>T('IPTV US'!B911)</f>
        <v>Boston 25 News</v>
      </c>
      <c r="C920" t="s">
        <v>4288</v>
      </c>
      <c r="D920" t="str">
        <f t="shared" si="116"/>
        <v/>
      </c>
      <c r="E920" t="str">
        <f t="shared" si="117"/>
        <v/>
      </c>
      <c r="F920" s="68" t="s">
        <v>4289</v>
      </c>
      <c r="G920">
        <f>'IPTV CA'!A911</f>
        <v>0</v>
      </c>
      <c r="H920" t="str">
        <f>T('IPTV CA'!B911)</f>
        <v/>
      </c>
      <c r="I920" t="s">
        <v>4290</v>
      </c>
      <c r="J920" t="str">
        <f t="shared" si="118"/>
        <v/>
      </c>
      <c r="K920" t="str">
        <f t="shared" si="120"/>
        <v/>
      </c>
      <c r="L920" s="69"/>
      <c r="M920">
        <f>'TMIS US'!A911</f>
        <v>9777</v>
      </c>
      <c r="N920" t="str">
        <f>T('TMIS US'!B911)</f>
        <v>Boston 25 News</v>
      </c>
      <c r="O920" t="s">
        <v>4288</v>
      </c>
      <c r="P920" t="str">
        <f t="shared" si="119"/>
        <v/>
      </c>
      <c r="Q920" t="str">
        <f t="shared" si="121"/>
        <v/>
      </c>
      <c r="R920" s="69"/>
      <c r="S920">
        <f>'TMIS CA'!A911</f>
        <v>0</v>
      </c>
      <c r="T920" t="str">
        <f>T('TMIS CA'!B911)</f>
        <v/>
      </c>
      <c r="U920" t="s">
        <v>4290</v>
      </c>
      <c r="V920" t="str">
        <f t="shared" si="123"/>
        <v/>
      </c>
      <c r="W920" t="str">
        <f t="shared" si="122"/>
        <v/>
      </c>
    </row>
    <row r="921" spans="1:23">
      <c r="A921">
        <f>'IPTV US'!A912</f>
        <v>11178</v>
      </c>
      <c r="B921" t="str">
        <f>T('IPTV US'!B912)</f>
        <v>KATC</v>
      </c>
      <c r="C921" t="s">
        <v>4288</v>
      </c>
      <c r="D921" t="str">
        <f t="shared" si="116"/>
        <v/>
      </c>
      <c r="E921" t="str">
        <f t="shared" si="117"/>
        <v/>
      </c>
      <c r="F921" s="68" t="s">
        <v>4289</v>
      </c>
      <c r="G921">
        <f>'IPTV CA'!A912</f>
        <v>0</v>
      </c>
      <c r="H921" t="str">
        <f>T('IPTV CA'!B912)</f>
        <v/>
      </c>
      <c r="I921" t="s">
        <v>4290</v>
      </c>
      <c r="J921" t="str">
        <f t="shared" si="118"/>
        <v/>
      </c>
      <c r="K921" t="str">
        <f t="shared" si="120"/>
        <v/>
      </c>
      <c r="L921" s="69"/>
      <c r="M921">
        <f>'TMIS US'!A912</f>
        <v>9778</v>
      </c>
      <c r="N921" t="str">
        <f>T('TMIS US'!B912)</f>
        <v>KATC</v>
      </c>
      <c r="O921" t="s">
        <v>4288</v>
      </c>
      <c r="P921" t="str">
        <f t="shared" si="119"/>
        <v/>
      </c>
      <c r="Q921" t="str">
        <f t="shared" si="121"/>
        <v/>
      </c>
      <c r="R921" s="69"/>
      <c r="S921">
        <f>'TMIS CA'!A912</f>
        <v>0</v>
      </c>
      <c r="T921" t="str">
        <f>T('TMIS CA'!B912)</f>
        <v/>
      </c>
      <c r="U921" t="s">
        <v>4290</v>
      </c>
      <c r="V921" t="str">
        <f t="shared" si="123"/>
        <v/>
      </c>
      <c r="W921" t="str">
        <f t="shared" si="122"/>
        <v/>
      </c>
    </row>
    <row r="922" spans="1:23">
      <c r="A922">
        <f>'IPTV US'!A913</f>
        <v>11179</v>
      </c>
      <c r="B922" t="str">
        <f>T('IPTV US'!B913)</f>
        <v>KBZK</v>
      </c>
      <c r="C922" t="s">
        <v>4288</v>
      </c>
      <c r="D922" t="str">
        <f t="shared" si="116"/>
        <v/>
      </c>
      <c r="E922" t="str">
        <f t="shared" si="117"/>
        <v/>
      </c>
      <c r="F922" s="68" t="s">
        <v>4289</v>
      </c>
      <c r="G922">
        <f>'IPTV CA'!A913</f>
        <v>0</v>
      </c>
      <c r="H922" t="str">
        <f>T('IPTV CA'!B913)</f>
        <v/>
      </c>
      <c r="I922" t="s">
        <v>4290</v>
      </c>
      <c r="J922" t="str">
        <f t="shared" si="118"/>
        <v/>
      </c>
      <c r="K922" t="str">
        <f t="shared" si="120"/>
        <v/>
      </c>
      <c r="L922" s="69"/>
      <c r="M922">
        <f>'TMIS US'!A913</f>
        <v>9779</v>
      </c>
      <c r="N922" t="str">
        <f>T('TMIS US'!B913)</f>
        <v>KBZK</v>
      </c>
      <c r="O922" t="s">
        <v>4288</v>
      </c>
      <c r="P922" t="str">
        <f t="shared" si="119"/>
        <v/>
      </c>
      <c r="Q922" t="str">
        <f t="shared" si="121"/>
        <v/>
      </c>
      <c r="R922" s="69"/>
      <c r="S922">
        <f>'TMIS CA'!A913</f>
        <v>0</v>
      </c>
      <c r="T922" t="str">
        <f>T('TMIS CA'!B913)</f>
        <v/>
      </c>
      <c r="U922" t="s">
        <v>4290</v>
      </c>
      <c r="V922" t="str">
        <f t="shared" si="123"/>
        <v/>
      </c>
      <c r="W922" t="str">
        <f t="shared" si="122"/>
        <v/>
      </c>
    </row>
    <row r="923" spans="1:23">
      <c r="A923">
        <f>'IPTV US'!A914</f>
        <v>11180</v>
      </c>
      <c r="B923" t="str">
        <f>T('IPTV US'!B914)</f>
        <v>KERO</v>
      </c>
      <c r="C923" t="s">
        <v>4288</v>
      </c>
      <c r="D923" t="str">
        <f t="shared" si="116"/>
        <v/>
      </c>
      <c r="E923" t="str">
        <f t="shared" si="117"/>
        <v/>
      </c>
      <c r="F923" s="68" t="s">
        <v>4289</v>
      </c>
      <c r="G923">
        <f>'IPTV CA'!A914</f>
        <v>0</v>
      </c>
      <c r="H923" t="str">
        <f>T('IPTV CA'!B914)</f>
        <v/>
      </c>
      <c r="I923" t="s">
        <v>4290</v>
      </c>
      <c r="J923" t="str">
        <f t="shared" si="118"/>
        <v/>
      </c>
      <c r="K923" t="str">
        <f t="shared" si="120"/>
        <v/>
      </c>
      <c r="L923" s="69"/>
      <c r="M923">
        <f>'TMIS US'!A914</f>
        <v>9780</v>
      </c>
      <c r="N923" t="str">
        <f>T('TMIS US'!B914)</f>
        <v>KERO</v>
      </c>
      <c r="O923" t="s">
        <v>4288</v>
      </c>
      <c r="P923" t="str">
        <f t="shared" si="119"/>
        <v/>
      </c>
      <c r="Q923" t="str">
        <f t="shared" si="121"/>
        <v/>
      </c>
      <c r="R923" s="69"/>
      <c r="S923">
        <f>'TMIS CA'!A914</f>
        <v>0</v>
      </c>
      <c r="T923" t="str">
        <f>T('TMIS CA'!B914)</f>
        <v/>
      </c>
      <c r="U923" t="s">
        <v>4290</v>
      </c>
      <c r="V923" t="str">
        <f t="shared" si="123"/>
        <v/>
      </c>
      <c r="W923" t="str">
        <f t="shared" si="122"/>
        <v/>
      </c>
    </row>
    <row r="924" spans="1:23">
      <c r="A924">
        <f>'IPTV US'!A915</f>
        <v>11181</v>
      </c>
      <c r="B924" t="str">
        <f>T('IPTV US'!B915)</f>
        <v>KGTV</v>
      </c>
      <c r="C924" t="s">
        <v>4288</v>
      </c>
      <c r="D924" t="str">
        <f t="shared" si="116"/>
        <v/>
      </c>
      <c r="E924" t="str">
        <f t="shared" si="117"/>
        <v/>
      </c>
      <c r="F924" s="68" t="s">
        <v>4289</v>
      </c>
      <c r="G924">
        <f>'IPTV CA'!A915</f>
        <v>0</v>
      </c>
      <c r="H924" t="str">
        <f>T('IPTV CA'!B915)</f>
        <v/>
      </c>
      <c r="I924" t="s">
        <v>4290</v>
      </c>
      <c r="J924" t="str">
        <f t="shared" si="118"/>
        <v/>
      </c>
      <c r="K924" t="str">
        <f t="shared" si="120"/>
        <v/>
      </c>
      <c r="L924" s="69"/>
      <c r="M924">
        <f>'TMIS US'!A915</f>
        <v>9781</v>
      </c>
      <c r="N924" t="str">
        <f>T('TMIS US'!B915)</f>
        <v>KGTV</v>
      </c>
      <c r="O924" t="s">
        <v>4288</v>
      </c>
      <c r="P924" t="str">
        <f t="shared" si="119"/>
        <v/>
      </c>
      <c r="Q924" t="str">
        <f t="shared" si="121"/>
        <v/>
      </c>
      <c r="R924" s="69"/>
      <c r="S924">
        <f>'TMIS CA'!A915</f>
        <v>0</v>
      </c>
      <c r="T924" t="str">
        <f>T('TMIS CA'!B915)</f>
        <v/>
      </c>
      <c r="U924" t="s">
        <v>4290</v>
      </c>
      <c r="V924" t="str">
        <f t="shared" si="123"/>
        <v/>
      </c>
      <c r="W924" t="str">
        <f t="shared" si="122"/>
        <v/>
      </c>
    </row>
    <row r="925" spans="1:23">
      <c r="A925">
        <f>'IPTV US'!A916</f>
        <v>11182</v>
      </c>
      <c r="B925" t="str">
        <f>T('IPTV US'!B916)</f>
        <v>KGUN</v>
      </c>
      <c r="C925" t="s">
        <v>4288</v>
      </c>
      <c r="D925" t="str">
        <f t="shared" si="116"/>
        <v/>
      </c>
      <c r="E925" t="str">
        <f t="shared" si="117"/>
        <v/>
      </c>
      <c r="F925" s="68" t="s">
        <v>4289</v>
      </c>
      <c r="G925">
        <f>'IPTV CA'!A916</f>
        <v>0</v>
      </c>
      <c r="H925" t="str">
        <f>T('IPTV CA'!B916)</f>
        <v/>
      </c>
      <c r="I925" t="s">
        <v>4290</v>
      </c>
      <c r="J925" t="str">
        <f t="shared" si="118"/>
        <v/>
      </c>
      <c r="K925" t="str">
        <f t="shared" si="120"/>
        <v/>
      </c>
      <c r="L925" s="69"/>
      <c r="M925">
        <f>'TMIS US'!A916</f>
        <v>9782</v>
      </c>
      <c r="N925" t="str">
        <f>T('TMIS US'!B916)</f>
        <v>KGUN</v>
      </c>
      <c r="O925" t="s">
        <v>4288</v>
      </c>
      <c r="P925" t="str">
        <f t="shared" si="119"/>
        <v/>
      </c>
      <c r="Q925" t="str">
        <f t="shared" si="121"/>
        <v/>
      </c>
      <c r="R925" s="69"/>
      <c r="S925">
        <f>'TMIS CA'!A916</f>
        <v>0</v>
      </c>
      <c r="T925" t="str">
        <f>T('TMIS CA'!B916)</f>
        <v/>
      </c>
      <c r="U925" t="s">
        <v>4290</v>
      </c>
      <c r="V925" t="str">
        <f t="shared" si="123"/>
        <v/>
      </c>
      <c r="W925" t="str">
        <f t="shared" si="122"/>
        <v/>
      </c>
    </row>
    <row r="926" spans="1:23">
      <c r="A926">
        <f>'IPTV US'!A917</f>
        <v>11183</v>
      </c>
      <c r="B926" t="str">
        <f>T('IPTV US'!B917)</f>
        <v>KIRO 7 Seattle</v>
      </c>
      <c r="C926" t="s">
        <v>4288</v>
      </c>
      <c r="D926" t="str">
        <f t="shared" si="116"/>
        <v/>
      </c>
      <c r="E926" t="str">
        <f t="shared" si="117"/>
        <v/>
      </c>
      <c r="F926" s="68" t="s">
        <v>4289</v>
      </c>
      <c r="G926">
        <f>'IPTV CA'!A917</f>
        <v>0</v>
      </c>
      <c r="H926" t="str">
        <f>T('IPTV CA'!B917)</f>
        <v/>
      </c>
      <c r="I926" t="s">
        <v>4290</v>
      </c>
      <c r="J926" t="str">
        <f t="shared" si="118"/>
        <v/>
      </c>
      <c r="K926" t="str">
        <f t="shared" si="120"/>
        <v/>
      </c>
      <c r="L926" s="69"/>
      <c r="M926">
        <f>'TMIS US'!A917</f>
        <v>9783</v>
      </c>
      <c r="N926" t="str">
        <f>T('TMIS US'!B917)</f>
        <v>KIRO 7 Seattle</v>
      </c>
      <c r="O926" t="s">
        <v>4288</v>
      </c>
      <c r="P926" t="str">
        <f t="shared" si="119"/>
        <v/>
      </c>
      <c r="Q926" t="str">
        <f t="shared" si="121"/>
        <v/>
      </c>
      <c r="R926" s="69"/>
      <c r="S926">
        <f>'TMIS CA'!A917</f>
        <v>0</v>
      </c>
      <c r="T926" t="str">
        <f>T('TMIS CA'!B917)</f>
        <v/>
      </c>
      <c r="U926" t="s">
        <v>4290</v>
      </c>
      <c r="V926" t="str">
        <f t="shared" si="123"/>
        <v/>
      </c>
      <c r="W926" t="str">
        <f t="shared" si="122"/>
        <v/>
      </c>
    </row>
    <row r="927" spans="1:23">
      <c r="A927">
        <f>'IPTV US'!A918</f>
        <v>11184</v>
      </c>
      <c r="B927" t="str">
        <f>T('IPTV US'!B918)</f>
        <v>KIVI</v>
      </c>
      <c r="C927" t="s">
        <v>4288</v>
      </c>
      <c r="D927" t="str">
        <f t="shared" si="116"/>
        <v/>
      </c>
      <c r="E927" t="str">
        <f t="shared" si="117"/>
        <v/>
      </c>
      <c r="F927" s="68" t="s">
        <v>4289</v>
      </c>
      <c r="G927">
        <f>'IPTV CA'!A918</f>
        <v>0</v>
      </c>
      <c r="H927" t="str">
        <f>T('IPTV CA'!B918)</f>
        <v/>
      </c>
      <c r="I927" t="s">
        <v>4290</v>
      </c>
      <c r="J927" t="str">
        <f t="shared" si="118"/>
        <v/>
      </c>
      <c r="K927" t="str">
        <f t="shared" si="120"/>
        <v/>
      </c>
      <c r="L927" s="69"/>
      <c r="M927">
        <f>'TMIS US'!A918</f>
        <v>9784</v>
      </c>
      <c r="N927" t="str">
        <f>T('TMIS US'!B918)</f>
        <v>KIVI</v>
      </c>
      <c r="O927" t="s">
        <v>4288</v>
      </c>
      <c r="P927" t="str">
        <f t="shared" si="119"/>
        <v/>
      </c>
      <c r="Q927" t="str">
        <f t="shared" si="121"/>
        <v/>
      </c>
      <c r="R927" s="69"/>
      <c r="S927">
        <f>'TMIS CA'!A918</f>
        <v>0</v>
      </c>
      <c r="T927" t="str">
        <f>T('TMIS CA'!B918)</f>
        <v/>
      </c>
      <c r="U927" t="s">
        <v>4290</v>
      </c>
      <c r="V927" t="str">
        <f t="shared" si="123"/>
        <v/>
      </c>
      <c r="W927" t="str">
        <f t="shared" si="122"/>
        <v/>
      </c>
    </row>
    <row r="928" spans="1:23">
      <c r="A928">
        <f>'IPTV US'!A919</f>
        <v>11185</v>
      </c>
      <c r="B928" t="str">
        <f>T('IPTV US'!B919)</f>
        <v>KJRH</v>
      </c>
      <c r="C928" t="s">
        <v>4288</v>
      </c>
      <c r="D928" t="str">
        <f t="shared" si="116"/>
        <v/>
      </c>
      <c r="E928" t="str">
        <f t="shared" si="117"/>
        <v/>
      </c>
      <c r="F928" s="68" t="s">
        <v>4289</v>
      </c>
      <c r="G928">
        <f>'IPTV CA'!A919</f>
        <v>0</v>
      </c>
      <c r="H928" t="str">
        <f>T('IPTV CA'!B919)</f>
        <v/>
      </c>
      <c r="I928" t="s">
        <v>4290</v>
      </c>
      <c r="J928" t="str">
        <f t="shared" si="118"/>
        <v/>
      </c>
      <c r="K928" t="str">
        <f t="shared" si="120"/>
        <v/>
      </c>
      <c r="L928" s="69"/>
      <c r="M928">
        <f>'TMIS US'!A919</f>
        <v>9785</v>
      </c>
      <c r="N928" t="str">
        <f>T('TMIS US'!B919)</f>
        <v>KJRH</v>
      </c>
      <c r="O928" t="s">
        <v>4288</v>
      </c>
      <c r="P928" t="str">
        <f t="shared" si="119"/>
        <v/>
      </c>
      <c r="Q928" t="str">
        <f t="shared" si="121"/>
        <v/>
      </c>
      <c r="R928" s="69"/>
      <c r="S928">
        <f>'TMIS CA'!A919</f>
        <v>0</v>
      </c>
      <c r="T928" t="str">
        <f>T('TMIS CA'!B919)</f>
        <v/>
      </c>
      <c r="U928" t="s">
        <v>4290</v>
      </c>
      <c r="V928" t="str">
        <f t="shared" si="123"/>
        <v/>
      </c>
      <c r="W928" t="str">
        <f t="shared" si="122"/>
        <v/>
      </c>
    </row>
    <row r="929" spans="1:23">
      <c r="A929">
        <f>'IPTV US'!A920</f>
        <v>11186</v>
      </c>
      <c r="B929" t="str">
        <f>T('IPTV US'!B920)</f>
        <v>KMGH</v>
      </c>
      <c r="C929" t="s">
        <v>4288</v>
      </c>
      <c r="D929" t="str">
        <f t="shared" si="116"/>
        <v/>
      </c>
      <c r="E929" t="str">
        <f t="shared" si="117"/>
        <v/>
      </c>
      <c r="F929" s="68" t="s">
        <v>4289</v>
      </c>
      <c r="G929">
        <f>'IPTV CA'!A920</f>
        <v>0</v>
      </c>
      <c r="H929" t="str">
        <f>T('IPTV CA'!B920)</f>
        <v/>
      </c>
      <c r="I929" t="s">
        <v>4290</v>
      </c>
      <c r="J929" t="str">
        <f t="shared" si="118"/>
        <v/>
      </c>
      <c r="K929" t="str">
        <f t="shared" si="120"/>
        <v/>
      </c>
      <c r="L929" s="69"/>
      <c r="M929">
        <f>'TMIS US'!A920</f>
        <v>9786</v>
      </c>
      <c r="N929" t="str">
        <f>T('TMIS US'!B920)</f>
        <v>KMGH</v>
      </c>
      <c r="O929" t="s">
        <v>4288</v>
      </c>
      <c r="P929" t="str">
        <f t="shared" si="119"/>
        <v/>
      </c>
      <c r="Q929" t="str">
        <f t="shared" si="121"/>
        <v/>
      </c>
      <c r="R929" s="69"/>
      <c r="S929">
        <f>'TMIS CA'!A920</f>
        <v>0</v>
      </c>
      <c r="T929" t="str">
        <f>T('TMIS CA'!B920)</f>
        <v/>
      </c>
      <c r="U929" t="s">
        <v>4290</v>
      </c>
      <c r="V929" t="str">
        <f t="shared" si="123"/>
        <v/>
      </c>
      <c r="W929" t="str">
        <f t="shared" si="122"/>
        <v/>
      </c>
    </row>
    <row r="930" spans="1:23">
      <c r="A930">
        <f>'IPTV US'!A921</f>
        <v>11187</v>
      </c>
      <c r="B930" t="str">
        <f>T('IPTV US'!B921)</f>
        <v>KMTV</v>
      </c>
      <c r="C930" t="s">
        <v>4288</v>
      </c>
      <c r="D930" t="str">
        <f t="shared" si="116"/>
        <v/>
      </c>
      <c r="E930" t="str">
        <f t="shared" si="117"/>
        <v/>
      </c>
      <c r="F930" s="68" t="s">
        <v>4289</v>
      </c>
      <c r="G930">
        <f>'IPTV CA'!A921</f>
        <v>0</v>
      </c>
      <c r="H930" t="str">
        <f>T('IPTV CA'!B921)</f>
        <v/>
      </c>
      <c r="I930" t="s">
        <v>4290</v>
      </c>
      <c r="J930" t="str">
        <f t="shared" si="118"/>
        <v/>
      </c>
      <c r="K930" t="str">
        <f t="shared" si="120"/>
        <v/>
      </c>
      <c r="L930" s="69"/>
      <c r="M930">
        <f>'TMIS US'!A921</f>
        <v>9787</v>
      </c>
      <c r="N930" t="str">
        <f>T('TMIS US'!B921)</f>
        <v>KMTV</v>
      </c>
      <c r="O930" t="s">
        <v>4288</v>
      </c>
      <c r="P930" t="str">
        <f t="shared" si="119"/>
        <v/>
      </c>
      <c r="Q930" t="str">
        <f t="shared" si="121"/>
        <v/>
      </c>
      <c r="R930" s="69"/>
      <c r="S930">
        <f>'TMIS CA'!A921</f>
        <v>0</v>
      </c>
      <c r="T930" t="str">
        <f>T('TMIS CA'!B921)</f>
        <v/>
      </c>
      <c r="U930" t="s">
        <v>4290</v>
      </c>
      <c r="V930" t="str">
        <f t="shared" si="123"/>
        <v/>
      </c>
      <c r="W930" t="str">
        <f t="shared" si="122"/>
        <v/>
      </c>
    </row>
    <row r="931" spans="1:23">
      <c r="A931">
        <f>'IPTV US'!A922</f>
        <v>11188</v>
      </c>
      <c r="B931" t="str">
        <f>T('IPTV US'!B922)</f>
        <v>KNXV</v>
      </c>
      <c r="C931" t="s">
        <v>4288</v>
      </c>
      <c r="D931" t="str">
        <f t="shared" si="116"/>
        <v/>
      </c>
      <c r="E931" t="str">
        <f t="shared" si="117"/>
        <v/>
      </c>
      <c r="F931" s="68" t="s">
        <v>4289</v>
      </c>
      <c r="G931">
        <f>'IPTV CA'!A922</f>
        <v>0</v>
      </c>
      <c r="H931" t="str">
        <f>T('IPTV CA'!B922)</f>
        <v/>
      </c>
      <c r="I931" t="s">
        <v>4290</v>
      </c>
      <c r="J931" t="str">
        <f t="shared" si="118"/>
        <v/>
      </c>
      <c r="K931" t="str">
        <f t="shared" si="120"/>
        <v/>
      </c>
      <c r="L931" s="69"/>
      <c r="M931">
        <f>'TMIS US'!A922</f>
        <v>9788</v>
      </c>
      <c r="N931" t="str">
        <f>T('TMIS US'!B922)</f>
        <v>KNXV</v>
      </c>
      <c r="O931" t="s">
        <v>4288</v>
      </c>
      <c r="P931" t="str">
        <f t="shared" si="119"/>
        <v/>
      </c>
      <c r="Q931" t="str">
        <f t="shared" si="121"/>
        <v/>
      </c>
      <c r="R931" s="69"/>
      <c r="S931">
        <f>'TMIS CA'!A922</f>
        <v>0</v>
      </c>
      <c r="T931" t="str">
        <f>T('TMIS CA'!B922)</f>
        <v/>
      </c>
      <c r="U931" t="s">
        <v>4290</v>
      </c>
      <c r="V931" t="str">
        <f t="shared" si="123"/>
        <v/>
      </c>
      <c r="W931" t="str">
        <f t="shared" si="122"/>
        <v/>
      </c>
    </row>
    <row r="932" spans="1:23">
      <c r="A932">
        <f>'IPTV US'!A923</f>
        <v>11189</v>
      </c>
      <c r="B932" t="str">
        <f>T('IPTV US'!B923)</f>
        <v>KOAA</v>
      </c>
      <c r="C932" t="s">
        <v>4288</v>
      </c>
      <c r="D932" t="str">
        <f t="shared" si="116"/>
        <v/>
      </c>
      <c r="E932" t="str">
        <f t="shared" si="117"/>
        <v/>
      </c>
      <c r="F932" s="68" t="s">
        <v>4289</v>
      </c>
      <c r="G932">
        <f>'IPTV CA'!A923</f>
        <v>0</v>
      </c>
      <c r="H932" t="str">
        <f>T('IPTV CA'!B923)</f>
        <v/>
      </c>
      <c r="I932" t="s">
        <v>4290</v>
      </c>
      <c r="J932" t="str">
        <f t="shared" si="118"/>
        <v/>
      </c>
      <c r="K932" t="str">
        <f t="shared" si="120"/>
        <v/>
      </c>
      <c r="L932" s="69"/>
      <c r="M932">
        <f>'TMIS US'!A923</f>
        <v>9789</v>
      </c>
      <c r="N932" t="str">
        <f>T('TMIS US'!B923)</f>
        <v>KOAA</v>
      </c>
      <c r="O932" t="s">
        <v>4288</v>
      </c>
      <c r="P932" t="str">
        <f t="shared" si="119"/>
        <v/>
      </c>
      <c r="Q932" t="str">
        <f t="shared" si="121"/>
        <v/>
      </c>
      <c r="R932" s="69"/>
      <c r="S932">
        <f>'TMIS CA'!A923</f>
        <v>0</v>
      </c>
      <c r="T932" t="str">
        <f>T('TMIS CA'!B923)</f>
        <v/>
      </c>
      <c r="U932" t="s">
        <v>4290</v>
      </c>
      <c r="V932" t="str">
        <f t="shared" si="123"/>
        <v/>
      </c>
      <c r="W932" t="str">
        <f t="shared" si="122"/>
        <v/>
      </c>
    </row>
    <row r="933" spans="1:23">
      <c r="A933">
        <f>'IPTV US'!A924</f>
        <v>11190</v>
      </c>
      <c r="B933" t="str">
        <f>T('IPTV US'!B924)</f>
        <v>KPAX</v>
      </c>
      <c r="C933" t="s">
        <v>4288</v>
      </c>
      <c r="D933" t="str">
        <f t="shared" si="116"/>
        <v/>
      </c>
      <c r="E933" t="str">
        <f t="shared" si="117"/>
        <v/>
      </c>
      <c r="F933" s="68" t="s">
        <v>4289</v>
      </c>
      <c r="G933">
        <f>'IPTV CA'!A924</f>
        <v>0</v>
      </c>
      <c r="H933" t="str">
        <f>T('IPTV CA'!B924)</f>
        <v/>
      </c>
      <c r="I933" t="s">
        <v>4290</v>
      </c>
      <c r="J933" t="str">
        <f t="shared" si="118"/>
        <v/>
      </c>
      <c r="K933" t="str">
        <f t="shared" si="120"/>
        <v/>
      </c>
      <c r="L933" s="69"/>
      <c r="M933">
        <f>'TMIS US'!A924</f>
        <v>9790</v>
      </c>
      <c r="N933" t="str">
        <f>T('TMIS US'!B924)</f>
        <v>KPAX</v>
      </c>
      <c r="O933" t="s">
        <v>4288</v>
      </c>
      <c r="P933" t="str">
        <f t="shared" si="119"/>
        <v/>
      </c>
      <c r="Q933" t="str">
        <f t="shared" si="121"/>
        <v/>
      </c>
      <c r="R933" s="69"/>
      <c r="S933">
        <f>'TMIS CA'!A924</f>
        <v>0</v>
      </c>
      <c r="T933" t="str">
        <f>T('TMIS CA'!B924)</f>
        <v/>
      </c>
      <c r="U933" t="s">
        <v>4290</v>
      </c>
      <c r="V933" t="str">
        <f t="shared" si="123"/>
        <v/>
      </c>
      <c r="W933" t="str">
        <f t="shared" si="122"/>
        <v/>
      </c>
    </row>
    <row r="934" spans="1:23">
      <c r="A934">
        <f>'IPTV US'!A925</f>
        <v>11191</v>
      </c>
      <c r="B934" t="str">
        <f>T('IPTV US'!B925)</f>
        <v>KRIS</v>
      </c>
      <c r="C934" t="s">
        <v>4288</v>
      </c>
      <c r="D934" t="str">
        <f t="shared" si="116"/>
        <v/>
      </c>
      <c r="E934" t="str">
        <f t="shared" si="117"/>
        <v/>
      </c>
      <c r="F934" s="68" t="s">
        <v>4289</v>
      </c>
      <c r="G934">
        <f>'IPTV CA'!A925</f>
        <v>0</v>
      </c>
      <c r="H934" t="str">
        <f>T('IPTV CA'!B925)</f>
        <v/>
      </c>
      <c r="I934" t="s">
        <v>4290</v>
      </c>
      <c r="J934" t="str">
        <f t="shared" si="118"/>
        <v/>
      </c>
      <c r="K934" t="str">
        <f t="shared" si="120"/>
        <v/>
      </c>
      <c r="L934" s="69"/>
      <c r="M934">
        <f>'TMIS US'!A925</f>
        <v>9791</v>
      </c>
      <c r="N934" t="str">
        <f>T('TMIS US'!B925)</f>
        <v>KRIS</v>
      </c>
      <c r="O934" t="s">
        <v>4288</v>
      </c>
      <c r="P934" t="str">
        <f t="shared" si="119"/>
        <v/>
      </c>
      <c r="Q934" t="str">
        <f t="shared" si="121"/>
        <v/>
      </c>
      <c r="R934" s="69"/>
      <c r="S934">
        <f>'TMIS CA'!A925</f>
        <v>0</v>
      </c>
      <c r="T934" t="str">
        <f>T('TMIS CA'!B925)</f>
        <v/>
      </c>
      <c r="U934" t="s">
        <v>4290</v>
      </c>
      <c r="V934" t="str">
        <f t="shared" si="123"/>
        <v/>
      </c>
      <c r="W934" t="str">
        <f t="shared" si="122"/>
        <v/>
      </c>
    </row>
    <row r="935" spans="1:23">
      <c r="A935">
        <f>'IPTV US'!A926</f>
        <v>11192</v>
      </c>
      <c r="B935" t="str">
        <f>T('IPTV US'!B926)</f>
        <v>KRTV</v>
      </c>
      <c r="C935" t="s">
        <v>4288</v>
      </c>
      <c r="D935" t="str">
        <f t="shared" si="116"/>
        <v/>
      </c>
      <c r="E935" t="str">
        <f t="shared" si="117"/>
        <v/>
      </c>
      <c r="F935" s="68" t="s">
        <v>4289</v>
      </c>
      <c r="G935">
        <f>'IPTV CA'!A926</f>
        <v>0</v>
      </c>
      <c r="H935" t="str">
        <f>T('IPTV CA'!B926)</f>
        <v/>
      </c>
      <c r="I935" t="s">
        <v>4290</v>
      </c>
      <c r="J935" t="str">
        <f t="shared" si="118"/>
        <v/>
      </c>
      <c r="K935" t="str">
        <f t="shared" si="120"/>
        <v/>
      </c>
      <c r="L935" s="69"/>
      <c r="M935">
        <f>'TMIS US'!A926</f>
        <v>9792</v>
      </c>
      <c r="N935" t="str">
        <f>T('TMIS US'!B926)</f>
        <v>KRTV</v>
      </c>
      <c r="O935" t="s">
        <v>4288</v>
      </c>
      <c r="P935" t="str">
        <f t="shared" si="119"/>
        <v/>
      </c>
      <c r="Q935" t="str">
        <f t="shared" si="121"/>
        <v/>
      </c>
      <c r="R935" s="69"/>
      <c r="S935">
        <f>'TMIS CA'!A926</f>
        <v>0</v>
      </c>
      <c r="T935" t="str">
        <f>T('TMIS CA'!B926)</f>
        <v/>
      </c>
      <c r="U935" t="s">
        <v>4290</v>
      </c>
      <c r="V935" t="str">
        <f t="shared" si="123"/>
        <v/>
      </c>
      <c r="W935" t="str">
        <f t="shared" si="122"/>
        <v/>
      </c>
    </row>
    <row r="936" spans="1:23">
      <c r="A936">
        <f>'IPTV US'!A927</f>
        <v>11193</v>
      </c>
      <c r="B936" t="str">
        <f>T('IPTV US'!B927)</f>
        <v>KSBY</v>
      </c>
      <c r="C936" t="s">
        <v>4288</v>
      </c>
      <c r="D936" t="str">
        <f t="shared" si="116"/>
        <v/>
      </c>
      <c r="E936" t="str">
        <f t="shared" si="117"/>
        <v/>
      </c>
      <c r="F936" s="68" t="s">
        <v>4289</v>
      </c>
      <c r="G936">
        <f>'IPTV CA'!A927</f>
        <v>0</v>
      </c>
      <c r="H936" t="str">
        <f>T('IPTV CA'!B927)</f>
        <v/>
      </c>
      <c r="I936" t="s">
        <v>4290</v>
      </c>
      <c r="J936" t="str">
        <f t="shared" si="118"/>
        <v/>
      </c>
      <c r="K936" t="str">
        <f t="shared" si="120"/>
        <v/>
      </c>
      <c r="L936" s="69"/>
      <c r="M936">
        <f>'TMIS US'!A927</f>
        <v>9793</v>
      </c>
      <c r="N936" t="str">
        <f>T('TMIS US'!B927)</f>
        <v>KSBY</v>
      </c>
      <c r="O936" t="s">
        <v>4288</v>
      </c>
      <c r="P936" t="str">
        <f t="shared" si="119"/>
        <v/>
      </c>
      <c r="Q936" t="str">
        <f t="shared" si="121"/>
        <v/>
      </c>
      <c r="R936" s="69"/>
      <c r="S936">
        <f>'TMIS CA'!A927</f>
        <v>0</v>
      </c>
      <c r="T936" t="str">
        <f>T('TMIS CA'!B927)</f>
        <v/>
      </c>
      <c r="U936" t="s">
        <v>4290</v>
      </c>
      <c r="V936" t="str">
        <f t="shared" si="123"/>
        <v/>
      </c>
      <c r="W936" t="str">
        <f t="shared" si="122"/>
        <v/>
      </c>
    </row>
    <row r="937" spans="1:23">
      <c r="A937">
        <f>'IPTV US'!A928</f>
        <v>11194</v>
      </c>
      <c r="B937" t="str">
        <f>T('IPTV US'!B928)</f>
        <v>KSHB</v>
      </c>
      <c r="C937" t="s">
        <v>4288</v>
      </c>
      <c r="D937" t="str">
        <f t="shared" si="116"/>
        <v/>
      </c>
      <c r="E937" t="str">
        <f t="shared" si="117"/>
        <v/>
      </c>
      <c r="F937" s="68" t="s">
        <v>4289</v>
      </c>
      <c r="G937">
        <f>'IPTV CA'!A928</f>
        <v>0</v>
      </c>
      <c r="H937" t="str">
        <f>T('IPTV CA'!B928)</f>
        <v/>
      </c>
      <c r="I937" t="s">
        <v>4290</v>
      </c>
      <c r="J937" t="str">
        <f t="shared" si="118"/>
        <v/>
      </c>
      <c r="K937" t="str">
        <f t="shared" si="120"/>
        <v/>
      </c>
      <c r="L937" s="69"/>
      <c r="M937">
        <f>'TMIS US'!A928</f>
        <v>9794</v>
      </c>
      <c r="N937" t="str">
        <f>T('TMIS US'!B928)</f>
        <v>KSHB</v>
      </c>
      <c r="O937" t="s">
        <v>4288</v>
      </c>
      <c r="P937" t="str">
        <f t="shared" si="119"/>
        <v/>
      </c>
      <c r="Q937" t="str">
        <f t="shared" si="121"/>
        <v/>
      </c>
      <c r="R937" s="69"/>
      <c r="S937">
        <f>'TMIS CA'!A928</f>
        <v>0</v>
      </c>
      <c r="T937" t="str">
        <f>T('TMIS CA'!B928)</f>
        <v/>
      </c>
      <c r="U937" t="s">
        <v>4290</v>
      </c>
      <c r="V937" t="str">
        <f t="shared" si="123"/>
        <v/>
      </c>
      <c r="W937" t="str">
        <f t="shared" si="122"/>
        <v/>
      </c>
    </row>
    <row r="938" spans="1:23">
      <c r="A938">
        <f>'IPTV US'!A929</f>
        <v>11195</v>
      </c>
      <c r="B938" t="str">
        <f>T('IPTV US'!B929)</f>
        <v>KSTU</v>
      </c>
      <c r="C938" t="s">
        <v>4288</v>
      </c>
      <c r="D938" t="str">
        <f t="shared" si="116"/>
        <v/>
      </c>
      <c r="E938" t="str">
        <f t="shared" si="117"/>
        <v/>
      </c>
      <c r="F938" s="68" t="s">
        <v>4289</v>
      </c>
      <c r="G938">
        <f>'IPTV CA'!A929</f>
        <v>0</v>
      </c>
      <c r="H938" t="str">
        <f>T('IPTV CA'!B929)</f>
        <v/>
      </c>
      <c r="I938" t="s">
        <v>4290</v>
      </c>
      <c r="J938" t="str">
        <f t="shared" si="118"/>
        <v/>
      </c>
      <c r="K938" t="str">
        <f t="shared" si="120"/>
        <v/>
      </c>
      <c r="L938" s="69"/>
      <c r="M938">
        <f>'TMIS US'!A929</f>
        <v>9795</v>
      </c>
      <c r="N938" t="str">
        <f>T('TMIS US'!B929)</f>
        <v>KSTU</v>
      </c>
      <c r="O938" t="s">
        <v>4288</v>
      </c>
      <c r="P938" t="str">
        <f t="shared" si="119"/>
        <v/>
      </c>
      <c r="Q938" t="str">
        <f t="shared" si="121"/>
        <v/>
      </c>
      <c r="R938" s="69"/>
      <c r="S938">
        <f>'TMIS CA'!A929</f>
        <v>0</v>
      </c>
      <c r="T938" t="str">
        <f>T('TMIS CA'!B929)</f>
        <v/>
      </c>
      <c r="U938" t="s">
        <v>4290</v>
      </c>
      <c r="V938" t="str">
        <f t="shared" si="123"/>
        <v/>
      </c>
      <c r="W938" t="str">
        <f t="shared" si="122"/>
        <v/>
      </c>
    </row>
    <row r="939" spans="1:23">
      <c r="A939">
        <f>'IPTV US'!A930</f>
        <v>11196</v>
      </c>
      <c r="B939" t="str">
        <f>T('IPTV US'!B930)</f>
        <v>KTNV</v>
      </c>
      <c r="C939" t="s">
        <v>4288</v>
      </c>
      <c r="D939" t="str">
        <f t="shared" si="116"/>
        <v/>
      </c>
      <c r="E939" t="str">
        <f t="shared" si="117"/>
        <v/>
      </c>
      <c r="F939" s="68" t="s">
        <v>4289</v>
      </c>
      <c r="G939">
        <f>'IPTV CA'!A930</f>
        <v>0</v>
      </c>
      <c r="H939" t="str">
        <f>T('IPTV CA'!B930)</f>
        <v/>
      </c>
      <c r="I939" t="s">
        <v>4290</v>
      </c>
      <c r="J939" t="str">
        <f t="shared" si="118"/>
        <v/>
      </c>
      <c r="K939" t="str">
        <f t="shared" si="120"/>
        <v/>
      </c>
      <c r="L939" s="69"/>
      <c r="M939">
        <f>'TMIS US'!A930</f>
        <v>9796</v>
      </c>
      <c r="N939" t="str">
        <f>T('TMIS US'!B930)</f>
        <v>KTNV</v>
      </c>
      <c r="O939" t="s">
        <v>4288</v>
      </c>
      <c r="P939" t="str">
        <f t="shared" si="119"/>
        <v/>
      </c>
      <c r="Q939" t="str">
        <f t="shared" si="121"/>
        <v/>
      </c>
      <c r="R939" s="69"/>
      <c r="S939">
        <f>'TMIS CA'!A930</f>
        <v>0</v>
      </c>
      <c r="T939" t="str">
        <f>T('TMIS CA'!B930)</f>
        <v/>
      </c>
      <c r="U939" t="s">
        <v>4290</v>
      </c>
      <c r="V939" t="str">
        <f t="shared" si="123"/>
        <v/>
      </c>
      <c r="W939" t="str">
        <f t="shared" si="122"/>
        <v/>
      </c>
    </row>
    <row r="940" spans="1:23">
      <c r="A940">
        <f>'IPTV US'!A931</f>
        <v>11197</v>
      </c>
      <c r="B940" t="str">
        <f>T('IPTV US'!B931)</f>
        <v>KTVH</v>
      </c>
      <c r="C940" t="s">
        <v>4288</v>
      </c>
      <c r="D940" t="str">
        <f t="shared" si="116"/>
        <v/>
      </c>
      <c r="E940" t="str">
        <f t="shared" si="117"/>
        <v/>
      </c>
      <c r="F940" s="68" t="s">
        <v>4289</v>
      </c>
      <c r="G940">
        <f>'IPTV CA'!A931</f>
        <v>0</v>
      </c>
      <c r="H940" t="str">
        <f>T('IPTV CA'!B931)</f>
        <v/>
      </c>
      <c r="I940" t="s">
        <v>4290</v>
      </c>
      <c r="J940" t="str">
        <f t="shared" si="118"/>
        <v/>
      </c>
      <c r="K940" t="str">
        <f t="shared" si="120"/>
        <v/>
      </c>
      <c r="L940" s="69"/>
      <c r="M940">
        <f>'TMIS US'!A931</f>
        <v>9797</v>
      </c>
      <c r="N940" t="str">
        <f>T('TMIS US'!B931)</f>
        <v>KTVH</v>
      </c>
      <c r="O940" t="s">
        <v>4288</v>
      </c>
      <c r="P940" t="str">
        <f t="shared" si="119"/>
        <v/>
      </c>
      <c r="Q940" t="str">
        <f t="shared" si="121"/>
        <v/>
      </c>
      <c r="R940" s="69"/>
      <c r="S940">
        <f>'TMIS CA'!A931</f>
        <v>0</v>
      </c>
      <c r="T940" t="str">
        <f>T('TMIS CA'!B931)</f>
        <v/>
      </c>
      <c r="U940" t="s">
        <v>4290</v>
      </c>
      <c r="V940" t="str">
        <f t="shared" si="123"/>
        <v/>
      </c>
      <c r="W940" t="str">
        <f t="shared" si="122"/>
        <v/>
      </c>
    </row>
    <row r="941" spans="1:23">
      <c r="A941">
        <f>'IPTV US'!A932</f>
        <v>11198</v>
      </c>
      <c r="B941" t="str">
        <f>T('IPTV US'!B932)</f>
        <v>KTVQ</v>
      </c>
      <c r="C941" t="s">
        <v>4288</v>
      </c>
      <c r="D941" t="str">
        <f t="shared" si="116"/>
        <v/>
      </c>
      <c r="E941" t="str">
        <f t="shared" si="117"/>
        <v/>
      </c>
      <c r="F941" s="68" t="s">
        <v>4289</v>
      </c>
      <c r="G941">
        <f>'IPTV CA'!A932</f>
        <v>0</v>
      </c>
      <c r="H941" t="str">
        <f>T('IPTV CA'!B932)</f>
        <v/>
      </c>
      <c r="I941" t="s">
        <v>4290</v>
      </c>
      <c r="J941" t="str">
        <f t="shared" si="118"/>
        <v/>
      </c>
      <c r="K941" t="str">
        <f t="shared" si="120"/>
        <v/>
      </c>
      <c r="L941" s="69"/>
      <c r="M941">
        <f>'TMIS US'!A932</f>
        <v>9798</v>
      </c>
      <c r="N941" t="str">
        <f>T('TMIS US'!B932)</f>
        <v>KTVQ</v>
      </c>
      <c r="O941" t="s">
        <v>4288</v>
      </c>
      <c r="P941" t="str">
        <f t="shared" si="119"/>
        <v/>
      </c>
      <c r="Q941" t="str">
        <f t="shared" si="121"/>
        <v/>
      </c>
      <c r="R941" s="69"/>
      <c r="S941">
        <f>'TMIS CA'!A932</f>
        <v>0</v>
      </c>
      <c r="T941" t="str">
        <f>T('TMIS CA'!B932)</f>
        <v/>
      </c>
      <c r="U941" t="s">
        <v>4290</v>
      </c>
      <c r="V941" t="str">
        <f t="shared" si="123"/>
        <v/>
      </c>
      <c r="W941" t="str">
        <f t="shared" si="122"/>
        <v/>
      </c>
    </row>
    <row r="942" spans="1:23">
      <c r="A942">
        <f>'IPTV US'!A933</f>
        <v>11199</v>
      </c>
      <c r="B942" t="str">
        <f>T('IPTV US'!B933)</f>
        <v>KXXV</v>
      </c>
      <c r="C942" t="s">
        <v>4288</v>
      </c>
      <c r="D942" t="str">
        <f t="shared" si="116"/>
        <v/>
      </c>
      <c r="E942" t="str">
        <f t="shared" si="117"/>
        <v/>
      </c>
      <c r="F942" s="68" t="s">
        <v>4289</v>
      </c>
      <c r="G942">
        <f>'IPTV CA'!A933</f>
        <v>0</v>
      </c>
      <c r="H942" t="str">
        <f>T('IPTV CA'!B933)</f>
        <v/>
      </c>
      <c r="I942" t="s">
        <v>4290</v>
      </c>
      <c r="J942" t="str">
        <f t="shared" si="118"/>
        <v/>
      </c>
      <c r="K942" t="str">
        <f t="shared" si="120"/>
        <v/>
      </c>
      <c r="L942" s="69"/>
      <c r="M942">
        <f>'TMIS US'!A933</f>
        <v>9799</v>
      </c>
      <c r="N942" t="str">
        <f>T('TMIS US'!B933)</f>
        <v>KXXV</v>
      </c>
      <c r="O942" t="s">
        <v>4288</v>
      </c>
      <c r="P942" t="str">
        <f t="shared" si="119"/>
        <v/>
      </c>
      <c r="Q942" t="str">
        <f t="shared" si="121"/>
        <v/>
      </c>
      <c r="R942" s="69"/>
      <c r="S942">
        <f>'TMIS CA'!A933</f>
        <v>0</v>
      </c>
      <c r="T942" t="str">
        <f>T('TMIS CA'!B933)</f>
        <v/>
      </c>
      <c r="U942" t="s">
        <v>4290</v>
      </c>
      <c r="V942" t="str">
        <f t="shared" si="123"/>
        <v/>
      </c>
      <c r="W942" t="str">
        <f t="shared" si="122"/>
        <v/>
      </c>
    </row>
    <row r="943" spans="1:23">
      <c r="A943">
        <f>'IPTV US'!A934</f>
        <v>11200</v>
      </c>
      <c r="B943" t="str">
        <f>T('IPTV US'!B934)</f>
        <v>NBC 10 Boston News</v>
      </c>
      <c r="C943" t="s">
        <v>4288</v>
      </c>
      <c r="D943" t="str">
        <f t="shared" si="116"/>
        <v/>
      </c>
      <c r="E943" t="str">
        <f t="shared" si="117"/>
        <v/>
      </c>
      <c r="F943" s="68" t="s">
        <v>4289</v>
      </c>
      <c r="G943">
        <f>'IPTV CA'!A934</f>
        <v>0</v>
      </c>
      <c r="H943" t="str">
        <f>T('IPTV CA'!B934)</f>
        <v/>
      </c>
      <c r="I943" t="s">
        <v>4290</v>
      </c>
      <c r="J943" t="str">
        <f t="shared" si="118"/>
        <v/>
      </c>
      <c r="K943" t="str">
        <f t="shared" si="120"/>
        <v/>
      </c>
      <c r="L943" s="69"/>
      <c r="M943">
        <f>'TMIS US'!A934</f>
        <v>9800</v>
      </c>
      <c r="N943" t="str">
        <f>T('TMIS US'!B934)</f>
        <v>NBC 10 Boston News</v>
      </c>
      <c r="O943" t="s">
        <v>4288</v>
      </c>
      <c r="P943" t="str">
        <f t="shared" si="119"/>
        <v/>
      </c>
      <c r="Q943" t="str">
        <f t="shared" si="121"/>
        <v/>
      </c>
      <c r="R943" s="69"/>
      <c r="S943">
        <f>'TMIS CA'!A934</f>
        <v>0</v>
      </c>
      <c r="T943" t="str">
        <f>T('TMIS CA'!B934)</f>
        <v/>
      </c>
      <c r="U943" t="s">
        <v>4290</v>
      </c>
      <c r="V943" t="str">
        <f t="shared" si="123"/>
        <v/>
      </c>
      <c r="W943" t="str">
        <f t="shared" si="122"/>
        <v/>
      </c>
    </row>
    <row r="944" spans="1:23">
      <c r="A944">
        <f>'IPTV US'!A935</f>
        <v>11201</v>
      </c>
      <c r="B944" t="str">
        <f>T('IPTV US'!B935)</f>
        <v>NBC 10 Philadelphia News</v>
      </c>
      <c r="C944" t="s">
        <v>4288</v>
      </c>
      <c r="D944" t="str">
        <f t="shared" si="116"/>
        <v/>
      </c>
      <c r="E944" t="str">
        <f t="shared" si="117"/>
        <v/>
      </c>
      <c r="F944" s="68" t="s">
        <v>4289</v>
      </c>
      <c r="G944">
        <f>'IPTV CA'!A935</f>
        <v>0</v>
      </c>
      <c r="H944" t="str">
        <f>T('IPTV CA'!B935)</f>
        <v/>
      </c>
      <c r="I944" t="s">
        <v>4290</v>
      </c>
      <c r="J944" t="str">
        <f t="shared" si="118"/>
        <v/>
      </c>
      <c r="K944" t="str">
        <f t="shared" si="120"/>
        <v/>
      </c>
      <c r="L944" s="69"/>
      <c r="M944">
        <f>'TMIS US'!A935</f>
        <v>9801</v>
      </c>
      <c r="N944" t="str">
        <f>T('TMIS US'!B935)</f>
        <v>NBC 10 Philadelphia News</v>
      </c>
      <c r="O944" t="s">
        <v>4288</v>
      </c>
      <c r="P944" t="str">
        <f t="shared" si="119"/>
        <v/>
      </c>
      <c r="Q944" t="str">
        <f t="shared" si="121"/>
        <v/>
      </c>
      <c r="R944" s="69"/>
      <c r="S944">
        <f>'TMIS CA'!A935</f>
        <v>0</v>
      </c>
      <c r="T944" t="str">
        <f>T('TMIS CA'!B935)</f>
        <v/>
      </c>
      <c r="U944" t="s">
        <v>4290</v>
      </c>
      <c r="V944" t="str">
        <f t="shared" si="123"/>
        <v/>
      </c>
      <c r="W944" t="str">
        <f t="shared" si="122"/>
        <v/>
      </c>
    </row>
    <row r="945" spans="1:23">
      <c r="A945">
        <f>'IPTV US'!A936</f>
        <v>11202</v>
      </c>
      <c r="B945" t="str">
        <f>T('IPTV US'!B936)</f>
        <v>NBC 4 Los Angeles News</v>
      </c>
      <c r="C945" t="s">
        <v>4288</v>
      </c>
      <c r="D945" t="str">
        <f t="shared" si="116"/>
        <v/>
      </c>
      <c r="E945" t="str">
        <f t="shared" si="117"/>
        <v/>
      </c>
      <c r="F945" s="68" t="s">
        <v>4289</v>
      </c>
      <c r="G945">
        <f>'IPTV CA'!A936</f>
        <v>0</v>
      </c>
      <c r="H945" t="str">
        <f>T('IPTV CA'!B936)</f>
        <v/>
      </c>
      <c r="I945" t="s">
        <v>4290</v>
      </c>
      <c r="J945" t="str">
        <f t="shared" si="118"/>
        <v/>
      </c>
      <c r="K945" t="str">
        <f t="shared" si="120"/>
        <v/>
      </c>
      <c r="L945" s="69"/>
      <c r="M945">
        <f>'TMIS US'!A936</f>
        <v>9802</v>
      </c>
      <c r="N945" t="str">
        <f>T('TMIS US'!B936)</f>
        <v>NBC 4 Los Angeles News</v>
      </c>
      <c r="O945" t="s">
        <v>4288</v>
      </c>
      <c r="P945" t="str">
        <f t="shared" si="119"/>
        <v/>
      </c>
      <c r="Q945" t="str">
        <f t="shared" si="121"/>
        <v/>
      </c>
      <c r="R945" s="69"/>
      <c r="S945">
        <f>'TMIS CA'!A936</f>
        <v>0</v>
      </c>
      <c r="T945" t="str">
        <f>T('TMIS CA'!B936)</f>
        <v/>
      </c>
      <c r="U945" t="s">
        <v>4290</v>
      </c>
      <c r="V945" t="str">
        <f t="shared" si="123"/>
        <v/>
      </c>
      <c r="W945" t="str">
        <f t="shared" si="122"/>
        <v/>
      </c>
    </row>
    <row r="946" spans="1:23">
      <c r="A946">
        <f>'IPTV US'!A937</f>
        <v>11203</v>
      </c>
      <c r="B946" t="str">
        <f>T('IPTV US'!B937)</f>
        <v>NBC 4 New York News</v>
      </c>
      <c r="C946" t="s">
        <v>4288</v>
      </c>
      <c r="D946" t="str">
        <f t="shared" si="116"/>
        <v/>
      </c>
      <c r="E946" t="str">
        <f t="shared" si="117"/>
        <v/>
      </c>
      <c r="F946" s="68" t="s">
        <v>4289</v>
      </c>
      <c r="G946">
        <f>'IPTV CA'!A937</f>
        <v>0</v>
      </c>
      <c r="H946" t="str">
        <f>T('IPTV CA'!B937)</f>
        <v/>
      </c>
      <c r="I946" t="s">
        <v>4290</v>
      </c>
      <c r="J946" t="str">
        <f t="shared" si="118"/>
        <v/>
      </c>
      <c r="K946" t="str">
        <f t="shared" si="120"/>
        <v/>
      </c>
      <c r="L946" s="69"/>
      <c r="M946">
        <f>'TMIS US'!A937</f>
        <v>9803</v>
      </c>
      <c r="N946" t="str">
        <f>T('TMIS US'!B937)</f>
        <v>NBC 4 New York News</v>
      </c>
      <c r="O946" t="s">
        <v>4288</v>
      </c>
      <c r="P946" t="str">
        <f t="shared" si="119"/>
        <v/>
      </c>
      <c r="Q946" t="str">
        <f t="shared" si="121"/>
        <v/>
      </c>
      <c r="R946" s="69"/>
      <c r="S946">
        <f>'TMIS CA'!A937</f>
        <v>0</v>
      </c>
      <c r="T946" t="str">
        <f>T('TMIS CA'!B937)</f>
        <v/>
      </c>
      <c r="U946" t="s">
        <v>4290</v>
      </c>
      <c r="V946" t="str">
        <f t="shared" si="123"/>
        <v/>
      </c>
      <c r="W946" t="str">
        <f t="shared" si="122"/>
        <v/>
      </c>
    </row>
    <row r="947" spans="1:23">
      <c r="A947">
        <f>'IPTV US'!A938</f>
        <v>11204</v>
      </c>
      <c r="B947" t="str">
        <f>T('IPTV US'!B938)</f>
        <v>NBC 4 Washington News</v>
      </c>
      <c r="C947" t="s">
        <v>4288</v>
      </c>
      <c r="D947" t="str">
        <f t="shared" si="116"/>
        <v/>
      </c>
      <c r="E947" t="str">
        <f t="shared" si="117"/>
        <v/>
      </c>
      <c r="F947" s="68" t="s">
        <v>4289</v>
      </c>
      <c r="G947">
        <f>'IPTV CA'!A938</f>
        <v>0</v>
      </c>
      <c r="H947" t="str">
        <f>T('IPTV CA'!B938)</f>
        <v/>
      </c>
      <c r="I947" t="s">
        <v>4290</v>
      </c>
      <c r="J947" t="str">
        <f t="shared" si="118"/>
        <v/>
      </c>
      <c r="K947" t="str">
        <f t="shared" si="120"/>
        <v/>
      </c>
      <c r="L947" s="69"/>
      <c r="M947">
        <f>'TMIS US'!A938</f>
        <v>9804</v>
      </c>
      <c r="N947" t="str">
        <f>T('TMIS US'!B938)</f>
        <v>NBC 4 Washington News</v>
      </c>
      <c r="O947" t="s">
        <v>4288</v>
      </c>
      <c r="P947" t="str">
        <f t="shared" si="119"/>
        <v/>
      </c>
      <c r="Q947" t="str">
        <f t="shared" si="121"/>
        <v/>
      </c>
      <c r="R947" s="69"/>
      <c r="S947">
        <f>'TMIS CA'!A938</f>
        <v>0</v>
      </c>
      <c r="T947" t="str">
        <f>T('TMIS CA'!B938)</f>
        <v/>
      </c>
      <c r="U947" t="s">
        <v>4290</v>
      </c>
      <c r="V947" t="str">
        <f t="shared" si="123"/>
        <v/>
      </c>
      <c r="W947" t="str">
        <f t="shared" si="122"/>
        <v/>
      </c>
    </row>
    <row r="948" spans="1:23">
      <c r="A948">
        <f>'IPTV US'!A939</f>
        <v>11205</v>
      </c>
      <c r="B948" t="str">
        <f>T('IPTV US'!B939)</f>
        <v>NBC 5 Chicago News</v>
      </c>
      <c r="C948" t="s">
        <v>4288</v>
      </c>
      <c r="D948" t="str">
        <f t="shared" si="116"/>
        <v/>
      </c>
      <c r="E948" t="str">
        <f t="shared" si="117"/>
        <v/>
      </c>
      <c r="F948" s="68" t="s">
        <v>4289</v>
      </c>
      <c r="G948">
        <f>'IPTV CA'!A939</f>
        <v>0</v>
      </c>
      <c r="H948" t="str">
        <f>T('IPTV CA'!B939)</f>
        <v/>
      </c>
      <c r="I948" t="s">
        <v>4290</v>
      </c>
      <c r="J948" t="str">
        <f t="shared" si="118"/>
        <v/>
      </c>
      <c r="K948" t="str">
        <f t="shared" si="120"/>
        <v/>
      </c>
      <c r="L948" s="69"/>
      <c r="M948">
        <f>'TMIS US'!A939</f>
        <v>9805</v>
      </c>
      <c r="N948" t="str">
        <f>T('TMIS US'!B939)</f>
        <v>NBC 5 Chicago News</v>
      </c>
      <c r="O948" t="s">
        <v>4288</v>
      </c>
      <c r="P948" t="str">
        <f t="shared" si="119"/>
        <v/>
      </c>
      <c r="Q948" t="str">
        <f t="shared" si="121"/>
        <v/>
      </c>
      <c r="R948" s="69"/>
      <c r="S948">
        <f>'TMIS CA'!A939</f>
        <v>0</v>
      </c>
      <c r="T948" t="str">
        <f>T('TMIS CA'!B939)</f>
        <v/>
      </c>
      <c r="U948" t="s">
        <v>4290</v>
      </c>
      <c r="V948" t="str">
        <f t="shared" si="123"/>
        <v/>
      </c>
      <c r="W948" t="str">
        <f t="shared" si="122"/>
        <v/>
      </c>
    </row>
    <row r="949" spans="1:23">
      <c r="A949">
        <f>'IPTV US'!A940</f>
        <v>11206</v>
      </c>
      <c r="B949" t="str">
        <f>T('IPTV US'!B940)</f>
        <v>NBC 6 South Florida News</v>
      </c>
      <c r="C949" t="s">
        <v>4288</v>
      </c>
      <c r="D949" t="str">
        <f t="shared" si="116"/>
        <v/>
      </c>
      <c r="E949" t="str">
        <f t="shared" si="117"/>
        <v/>
      </c>
      <c r="F949" s="68" t="s">
        <v>4289</v>
      </c>
      <c r="G949">
        <f>'IPTV CA'!A940</f>
        <v>0</v>
      </c>
      <c r="H949" t="str">
        <f>T('IPTV CA'!B940)</f>
        <v/>
      </c>
      <c r="I949" t="s">
        <v>4290</v>
      </c>
      <c r="J949" t="str">
        <f t="shared" si="118"/>
        <v/>
      </c>
      <c r="K949" t="str">
        <f t="shared" si="120"/>
        <v/>
      </c>
      <c r="L949" s="69"/>
      <c r="M949">
        <f>'TMIS US'!A940</f>
        <v>9806</v>
      </c>
      <c r="N949" t="str">
        <f>T('TMIS US'!B940)</f>
        <v>NBC 6 South Florida News</v>
      </c>
      <c r="O949" t="s">
        <v>4288</v>
      </c>
      <c r="P949" t="str">
        <f t="shared" si="119"/>
        <v/>
      </c>
      <c r="Q949" t="str">
        <f t="shared" si="121"/>
        <v/>
      </c>
      <c r="R949" s="69"/>
      <c r="S949">
        <f>'TMIS CA'!A940</f>
        <v>0</v>
      </c>
      <c r="T949" t="str">
        <f>T('TMIS CA'!B940)</f>
        <v/>
      </c>
      <c r="U949" t="s">
        <v>4290</v>
      </c>
      <c r="V949" t="str">
        <f t="shared" si="123"/>
        <v/>
      </c>
      <c r="W949" t="str">
        <f t="shared" si="122"/>
        <v/>
      </c>
    </row>
    <row r="950" spans="1:23">
      <c r="A950">
        <f>'IPTV US'!A941</f>
        <v>11207</v>
      </c>
      <c r="B950" t="str">
        <f>T('IPTV US'!B941)</f>
        <v>NBC 7 San Diego News</v>
      </c>
      <c r="C950" t="s">
        <v>4288</v>
      </c>
      <c r="D950" t="str">
        <f t="shared" si="116"/>
        <v/>
      </c>
      <c r="E950" t="str">
        <f t="shared" si="117"/>
        <v/>
      </c>
      <c r="F950" s="68" t="s">
        <v>4289</v>
      </c>
      <c r="G950">
        <f>'IPTV CA'!A941</f>
        <v>0</v>
      </c>
      <c r="H950" t="str">
        <f>T('IPTV CA'!B941)</f>
        <v/>
      </c>
      <c r="I950" t="s">
        <v>4290</v>
      </c>
      <c r="J950" t="str">
        <f t="shared" si="118"/>
        <v/>
      </c>
      <c r="K950" t="str">
        <f t="shared" si="120"/>
        <v/>
      </c>
      <c r="L950" s="69"/>
      <c r="M950">
        <f>'TMIS US'!A941</f>
        <v>9807</v>
      </c>
      <c r="N950" t="str">
        <f>T('TMIS US'!B941)</f>
        <v>NBC 7 San Diego News</v>
      </c>
      <c r="O950" t="s">
        <v>4288</v>
      </c>
      <c r="P950" t="str">
        <f t="shared" si="119"/>
        <v/>
      </c>
      <c r="Q950" t="str">
        <f t="shared" si="121"/>
        <v/>
      </c>
      <c r="R950" s="69"/>
      <c r="S950">
        <f>'TMIS CA'!A941</f>
        <v>0</v>
      </c>
      <c r="T950" t="str">
        <f>T('TMIS CA'!B941)</f>
        <v/>
      </c>
      <c r="U950" t="s">
        <v>4290</v>
      </c>
      <c r="V950" t="str">
        <f t="shared" si="123"/>
        <v/>
      </c>
      <c r="W950" t="str">
        <f t="shared" si="122"/>
        <v/>
      </c>
    </row>
    <row r="951" spans="1:23">
      <c r="A951">
        <f>'IPTV US'!A942</f>
        <v>11208</v>
      </c>
      <c r="B951" t="str">
        <f>T('IPTV US'!B942)</f>
        <v>NBC Bay Area News</v>
      </c>
      <c r="C951" t="s">
        <v>4288</v>
      </c>
      <c r="D951" t="str">
        <f t="shared" si="116"/>
        <v/>
      </c>
      <c r="E951" t="str">
        <f t="shared" si="117"/>
        <v/>
      </c>
      <c r="F951" s="68" t="s">
        <v>4289</v>
      </c>
      <c r="G951">
        <f>'IPTV CA'!A942</f>
        <v>0</v>
      </c>
      <c r="H951" t="str">
        <f>T('IPTV CA'!B942)</f>
        <v/>
      </c>
      <c r="I951" t="s">
        <v>4290</v>
      </c>
      <c r="J951" t="str">
        <f t="shared" si="118"/>
        <v/>
      </c>
      <c r="K951" t="str">
        <f t="shared" si="120"/>
        <v/>
      </c>
      <c r="L951" s="69"/>
      <c r="M951">
        <f>'TMIS US'!A942</f>
        <v>9808</v>
      </c>
      <c r="N951" t="str">
        <f>T('TMIS US'!B942)</f>
        <v>NBC Bay Area News</v>
      </c>
      <c r="O951" t="s">
        <v>4288</v>
      </c>
      <c r="P951" t="str">
        <f t="shared" si="119"/>
        <v/>
      </c>
      <c r="Q951" t="str">
        <f t="shared" si="121"/>
        <v/>
      </c>
      <c r="R951" s="69"/>
      <c r="S951">
        <f>'TMIS CA'!A942</f>
        <v>0</v>
      </c>
      <c r="T951" t="str">
        <f>T('TMIS CA'!B942)</f>
        <v/>
      </c>
      <c r="U951" t="s">
        <v>4290</v>
      </c>
      <c r="V951" t="str">
        <f t="shared" si="123"/>
        <v/>
      </c>
      <c r="W951" t="str">
        <f t="shared" si="122"/>
        <v/>
      </c>
    </row>
    <row r="952" spans="1:23">
      <c r="A952">
        <f>'IPTV US'!A943</f>
        <v>11209</v>
      </c>
      <c r="B952" t="str">
        <f>T('IPTV US'!B943)</f>
        <v>NBC Connecticut News</v>
      </c>
      <c r="C952" t="s">
        <v>4288</v>
      </c>
      <c r="D952" t="str">
        <f t="shared" si="116"/>
        <v/>
      </c>
      <c r="E952" t="str">
        <f t="shared" si="117"/>
        <v/>
      </c>
      <c r="F952" s="68" t="s">
        <v>4289</v>
      </c>
      <c r="G952">
        <f>'IPTV CA'!A943</f>
        <v>0</v>
      </c>
      <c r="H952" t="str">
        <f>T('IPTV CA'!B943)</f>
        <v/>
      </c>
      <c r="I952" t="s">
        <v>4290</v>
      </c>
      <c r="J952" t="str">
        <f t="shared" si="118"/>
        <v/>
      </c>
      <c r="K952" t="str">
        <f t="shared" si="120"/>
        <v/>
      </c>
      <c r="L952" s="69"/>
      <c r="M952">
        <f>'TMIS US'!A943</f>
        <v>9809</v>
      </c>
      <c r="N952" t="str">
        <f>T('TMIS US'!B943)</f>
        <v>NBC Connecticut News</v>
      </c>
      <c r="O952" t="s">
        <v>4288</v>
      </c>
      <c r="P952" t="str">
        <f t="shared" si="119"/>
        <v/>
      </c>
      <c r="Q952" t="str">
        <f t="shared" si="121"/>
        <v/>
      </c>
      <c r="R952" s="69"/>
      <c r="S952">
        <f>'TMIS CA'!A943</f>
        <v>0</v>
      </c>
      <c r="T952" t="str">
        <f>T('TMIS CA'!B943)</f>
        <v/>
      </c>
      <c r="U952" t="s">
        <v>4290</v>
      </c>
      <c r="V952" t="str">
        <f t="shared" si="123"/>
        <v/>
      </c>
      <c r="W952" t="str">
        <f t="shared" si="122"/>
        <v/>
      </c>
    </row>
    <row r="953" spans="1:23">
      <c r="A953">
        <f>'IPTV US'!A944</f>
        <v>11210</v>
      </c>
      <c r="B953" t="str">
        <f>T('IPTV US'!B944)</f>
        <v>Very Alabama by WVTM</v>
      </c>
      <c r="C953" t="s">
        <v>4288</v>
      </c>
      <c r="D953" t="str">
        <f t="shared" si="116"/>
        <v/>
      </c>
      <c r="E953" t="str">
        <f t="shared" si="117"/>
        <v/>
      </c>
      <c r="F953" s="68" t="s">
        <v>4289</v>
      </c>
      <c r="G953">
        <f>'IPTV CA'!A944</f>
        <v>0</v>
      </c>
      <c r="H953" t="str">
        <f>T('IPTV CA'!B944)</f>
        <v/>
      </c>
      <c r="I953" t="s">
        <v>4290</v>
      </c>
      <c r="J953" t="str">
        <f t="shared" si="118"/>
        <v/>
      </c>
      <c r="K953" t="str">
        <f t="shared" si="120"/>
        <v/>
      </c>
      <c r="L953" s="69"/>
      <c r="M953">
        <f>'TMIS US'!A944</f>
        <v>9810</v>
      </c>
      <c r="N953" t="str">
        <f>T('TMIS US'!B944)</f>
        <v>Very Alabama by WVTM</v>
      </c>
      <c r="O953" t="s">
        <v>4288</v>
      </c>
      <c r="P953" t="str">
        <f t="shared" si="119"/>
        <v/>
      </c>
      <c r="Q953" t="str">
        <f t="shared" si="121"/>
        <v/>
      </c>
      <c r="R953" s="69"/>
      <c r="S953">
        <f>'TMIS CA'!A944</f>
        <v>0</v>
      </c>
      <c r="T953" t="str">
        <f>T('TMIS CA'!B944)</f>
        <v/>
      </c>
      <c r="U953" t="s">
        <v>4290</v>
      </c>
      <c r="V953" t="str">
        <f t="shared" si="123"/>
        <v/>
      </c>
      <c r="W953" t="str">
        <f t="shared" si="122"/>
        <v/>
      </c>
    </row>
    <row r="954" spans="1:23">
      <c r="A954">
        <f>'IPTV US'!A945</f>
        <v>11211</v>
      </c>
      <c r="B954" t="str">
        <f>T('IPTV US'!B945)</f>
        <v>Very Arkansas by 40/29</v>
      </c>
      <c r="C954" t="s">
        <v>4288</v>
      </c>
      <c r="D954" t="str">
        <f t="shared" si="116"/>
        <v/>
      </c>
      <c r="E954" t="str">
        <f t="shared" si="117"/>
        <v/>
      </c>
      <c r="F954" s="68" t="s">
        <v>4289</v>
      </c>
      <c r="G954">
        <f>'IPTV CA'!A945</f>
        <v>0</v>
      </c>
      <c r="H954" t="str">
        <f>T('IPTV CA'!B945)</f>
        <v/>
      </c>
      <c r="I954" t="s">
        <v>4290</v>
      </c>
      <c r="J954" t="str">
        <f t="shared" si="118"/>
        <v/>
      </c>
      <c r="K954" t="str">
        <f t="shared" si="120"/>
        <v/>
      </c>
      <c r="L954" s="69"/>
      <c r="M954">
        <f>'TMIS US'!A945</f>
        <v>9811</v>
      </c>
      <c r="N954" t="str">
        <f>T('TMIS US'!B945)</f>
        <v>Very Arkansas by 40/29</v>
      </c>
      <c r="O954" t="s">
        <v>4288</v>
      </c>
      <c r="P954" t="str">
        <f t="shared" si="119"/>
        <v/>
      </c>
      <c r="Q954" t="str">
        <f t="shared" si="121"/>
        <v/>
      </c>
      <c r="R954" s="69"/>
      <c r="S954">
        <f>'TMIS CA'!A945</f>
        <v>0</v>
      </c>
      <c r="T954" t="str">
        <f>T('TMIS CA'!B945)</f>
        <v/>
      </c>
      <c r="U954" t="s">
        <v>4290</v>
      </c>
      <c r="V954" t="str">
        <f t="shared" si="123"/>
        <v/>
      </c>
      <c r="W954" t="str">
        <f t="shared" si="122"/>
        <v/>
      </c>
    </row>
    <row r="955" spans="1:23">
      <c r="A955">
        <f>'IPTV US'!A946</f>
        <v>11212</v>
      </c>
      <c r="B955" t="str">
        <f>T('IPTV US'!B946)</f>
        <v>Very Baltimore by WBAL-TV</v>
      </c>
      <c r="C955" t="s">
        <v>4288</v>
      </c>
      <c r="D955" t="str">
        <f t="shared" si="116"/>
        <v/>
      </c>
      <c r="E955" t="str">
        <f t="shared" si="117"/>
        <v/>
      </c>
      <c r="F955" s="68" t="s">
        <v>4289</v>
      </c>
      <c r="G955">
        <f>'IPTV CA'!A946</f>
        <v>0</v>
      </c>
      <c r="H955" t="str">
        <f>T('IPTV CA'!B946)</f>
        <v/>
      </c>
      <c r="I955" t="s">
        <v>4290</v>
      </c>
      <c r="J955" t="str">
        <f t="shared" si="118"/>
        <v/>
      </c>
      <c r="K955" t="str">
        <f t="shared" si="120"/>
        <v/>
      </c>
      <c r="L955" s="69"/>
      <c r="M955">
        <f>'TMIS US'!A946</f>
        <v>9812</v>
      </c>
      <c r="N955" t="str">
        <f>T('TMIS US'!B946)</f>
        <v>Very Baltimore by WBAL-TV</v>
      </c>
      <c r="O955" t="s">
        <v>4288</v>
      </c>
      <c r="P955" t="str">
        <f t="shared" si="119"/>
        <v/>
      </c>
      <c r="Q955" t="str">
        <f t="shared" si="121"/>
        <v/>
      </c>
      <c r="R955" s="69"/>
      <c r="S955">
        <f>'TMIS CA'!A946</f>
        <v>0</v>
      </c>
      <c r="T955" t="str">
        <f>T('TMIS CA'!B946)</f>
        <v/>
      </c>
      <c r="U955" t="s">
        <v>4290</v>
      </c>
      <c r="V955" t="str">
        <f t="shared" si="123"/>
        <v/>
      </c>
      <c r="W955" t="str">
        <f t="shared" si="122"/>
        <v/>
      </c>
    </row>
    <row r="956" spans="1:23">
      <c r="A956">
        <f>'IPTV US'!A947</f>
        <v>11213</v>
      </c>
      <c r="B956" t="str">
        <f>T('IPTV US'!B947)</f>
        <v>Very Boston by WCVB</v>
      </c>
      <c r="C956" t="s">
        <v>4288</v>
      </c>
      <c r="D956" t="str">
        <f t="shared" si="116"/>
        <v/>
      </c>
      <c r="E956" t="str">
        <f t="shared" si="117"/>
        <v/>
      </c>
      <c r="F956" s="68" t="s">
        <v>4289</v>
      </c>
      <c r="G956">
        <f>'IPTV CA'!A947</f>
        <v>0</v>
      </c>
      <c r="H956" t="str">
        <f>T('IPTV CA'!B947)</f>
        <v/>
      </c>
      <c r="I956" t="s">
        <v>4290</v>
      </c>
      <c r="J956" t="str">
        <f t="shared" si="118"/>
        <v/>
      </c>
      <c r="K956" t="str">
        <f t="shared" si="120"/>
        <v/>
      </c>
      <c r="L956" s="69"/>
      <c r="M956">
        <f>'TMIS US'!A947</f>
        <v>9813</v>
      </c>
      <c r="N956" t="str">
        <f>T('TMIS US'!B947)</f>
        <v>Very Boston by WCVB</v>
      </c>
      <c r="O956" t="s">
        <v>4288</v>
      </c>
      <c r="P956" t="str">
        <f t="shared" si="119"/>
        <v/>
      </c>
      <c r="Q956" t="str">
        <f t="shared" si="121"/>
        <v/>
      </c>
      <c r="R956" s="69"/>
      <c r="S956">
        <f>'TMIS CA'!A947</f>
        <v>0</v>
      </c>
      <c r="T956" t="str">
        <f>T('TMIS CA'!B947)</f>
        <v/>
      </c>
      <c r="U956" t="s">
        <v>4290</v>
      </c>
      <c r="V956" t="str">
        <f t="shared" si="123"/>
        <v/>
      </c>
      <c r="W956" t="str">
        <f t="shared" si="122"/>
        <v/>
      </c>
    </row>
    <row r="957" spans="1:23">
      <c r="A957">
        <f>'IPTV US'!A948</f>
        <v>11214</v>
      </c>
      <c r="B957" t="str">
        <f>T('IPTV US'!B948)</f>
        <v>Very Carolina by WXII</v>
      </c>
      <c r="C957" t="s">
        <v>4288</v>
      </c>
      <c r="D957" t="str">
        <f t="shared" si="116"/>
        <v/>
      </c>
      <c r="E957" t="str">
        <f t="shared" si="117"/>
        <v/>
      </c>
      <c r="F957" s="68" t="s">
        <v>4289</v>
      </c>
      <c r="G957">
        <f>'IPTV CA'!A948</f>
        <v>0</v>
      </c>
      <c r="H957" t="str">
        <f>T('IPTV CA'!B948)</f>
        <v/>
      </c>
      <c r="I957" t="s">
        <v>4290</v>
      </c>
      <c r="J957" t="str">
        <f t="shared" si="118"/>
        <v/>
      </c>
      <c r="K957" t="str">
        <f t="shared" si="120"/>
        <v/>
      </c>
      <c r="L957" s="69"/>
      <c r="M957">
        <f>'TMIS US'!A948</f>
        <v>9814</v>
      </c>
      <c r="N957" t="str">
        <f>T('TMIS US'!B948)</f>
        <v>Very Carolina by WXII</v>
      </c>
      <c r="O957" t="s">
        <v>4288</v>
      </c>
      <c r="P957" t="str">
        <f t="shared" si="119"/>
        <v/>
      </c>
      <c r="Q957" t="str">
        <f t="shared" si="121"/>
        <v/>
      </c>
      <c r="R957" s="69"/>
      <c r="S957">
        <f>'TMIS CA'!A948</f>
        <v>0</v>
      </c>
      <c r="T957" t="str">
        <f>T('TMIS CA'!B948)</f>
        <v/>
      </c>
      <c r="U957" t="s">
        <v>4290</v>
      </c>
      <c r="V957" t="str">
        <f t="shared" si="123"/>
        <v/>
      </c>
      <c r="W957" t="str">
        <f t="shared" si="122"/>
        <v/>
      </c>
    </row>
    <row r="958" spans="1:23">
      <c r="A958">
        <f>'IPTV US'!A949</f>
        <v>11215</v>
      </c>
      <c r="B958" t="str">
        <f>T('IPTV US'!B949)</f>
        <v>Very Carolina by WYFF 4</v>
      </c>
      <c r="C958" t="s">
        <v>4288</v>
      </c>
      <c r="D958" t="str">
        <f t="shared" si="116"/>
        <v/>
      </c>
      <c r="E958" t="str">
        <f t="shared" si="117"/>
        <v/>
      </c>
      <c r="F958" s="68" t="s">
        <v>4289</v>
      </c>
      <c r="G958">
        <f>'IPTV CA'!A949</f>
        <v>0</v>
      </c>
      <c r="H958" t="str">
        <f>T('IPTV CA'!B949)</f>
        <v/>
      </c>
      <c r="I958" t="s">
        <v>4290</v>
      </c>
      <c r="J958" t="str">
        <f t="shared" si="118"/>
        <v/>
      </c>
      <c r="K958" t="str">
        <f t="shared" si="120"/>
        <v/>
      </c>
      <c r="L958" s="69"/>
      <c r="M958">
        <f>'TMIS US'!A949</f>
        <v>9815</v>
      </c>
      <c r="N958" t="str">
        <f>T('TMIS US'!B949)</f>
        <v>Very Carolina by WYFF 4</v>
      </c>
      <c r="O958" t="s">
        <v>4288</v>
      </c>
      <c r="P958" t="str">
        <f t="shared" si="119"/>
        <v/>
      </c>
      <c r="Q958" t="str">
        <f t="shared" si="121"/>
        <v/>
      </c>
      <c r="R958" s="69"/>
      <c r="S958">
        <f>'TMIS CA'!A949</f>
        <v>0</v>
      </c>
      <c r="T958" t="str">
        <f>T('TMIS CA'!B949)</f>
        <v/>
      </c>
      <c r="U958" t="s">
        <v>4290</v>
      </c>
      <c r="V958" t="str">
        <f t="shared" si="123"/>
        <v/>
      </c>
      <c r="W958" t="str">
        <f t="shared" si="122"/>
        <v/>
      </c>
    </row>
    <row r="959" spans="1:23">
      <c r="A959">
        <f>'IPTV US'!A950</f>
        <v>11216</v>
      </c>
      <c r="B959" t="str">
        <f>T('IPTV US'!B950)</f>
        <v>Very Central Coast by KSBW</v>
      </c>
      <c r="C959" t="s">
        <v>4288</v>
      </c>
      <c r="D959" t="str">
        <f t="shared" si="116"/>
        <v/>
      </c>
      <c r="E959" t="str">
        <f t="shared" si="117"/>
        <v/>
      </c>
      <c r="F959" s="68" t="s">
        <v>4289</v>
      </c>
      <c r="G959">
        <f>'IPTV CA'!A950</f>
        <v>0</v>
      </c>
      <c r="H959" t="str">
        <f>T('IPTV CA'!B950)</f>
        <v/>
      </c>
      <c r="I959" t="s">
        <v>4290</v>
      </c>
      <c r="J959" t="str">
        <f t="shared" si="118"/>
        <v/>
      </c>
      <c r="K959" t="str">
        <f t="shared" si="120"/>
        <v/>
      </c>
      <c r="L959" s="69"/>
      <c r="M959">
        <f>'TMIS US'!A950</f>
        <v>9816</v>
      </c>
      <c r="N959" t="str">
        <f>T('TMIS US'!B950)</f>
        <v>Very Central Coast by KSBW</v>
      </c>
      <c r="O959" t="s">
        <v>4288</v>
      </c>
      <c r="P959" t="str">
        <f t="shared" si="119"/>
        <v/>
      </c>
      <c r="Q959" t="str">
        <f t="shared" si="121"/>
        <v/>
      </c>
      <c r="R959" s="69"/>
      <c r="S959">
        <f>'TMIS CA'!A950</f>
        <v>0</v>
      </c>
      <c r="T959" t="str">
        <f>T('TMIS CA'!B950)</f>
        <v/>
      </c>
      <c r="U959" t="s">
        <v>4290</v>
      </c>
      <c r="V959" t="str">
        <f t="shared" si="123"/>
        <v/>
      </c>
      <c r="W959" t="str">
        <f t="shared" si="122"/>
        <v/>
      </c>
    </row>
    <row r="960" spans="1:23">
      <c r="A960">
        <f>'IPTV US'!A951</f>
        <v>11217</v>
      </c>
      <c r="B960" t="str">
        <f>T('IPTV US'!B951)</f>
        <v>Very Champlain Valley by NBC 5</v>
      </c>
      <c r="C960" t="s">
        <v>4288</v>
      </c>
      <c r="D960" t="str">
        <f t="shared" si="116"/>
        <v/>
      </c>
      <c r="E960" t="str">
        <f t="shared" si="117"/>
        <v/>
      </c>
      <c r="F960" s="68" t="s">
        <v>4289</v>
      </c>
      <c r="G960">
        <f>'IPTV CA'!A951</f>
        <v>0</v>
      </c>
      <c r="H960" t="str">
        <f>T('IPTV CA'!B951)</f>
        <v/>
      </c>
      <c r="I960" t="s">
        <v>4290</v>
      </c>
      <c r="J960" t="str">
        <f t="shared" si="118"/>
        <v/>
      </c>
      <c r="K960" t="str">
        <f t="shared" si="120"/>
        <v/>
      </c>
      <c r="L960" s="69"/>
      <c r="M960">
        <f>'TMIS US'!A951</f>
        <v>9817</v>
      </c>
      <c r="N960" t="str">
        <f>T('TMIS US'!B951)</f>
        <v>Very Champlain Valley by NBC 5</v>
      </c>
      <c r="O960" t="s">
        <v>4288</v>
      </c>
      <c r="P960" t="str">
        <f t="shared" si="119"/>
        <v/>
      </c>
      <c r="Q960" t="str">
        <f t="shared" si="121"/>
        <v/>
      </c>
      <c r="R960" s="69"/>
      <c r="S960">
        <f>'TMIS CA'!A951</f>
        <v>0</v>
      </c>
      <c r="T960" t="str">
        <f>T('TMIS CA'!B951)</f>
        <v/>
      </c>
      <c r="U960" t="s">
        <v>4290</v>
      </c>
      <c r="V960" t="str">
        <f t="shared" si="123"/>
        <v/>
      </c>
      <c r="W960" t="str">
        <f t="shared" si="122"/>
        <v/>
      </c>
    </row>
    <row r="961" spans="1:23">
      <c r="A961">
        <f>'IPTV US'!A952</f>
        <v>11218</v>
      </c>
      <c r="B961" t="str">
        <f>T('IPTV US'!B952)</f>
        <v>Very Cincinnati by WLWT</v>
      </c>
      <c r="C961" t="s">
        <v>4288</v>
      </c>
      <c r="D961" t="str">
        <f t="shared" si="116"/>
        <v/>
      </c>
      <c r="E961" t="str">
        <f t="shared" si="117"/>
        <v/>
      </c>
      <c r="F961" s="68" t="s">
        <v>4289</v>
      </c>
      <c r="G961">
        <f>'IPTV CA'!A952</f>
        <v>0</v>
      </c>
      <c r="H961" t="str">
        <f>T('IPTV CA'!B952)</f>
        <v/>
      </c>
      <c r="I961" t="s">
        <v>4290</v>
      </c>
      <c r="J961" t="str">
        <f t="shared" si="118"/>
        <v/>
      </c>
      <c r="K961" t="str">
        <f t="shared" si="120"/>
        <v/>
      </c>
      <c r="L961" s="69"/>
      <c r="M961">
        <f>'TMIS US'!A952</f>
        <v>9818</v>
      </c>
      <c r="N961" t="str">
        <f>T('TMIS US'!B952)</f>
        <v>Very Cincinnati by WLWT</v>
      </c>
      <c r="O961" t="s">
        <v>4288</v>
      </c>
      <c r="P961" t="str">
        <f t="shared" si="119"/>
        <v/>
      </c>
      <c r="Q961" t="str">
        <f t="shared" si="121"/>
        <v/>
      </c>
      <c r="R961" s="69"/>
      <c r="S961">
        <f>'TMIS CA'!A952</f>
        <v>0</v>
      </c>
      <c r="T961" t="str">
        <f>T('TMIS CA'!B952)</f>
        <v/>
      </c>
      <c r="U961" t="s">
        <v>4290</v>
      </c>
      <c r="V961" t="str">
        <f t="shared" si="123"/>
        <v/>
      </c>
      <c r="W961" t="str">
        <f t="shared" si="122"/>
        <v/>
      </c>
    </row>
    <row r="962" spans="1:23">
      <c r="A962">
        <f>'IPTV US'!A953</f>
        <v>11219</v>
      </c>
      <c r="B962" t="str">
        <f>T('IPTV US'!B953)</f>
        <v>Very Iowa by KCCI</v>
      </c>
      <c r="C962" t="s">
        <v>4288</v>
      </c>
      <c r="D962" t="str">
        <f t="shared" si="116"/>
        <v/>
      </c>
      <c r="E962" t="str">
        <f t="shared" si="117"/>
        <v/>
      </c>
      <c r="F962" s="68" t="s">
        <v>4289</v>
      </c>
      <c r="G962">
        <f>'IPTV CA'!A953</f>
        <v>0</v>
      </c>
      <c r="H962" t="str">
        <f>T('IPTV CA'!B953)</f>
        <v/>
      </c>
      <c r="I962" t="s">
        <v>4290</v>
      </c>
      <c r="J962" t="str">
        <f t="shared" si="118"/>
        <v/>
      </c>
      <c r="K962" t="str">
        <f t="shared" si="120"/>
        <v/>
      </c>
      <c r="L962" s="69"/>
      <c r="M962">
        <f>'TMIS US'!A953</f>
        <v>9819</v>
      </c>
      <c r="N962" t="str">
        <f>T('TMIS US'!B953)</f>
        <v>Very Iowa by KCCI</v>
      </c>
      <c r="O962" t="s">
        <v>4288</v>
      </c>
      <c r="P962" t="str">
        <f t="shared" si="119"/>
        <v/>
      </c>
      <c r="Q962" t="str">
        <f t="shared" si="121"/>
        <v/>
      </c>
      <c r="R962" s="69"/>
      <c r="S962">
        <f>'TMIS CA'!A953</f>
        <v>0</v>
      </c>
      <c r="T962" t="str">
        <f>T('TMIS CA'!B953)</f>
        <v/>
      </c>
      <c r="U962" t="s">
        <v>4290</v>
      </c>
      <c r="V962" t="str">
        <f t="shared" si="123"/>
        <v/>
      </c>
      <c r="W962" t="str">
        <f t="shared" si="122"/>
        <v/>
      </c>
    </row>
    <row r="963" spans="1:23">
      <c r="A963">
        <f>'IPTV US'!A954</f>
        <v>11220</v>
      </c>
      <c r="B963" t="str">
        <f>T('IPTV US'!B954)</f>
        <v>Very Jackson by 16 WAPT</v>
      </c>
      <c r="C963" t="s">
        <v>4288</v>
      </c>
      <c r="D963" t="str">
        <f t="shared" si="116"/>
        <v/>
      </c>
      <c r="E963" t="str">
        <f t="shared" si="117"/>
        <v/>
      </c>
      <c r="F963" s="68" t="s">
        <v>4289</v>
      </c>
      <c r="G963">
        <f>'IPTV CA'!A954</f>
        <v>0</v>
      </c>
      <c r="H963" t="str">
        <f>T('IPTV CA'!B954)</f>
        <v/>
      </c>
      <c r="I963" t="s">
        <v>4290</v>
      </c>
      <c r="J963" t="str">
        <f t="shared" si="118"/>
        <v/>
      </c>
      <c r="K963" t="str">
        <f t="shared" si="120"/>
        <v/>
      </c>
      <c r="L963" s="69"/>
      <c r="M963">
        <f>'TMIS US'!A954</f>
        <v>9820</v>
      </c>
      <c r="N963" t="str">
        <f>T('TMIS US'!B954)</f>
        <v>Very Jackson by 16 WAPT</v>
      </c>
      <c r="O963" t="s">
        <v>4288</v>
      </c>
      <c r="P963" t="str">
        <f t="shared" si="119"/>
        <v/>
      </c>
      <c r="Q963" t="str">
        <f t="shared" si="121"/>
        <v/>
      </c>
      <c r="R963" s="69"/>
      <c r="S963">
        <f>'TMIS CA'!A954</f>
        <v>0</v>
      </c>
      <c r="T963" t="str">
        <f>T('TMIS CA'!B954)</f>
        <v/>
      </c>
      <c r="U963" t="s">
        <v>4290</v>
      </c>
      <c r="V963" t="str">
        <f t="shared" si="123"/>
        <v/>
      </c>
      <c r="W963" t="str">
        <f t="shared" si="122"/>
        <v/>
      </c>
    </row>
    <row r="964" spans="1:23">
      <c r="A964">
        <f>'IPTV US'!A955</f>
        <v>11221</v>
      </c>
      <c r="B964" t="str">
        <f>T('IPTV US'!B955)</f>
        <v>Very Kansas City by KMBC/KCWE</v>
      </c>
      <c r="C964" t="s">
        <v>4288</v>
      </c>
      <c r="D964" t="str">
        <f t="shared" si="116"/>
        <v/>
      </c>
      <c r="E964" t="str">
        <f t="shared" si="117"/>
        <v/>
      </c>
      <c r="F964" s="68" t="s">
        <v>4289</v>
      </c>
      <c r="G964">
        <f>'IPTV CA'!A955</f>
        <v>0</v>
      </c>
      <c r="H964" t="str">
        <f>T('IPTV CA'!B955)</f>
        <v/>
      </c>
      <c r="I964" t="s">
        <v>4290</v>
      </c>
      <c r="J964" t="str">
        <f t="shared" si="118"/>
        <v/>
      </c>
      <c r="K964" t="str">
        <f t="shared" si="120"/>
        <v/>
      </c>
      <c r="L964" s="69"/>
      <c r="M964">
        <f>'TMIS US'!A955</f>
        <v>9821</v>
      </c>
      <c r="N964" t="str">
        <f>T('TMIS US'!B955)</f>
        <v>Very Kansas City by KMBC/KCWE</v>
      </c>
      <c r="O964" t="s">
        <v>4288</v>
      </c>
      <c r="P964" t="str">
        <f t="shared" si="119"/>
        <v/>
      </c>
      <c r="Q964" t="str">
        <f t="shared" si="121"/>
        <v/>
      </c>
      <c r="R964" s="69"/>
      <c r="S964">
        <f>'TMIS CA'!A955</f>
        <v>0</v>
      </c>
      <c r="T964" t="str">
        <f>T('TMIS CA'!B955)</f>
        <v/>
      </c>
      <c r="U964" t="s">
        <v>4290</v>
      </c>
      <c r="V964" t="str">
        <f t="shared" si="123"/>
        <v/>
      </c>
      <c r="W964" t="str">
        <f t="shared" si="122"/>
        <v/>
      </c>
    </row>
    <row r="965" spans="1:23">
      <c r="A965">
        <f>'IPTV US'!A956</f>
        <v>11222</v>
      </c>
      <c r="B965" t="str">
        <f>T('IPTV US'!B956)</f>
        <v>Very Local</v>
      </c>
      <c r="C965" t="s">
        <v>4288</v>
      </c>
      <c r="D965" t="str">
        <f t="shared" si="116"/>
        <v/>
      </c>
      <c r="E965" t="str">
        <f t="shared" si="117"/>
        <v/>
      </c>
      <c r="F965" s="68" t="s">
        <v>4289</v>
      </c>
      <c r="G965">
        <f>'IPTV CA'!A956</f>
        <v>0</v>
      </c>
      <c r="H965" t="str">
        <f>T('IPTV CA'!B956)</f>
        <v/>
      </c>
      <c r="I965" t="s">
        <v>4290</v>
      </c>
      <c r="J965" t="str">
        <f t="shared" si="118"/>
        <v/>
      </c>
      <c r="K965" t="str">
        <f t="shared" si="120"/>
        <v/>
      </c>
      <c r="L965" s="69"/>
      <c r="M965">
        <f>'TMIS US'!A956</f>
        <v>9822</v>
      </c>
      <c r="N965" t="str">
        <f>T('TMIS US'!B956)</f>
        <v>Very Local</v>
      </c>
      <c r="O965" t="s">
        <v>4288</v>
      </c>
      <c r="P965" t="str">
        <f t="shared" si="119"/>
        <v/>
      </c>
      <c r="Q965" t="str">
        <f t="shared" si="121"/>
        <v/>
      </c>
      <c r="R965" s="69"/>
      <c r="S965">
        <f>'TMIS CA'!A956</f>
        <v>0</v>
      </c>
      <c r="T965" t="str">
        <f>T('TMIS CA'!B956)</f>
        <v/>
      </c>
      <c r="U965" t="s">
        <v>4290</v>
      </c>
      <c r="V965" t="str">
        <f t="shared" si="123"/>
        <v/>
      </c>
      <c r="W965" t="str">
        <f t="shared" si="122"/>
        <v/>
      </c>
    </row>
    <row r="966" spans="1:23">
      <c r="A966">
        <f>'IPTV US'!A957</f>
        <v>11223</v>
      </c>
      <c r="B966" t="str">
        <f>T('IPTV US'!B957)</f>
        <v>Very Louisville by WLKY</v>
      </c>
      <c r="C966" t="s">
        <v>4288</v>
      </c>
      <c r="D966" t="str">
        <f t="shared" si="116"/>
        <v/>
      </c>
      <c r="E966" t="str">
        <f t="shared" si="117"/>
        <v/>
      </c>
      <c r="F966" s="68" t="s">
        <v>4289</v>
      </c>
      <c r="G966">
        <f>'IPTV CA'!A957</f>
        <v>0</v>
      </c>
      <c r="H966" t="str">
        <f>T('IPTV CA'!B957)</f>
        <v/>
      </c>
      <c r="I966" t="s">
        <v>4290</v>
      </c>
      <c r="J966" t="str">
        <f t="shared" si="118"/>
        <v/>
      </c>
      <c r="K966" t="str">
        <f t="shared" si="120"/>
        <v/>
      </c>
      <c r="L966" s="69"/>
      <c r="M966">
        <f>'TMIS US'!A957</f>
        <v>9823</v>
      </c>
      <c r="N966" t="str">
        <f>T('TMIS US'!B957)</f>
        <v>Very Louisville by WLKY</v>
      </c>
      <c r="O966" t="s">
        <v>4288</v>
      </c>
      <c r="P966" t="str">
        <f t="shared" si="119"/>
        <v/>
      </c>
      <c r="Q966" t="str">
        <f t="shared" si="121"/>
        <v/>
      </c>
      <c r="R966" s="69"/>
      <c r="S966">
        <f>'TMIS CA'!A957</f>
        <v>0</v>
      </c>
      <c r="T966" t="str">
        <f>T('TMIS CA'!B957)</f>
        <v/>
      </c>
      <c r="U966" t="s">
        <v>4290</v>
      </c>
      <c r="V966" t="str">
        <f t="shared" si="123"/>
        <v/>
      </c>
      <c r="W966" t="str">
        <f t="shared" si="122"/>
        <v/>
      </c>
    </row>
    <row r="967" spans="1:23">
      <c r="A967">
        <f>'IPTV US'!A958</f>
        <v>11224</v>
      </c>
      <c r="B967" t="str">
        <f>T('IPTV US'!B958)</f>
        <v>Very Maine by WMTW</v>
      </c>
      <c r="C967" t="s">
        <v>4288</v>
      </c>
      <c r="D967" t="str">
        <f t="shared" si="116"/>
        <v/>
      </c>
      <c r="E967" t="str">
        <f t="shared" si="117"/>
        <v/>
      </c>
      <c r="F967" s="68" t="s">
        <v>4289</v>
      </c>
      <c r="G967">
        <f>'IPTV CA'!A958</f>
        <v>0</v>
      </c>
      <c r="H967" t="str">
        <f>T('IPTV CA'!B958)</f>
        <v/>
      </c>
      <c r="I967" t="s">
        <v>4290</v>
      </c>
      <c r="J967" t="str">
        <f t="shared" si="118"/>
        <v/>
      </c>
      <c r="K967" t="str">
        <f t="shared" si="120"/>
        <v/>
      </c>
      <c r="L967" s="69"/>
      <c r="M967">
        <f>'TMIS US'!A958</f>
        <v>9824</v>
      </c>
      <c r="N967" t="str">
        <f>T('TMIS US'!B958)</f>
        <v>Very Maine by WMTW</v>
      </c>
      <c r="O967" t="s">
        <v>4288</v>
      </c>
      <c r="P967" t="str">
        <f t="shared" si="119"/>
        <v/>
      </c>
      <c r="Q967" t="str">
        <f t="shared" si="121"/>
        <v/>
      </c>
      <c r="R967" s="69"/>
      <c r="S967">
        <f>'TMIS CA'!A958</f>
        <v>0</v>
      </c>
      <c r="T967" t="str">
        <f>T('TMIS CA'!B958)</f>
        <v/>
      </c>
      <c r="U967" t="s">
        <v>4290</v>
      </c>
      <c r="V967" t="str">
        <f t="shared" si="123"/>
        <v/>
      </c>
      <c r="W967" t="str">
        <f t="shared" si="122"/>
        <v/>
      </c>
    </row>
    <row r="968" spans="1:23">
      <c r="A968">
        <f>'IPTV US'!A959</f>
        <v>11225</v>
      </c>
      <c r="B968" t="str">
        <f>T('IPTV US'!B959)</f>
        <v>Very Milwaukee by WISN 12</v>
      </c>
      <c r="C968" t="s">
        <v>4288</v>
      </c>
      <c r="D968" t="str">
        <f t="shared" si="116"/>
        <v/>
      </c>
      <c r="E968" t="str">
        <f t="shared" si="117"/>
        <v/>
      </c>
      <c r="F968" s="68" t="s">
        <v>4289</v>
      </c>
      <c r="G968">
        <f>'IPTV CA'!A959</f>
        <v>0</v>
      </c>
      <c r="H968" t="str">
        <f>T('IPTV CA'!B959)</f>
        <v/>
      </c>
      <c r="I968" t="s">
        <v>4290</v>
      </c>
      <c r="J968" t="str">
        <f t="shared" si="118"/>
        <v/>
      </c>
      <c r="K968" t="str">
        <f t="shared" si="120"/>
        <v/>
      </c>
      <c r="L968" s="69"/>
      <c r="M968">
        <f>'TMIS US'!A959</f>
        <v>9825</v>
      </c>
      <c r="N968" t="str">
        <f>T('TMIS US'!B959)</f>
        <v>Very Milwaukee by WISN 12</v>
      </c>
      <c r="O968" t="s">
        <v>4288</v>
      </c>
      <c r="P968" t="str">
        <f t="shared" si="119"/>
        <v/>
      </c>
      <c r="Q968" t="str">
        <f t="shared" si="121"/>
        <v/>
      </c>
      <c r="R968" s="69"/>
      <c r="S968">
        <f>'TMIS CA'!A959</f>
        <v>0</v>
      </c>
      <c r="T968" t="str">
        <f>T('TMIS CA'!B959)</f>
        <v/>
      </c>
      <c r="U968" t="s">
        <v>4290</v>
      </c>
      <c r="V968" t="str">
        <f t="shared" si="123"/>
        <v/>
      </c>
      <c r="W968" t="str">
        <f t="shared" si="122"/>
        <v/>
      </c>
    </row>
    <row r="969" spans="1:23">
      <c r="A969">
        <f>'IPTV US'!A960</f>
        <v>11226</v>
      </c>
      <c r="B969" t="str">
        <f>T('IPTV US'!B960)</f>
        <v>Very New Hampshire by WMUR</v>
      </c>
      <c r="C969" t="s">
        <v>4288</v>
      </c>
      <c r="D969" t="str">
        <f t="shared" si="116"/>
        <v/>
      </c>
      <c r="E969" t="str">
        <f t="shared" si="117"/>
        <v/>
      </c>
      <c r="F969" s="68" t="s">
        <v>4289</v>
      </c>
      <c r="G969">
        <f>'IPTV CA'!A960</f>
        <v>0</v>
      </c>
      <c r="H969" t="str">
        <f>T('IPTV CA'!B960)</f>
        <v/>
      </c>
      <c r="I969" t="s">
        <v>4290</v>
      </c>
      <c r="J969" t="str">
        <f t="shared" si="118"/>
        <v/>
      </c>
      <c r="K969" t="str">
        <f t="shared" si="120"/>
        <v/>
      </c>
      <c r="L969" s="69"/>
      <c r="M969">
        <f>'TMIS US'!A960</f>
        <v>9826</v>
      </c>
      <c r="N969" t="str">
        <f>T('TMIS US'!B960)</f>
        <v>Very New Hampshire by WMUR</v>
      </c>
      <c r="O969" t="s">
        <v>4288</v>
      </c>
      <c r="P969" t="str">
        <f t="shared" si="119"/>
        <v/>
      </c>
      <c r="Q969" t="str">
        <f t="shared" si="121"/>
        <v/>
      </c>
      <c r="R969" s="69"/>
      <c r="S969">
        <f>'TMIS CA'!A960</f>
        <v>0</v>
      </c>
      <c r="T969" t="str">
        <f>T('TMIS CA'!B960)</f>
        <v/>
      </c>
      <c r="U969" t="s">
        <v>4290</v>
      </c>
      <c r="V969" t="str">
        <f t="shared" si="123"/>
        <v/>
      </c>
      <c r="W969" t="str">
        <f t="shared" si="122"/>
        <v/>
      </c>
    </row>
    <row r="970" spans="1:23">
      <c r="A970">
        <f>'IPTV US'!A961</f>
        <v>11227</v>
      </c>
      <c r="B970" t="str">
        <f>T('IPTV US'!B961)</f>
        <v>Very New Mexico by KOAT</v>
      </c>
      <c r="C970" t="s">
        <v>4288</v>
      </c>
      <c r="D970" t="str">
        <f t="shared" si="116"/>
        <v/>
      </c>
      <c r="E970" t="str">
        <f t="shared" si="117"/>
        <v/>
      </c>
      <c r="F970" s="68" t="s">
        <v>4289</v>
      </c>
      <c r="G970">
        <f>'IPTV CA'!A961</f>
        <v>0</v>
      </c>
      <c r="H970" t="str">
        <f>T('IPTV CA'!B961)</f>
        <v/>
      </c>
      <c r="I970" t="s">
        <v>4290</v>
      </c>
      <c r="J970" t="str">
        <f t="shared" si="118"/>
        <v/>
      </c>
      <c r="K970" t="str">
        <f t="shared" si="120"/>
        <v/>
      </c>
      <c r="L970" s="69"/>
      <c r="M970">
        <f>'TMIS US'!A961</f>
        <v>9827</v>
      </c>
      <c r="N970" t="str">
        <f>T('TMIS US'!B961)</f>
        <v>Very New Mexico by KOAT</v>
      </c>
      <c r="O970" t="s">
        <v>4288</v>
      </c>
      <c r="P970" t="str">
        <f t="shared" si="119"/>
        <v/>
      </c>
      <c r="Q970" t="str">
        <f t="shared" si="121"/>
        <v/>
      </c>
      <c r="R970" s="69"/>
      <c r="S970">
        <f>'TMIS CA'!A961</f>
        <v>0</v>
      </c>
      <c r="T970" t="str">
        <f>T('TMIS CA'!B961)</f>
        <v/>
      </c>
      <c r="U970" t="s">
        <v>4290</v>
      </c>
      <c r="V970" t="str">
        <f t="shared" si="123"/>
        <v/>
      </c>
      <c r="W970" t="str">
        <f t="shared" si="122"/>
        <v/>
      </c>
    </row>
    <row r="971" spans="1:23">
      <c r="A971">
        <f>'IPTV US'!A962</f>
        <v>11228</v>
      </c>
      <c r="B971" t="str">
        <f>T('IPTV US'!B962)</f>
        <v>Very New Orleans by WDSU</v>
      </c>
      <c r="C971" t="s">
        <v>4288</v>
      </c>
      <c r="D971" t="str">
        <f t="shared" ref="D971:D1034" si="124">IF(C971="Active",IF(B971="","Please Notify - Channel Removed",""),"")</f>
        <v/>
      </c>
      <c r="E971" t="str">
        <f t="shared" ref="E971:E1034" si="125">IF(C971="Vacant",IF(B971="","","Please Notify - Channel Added"),"")</f>
        <v/>
      </c>
      <c r="F971" s="68" t="s">
        <v>4289</v>
      </c>
      <c r="G971">
        <f>'IPTV CA'!A962</f>
        <v>0</v>
      </c>
      <c r="H971" t="str">
        <f>T('IPTV CA'!B962)</f>
        <v/>
      </c>
      <c r="I971" t="s">
        <v>4290</v>
      </c>
      <c r="J971" t="str">
        <f t="shared" ref="J971:J1034" si="126">IF(I971="Active",IF(H971="","Please Notify - Channel Removed",""),"")</f>
        <v/>
      </c>
      <c r="K971" t="str">
        <f t="shared" si="120"/>
        <v/>
      </c>
      <c r="L971" s="69"/>
      <c r="M971">
        <f>'TMIS US'!A962</f>
        <v>9828</v>
      </c>
      <c r="N971" t="str">
        <f>T('TMIS US'!B962)</f>
        <v>Very New Orleans by WDSU</v>
      </c>
      <c r="O971" t="s">
        <v>4288</v>
      </c>
      <c r="P971" t="str">
        <f t="shared" ref="P971:P1034" si="127">IF(O971="Active",IF(N971="","Please Notify - Channel Removed",""),"")</f>
        <v/>
      </c>
      <c r="Q971" t="str">
        <f t="shared" si="121"/>
        <v/>
      </c>
      <c r="R971" s="69"/>
      <c r="S971">
        <f>'TMIS CA'!A962</f>
        <v>0</v>
      </c>
      <c r="T971" t="str">
        <f>T('TMIS CA'!B962)</f>
        <v/>
      </c>
      <c r="U971" t="s">
        <v>4290</v>
      </c>
      <c r="V971" t="str">
        <f t="shared" si="123"/>
        <v/>
      </c>
      <c r="W971" t="str">
        <f t="shared" si="122"/>
        <v/>
      </c>
    </row>
    <row r="972" spans="1:23">
      <c r="A972">
        <f>'IPTV US'!A963</f>
        <v>11229</v>
      </c>
      <c r="B972" t="str">
        <f>T('IPTV US'!B963)</f>
        <v>Very Oklahoma by KOCO</v>
      </c>
      <c r="C972" t="s">
        <v>4288</v>
      </c>
      <c r="D972" t="str">
        <f t="shared" si="124"/>
        <v/>
      </c>
      <c r="E972" t="str">
        <f t="shared" si="125"/>
        <v/>
      </c>
      <c r="F972" s="68" t="s">
        <v>4289</v>
      </c>
      <c r="G972">
        <f>'IPTV CA'!A963</f>
        <v>0</v>
      </c>
      <c r="H972" t="str">
        <f>T('IPTV CA'!B963)</f>
        <v/>
      </c>
      <c r="I972" t="s">
        <v>4290</v>
      </c>
      <c r="J972" t="str">
        <f t="shared" si="126"/>
        <v/>
      </c>
      <c r="K972" t="str">
        <f t="shared" ref="K972:K1004" si="128">IF(I972="Vacant",IF(H972="","","Please Notify - Channel Added"),"")</f>
        <v/>
      </c>
      <c r="L972" s="69"/>
      <c r="M972">
        <f>'TMIS US'!A963</f>
        <v>9829</v>
      </c>
      <c r="N972" t="str">
        <f>T('TMIS US'!B963)</f>
        <v>Very Oklahoma by KOCO</v>
      </c>
      <c r="O972" t="s">
        <v>4288</v>
      </c>
      <c r="P972" t="str">
        <f t="shared" si="127"/>
        <v/>
      </c>
      <c r="Q972" t="str">
        <f t="shared" ref="Q972:Q1035" si="129">IF(O972="Vacant",IF(N972="","","Please Notify - Channel Added"),"")</f>
        <v/>
      </c>
      <c r="R972" s="69"/>
      <c r="S972">
        <f>'TMIS CA'!A963</f>
        <v>0</v>
      </c>
      <c r="T972" t="str">
        <f>T('TMIS CA'!B963)</f>
        <v/>
      </c>
      <c r="U972" t="s">
        <v>4290</v>
      </c>
      <c r="V972" t="str">
        <f t="shared" si="123"/>
        <v/>
      </c>
      <c r="W972" t="str">
        <f t="shared" ref="W972:W1035" si="130">IF(U972="Vacant",IF(T972="","","Please Notify - Channel Added"),"")</f>
        <v/>
      </c>
    </row>
    <row r="973" spans="1:23">
      <c r="A973">
        <f>'IPTV US'!A964</f>
        <v>11230</v>
      </c>
      <c r="B973" t="str">
        <f>T('IPTV US'!B964)</f>
        <v>Very Omaha by KETV</v>
      </c>
      <c r="C973" t="s">
        <v>4288</v>
      </c>
      <c r="D973" t="str">
        <f t="shared" si="124"/>
        <v/>
      </c>
      <c r="E973" t="str">
        <f t="shared" si="125"/>
        <v/>
      </c>
      <c r="F973" s="68" t="s">
        <v>4289</v>
      </c>
      <c r="G973">
        <f>'IPTV CA'!A964</f>
        <v>0</v>
      </c>
      <c r="H973" t="str">
        <f>T('IPTV CA'!B964)</f>
        <v/>
      </c>
      <c r="I973" t="s">
        <v>4290</v>
      </c>
      <c r="J973" t="str">
        <f t="shared" si="126"/>
        <v/>
      </c>
      <c r="K973" t="str">
        <f t="shared" si="128"/>
        <v/>
      </c>
      <c r="L973" s="69"/>
      <c r="M973">
        <f>'TMIS US'!A964</f>
        <v>9830</v>
      </c>
      <c r="N973" t="str">
        <f>T('TMIS US'!B964)</f>
        <v>Very Omaha by KETV</v>
      </c>
      <c r="O973" t="s">
        <v>4288</v>
      </c>
      <c r="P973" t="str">
        <f t="shared" si="127"/>
        <v/>
      </c>
      <c r="Q973" t="str">
        <f t="shared" si="129"/>
        <v/>
      </c>
      <c r="R973" s="69"/>
      <c r="S973">
        <f>'TMIS CA'!A964</f>
        <v>0</v>
      </c>
      <c r="T973" t="str">
        <f>T('TMIS CA'!B964)</f>
        <v/>
      </c>
      <c r="U973" t="s">
        <v>4290</v>
      </c>
      <c r="V973" t="str">
        <f t="shared" si="123"/>
        <v/>
      </c>
      <c r="W973" t="str">
        <f t="shared" si="130"/>
        <v/>
      </c>
    </row>
    <row r="974" spans="1:23">
      <c r="A974">
        <f>'IPTV US'!A965</f>
        <v>11231</v>
      </c>
      <c r="B974" t="str">
        <f>T('IPTV US'!B965)</f>
        <v>Very Orlando by WESH 2</v>
      </c>
      <c r="C974" t="s">
        <v>4288</v>
      </c>
      <c r="D974" t="str">
        <f t="shared" si="124"/>
        <v/>
      </c>
      <c r="E974" t="str">
        <f t="shared" si="125"/>
        <v/>
      </c>
      <c r="F974" s="68" t="s">
        <v>4289</v>
      </c>
      <c r="G974">
        <f>'IPTV CA'!A965</f>
        <v>0</v>
      </c>
      <c r="H974" t="str">
        <f>T('IPTV CA'!B965)</f>
        <v/>
      </c>
      <c r="I974" t="s">
        <v>4290</v>
      </c>
      <c r="J974" t="str">
        <f t="shared" si="126"/>
        <v/>
      </c>
      <c r="K974" t="str">
        <f t="shared" si="128"/>
        <v/>
      </c>
      <c r="L974" s="69"/>
      <c r="M974">
        <f>'TMIS US'!A965</f>
        <v>9831</v>
      </c>
      <c r="N974" t="str">
        <f>T('TMIS US'!B965)</f>
        <v>Very Orlando by WESH 2</v>
      </c>
      <c r="O974" t="s">
        <v>4288</v>
      </c>
      <c r="P974" t="str">
        <f t="shared" si="127"/>
        <v/>
      </c>
      <c r="Q974" t="str">
        <f t="shared" si="129"/>
        <v/>
      </c>
      <c r="R974" s="69"/>
      <c r="S974">
        <f>'TMIS CA'!A965</f>
        <v>0</v>
      </c>
      <c r="T974" t="str">
        <f>T('TMIS CA'!B965)</f>
        <v/>
      </c>
      <c r="U974" t="s">
        <v>4290</v>
      </c>
      <c r="V974" t="str">
        <f t="shared" ref="V974:V1037" si="131">IF(U974="Active",IF(T974="","Please Notify - Channel Removed",""),"")</f>
        <v/>
      </c>
      <c r="W974" t="str">
        <f t="shared" si="130"/>
        <v/>
      </c>
    </row>
    <row r="975" spans="1:23">
      <c r="A975">
        <f>'IPTV US'!A966</f>
        <v>11232</v>
      </c>
      <c r="B975" t="str">
        <f>T('IPTV US'!B966)</f>
        <v>Very Pennsylvania by WGAL</v>
      </c>
      <c r="C975" t="s">
        <v>4288</v>
      </c>
      <c r="D975" t="str">
        <f t="shared" si="124"/>
        <v/>
      </c>
      <c r="E975" t="str">
        <f t="shared" si="125"/>
        <v/>
      </c>
      <c r="F975" s="68" t="s">
        <v>4289</v>
      </c>
      <c r="G975">
        <f>'IPTV CA'!A966</f>
        <v>0</v>
      </c>
      <c r="H975" t="str">
        <f>T('IPTV CA'!B966)</f>
        <v/>
      </c>
      <c r="I975" t="s">
        <v>4290</v>
      </c>
      <c r="J975" t="str">
        <f t="shared" si="126"/>
        <v/>
      </c>
      <c r="K975" t="str">
        <f t="shared" si="128"/>
        <v/>
      </c>
      <c r="L975" s="69"/>
      <c r="M975">
        <f>'TMIS US'!A966</f>
        <v>9832</v>
      </c>
      <c r="N975" t="str">
        <f>T('TMIS US'!B966)</f>
        <v>Very Pennsylvania by WGAL</v>
      </c>
      <c r="O975" t="s">
        <v>4288</v>
      </c>
      <c r="P975" t="str">
        <f t="shared" si="127"/>
        <v/>
      </c>
      <c r="Q975" t="str">
        <f t="shared" si="129"/>
        <v/>
      </c>
      <c r="R975" s="69"/>
      <c r="S975">
        <f>'TMIS CA'!A966</f>
        <v>0</v>
      </c>
      <c r="T975" t="str">
        <f>T('TMIS CA'!B966)</f>
        <v/>
      </c>
      <c r="U975" t="s">
        <v>4290</v>
      </c>
      <c r="V975" t="str">
        <f t="shared" si="131"/>
        <v/>
      </c>
      <c r="W975" t="str">
        <f t="shared" si="130"/>
        <v/>
      </c>
    </row>
    <row r="976" spans="1:23">
      <c r="A976">
        <f>'IPTV US'!A967</f>
        <v>11233</v>
      </c>
      <c r="B976" t="str">
        <f>T('IPTV US'!B967)</f>
        <v>Very Pittsburgh by WTAE</v>
      </c>
      <c r="C976" t="s">
        <v>4288</v>
      </c>
      <c r="D976" t="str">
        <f t="shared" si="124"/>
        <v/>
      </c>
      <c r="E976" t="str">
        <f t="shared" si="125"/>
        <v/>
      </c>
      <c r="F976" s="68" t="s">
        <v>4289</v>
      </c>
      <c r="G976">
        <f>'IPTV CA'!A967</f>
        <v>0</v>
      </c>
      <c r="H976" t="str">
        <f>T('IPTV CA'!B967)</f>
        <v/>
      </c>
      <c r="I976" t="s">
        <v>4290</v>
      </c>
      <c r="J976" t="str">
        <f t="shared" si="126"/>
        <v/>
      </c>
      <c r="K976" t="str">
        <f t="shared" si="128"/>
        <v/>
      </c>
      <c r="L976" s="69"/>
      <c r="M976">
        <f>'TMIS US'!A967</f>
        <v>9833</v>
      </c>
      <c r="N976" t="str">
        <f>T('TMIS US'!B967)</f>
        <v>Very Pittsburgh by WTAE</v>
      </c>
      <c r="O976" t="s">
        <v>4288</v>
      </c>
      <c r="P976" t="str">
        <f t="shared" si="127"/>
        <v/>
      </c>
      <c r="Q976" t="str">
        <f t="shared" si="129"/>
        <v/>
      </c>
      <c r="R976" s="69"/>
      <c r="S976">
        <f>'TMIS CA'!A967</f>
        <v>0</v>
      </c>
      <c r="T976" t="str">
        <f>T('TMIS CA'!B967)</f>
        <v/>
      </c>
      <c r="U976" t="s">
        <v>4290</v>
      </c>
      <c r="V976" t="str">
        <f t="shared" si="131"/>
        <v/>
      </c>
      <c r="W976" t="str">
        <f t="shared" si="130"/>
        <v/>
      </c>
    </row>
    <row r="977" spans="1:23">
      <c r="A977">
        <f>'IPTV US'!A968</f>
        <v>11234</v>
      </c>
      <c r="B977" t="str">
        <f>T('IPTV US'!B968)</f>
        <v>Very Sacramento by KCRA</v>
      </c>
      <c r="C977" t="s">
        <v>4288</v>
      </c>
      <c r="D977" t="str">
        <f t="shared" si="124"/>
        <v/>
      </c>
      <c r="E977" t="str">
        <f t="shared" si="125"/>
        <v/>
      </c>
      <c r="F977" s="68" t="s">
        <v>4289</v>
      </c>
      <c r="G977">
        <f>'IPTV CA'!A968</f>
        <v>0</v>
      </c>
      <c r="H977" t="str">
        <f>T('IPTV CA'!B968)</f>
        <v/>
      </c>
      <c r="I977" t="s">
        <v>4290</v>
      </c>
      <c r="J977" t="str">
        <f t="shared" si="126"/>
        <v/>
      </c>
      <c r="K977" t="str">
        <f t="shared" si="128"/>
        <v/>
      </c>
      <c r="L977" s="69"/>
      <c r="M977">
        <f>'TMIS US'!A968</f>
        <v>9834</v>
      </c>
      <c r="N977" t="str">
        <f>T('TMIS US'!B968)</f>
        <v>Very Sacramento by KCRA</v>
      </c>
      <c r="O977" t="s">
        <v>4288</v>
      </c>
      <c r="P977" t="str">
        <f t="shared" si="127"/>
        <v/>
      </c>
      <c r="Q977" t="str">
        <f t="shared" si="129"/>
        <v/>
      </c>
      <c r="R977" s="69"/>
      <c r="S977">
        <f>'TMIS CA'!A968</f>
        <v>0</v>
      </c>
      <c r="T977" t="str">
        <f>T('TMIS CA'!B968)</f>
        <v/>
      </c>
      <c r="U977" t="s">
        <v>4290</v>
      </c>
      <c r="V977" t="str">
        <f t="shared" si="131"/>
        <v/>
      </c>
      <c r="W977" t="str">
        <f t="shared" si="130"/>
        <v/>
      </c>
    </row>
    <row r="978" spans="1:23">
      <c r="A978">
        <f>'IPTV US'!A969</f>
        <v>11235</v>
      </c>
      <c r="B978" t="str">
        <f>T('IPTV US'!B969)</f>
        <v>Very Savannah by WJCL</v>
      </c>
      <c r="C978" t="s">
        <v>4288</v>
      </c>
      <c r="D978" t="str">
        <f t="shared" si="124"/>
        <v/>
      </c>
      <c r="E978" t="str">
        <f t="shared" si="125"/>
        <v/>
      </c>
      <c r="F978" s="68" t="s">
        <v>4289</v>
      </c>
      <c r="G978">
        <f>'IPTV CA'!A969</f>
        <v>0</v>
      </c>
      <c r="H978" t="str">
        <f>T('IPTV CA'!B969)</f>
        <v/>
      </c>
      <c r="I978" t="s">
        <v>4290</v>
      </c>
      <c r="J978" t="str">
        <f t="shared" si="126"/>
        <v/>
      </c>
      <c r="K978" t="str">
        <f t="shared" si="128"/>
        <v/>
      </c>
      <c r="L978" s="69"/>
      <c r="M978">
        <f>'TMIS US'!A969</f>
        <v>9835</v>
      </c>
      <c r="N978" t="str">
        <f>T('TMIS US'!B969)</f>
        <v>Very Savannah by WJCL</v>
      </c>
      <c r="O978" t="s">
        <v>4288</v>
      </c>
      <c r="P978" t="str">
        <f t="shared" si="127"/>
        <v/>
      </c>
      <c r="Q978" t="str">
        <f t="shared" si="129"/>
        <v/>
      </c>
      <c r="R978" s="69"/>
      <c r="S978">
        <f>'TMIS CA'!A969</f>
        <v>0</v>
      </c>
      <c r="T978" t="str">
        <f>T('TMIS CA'!B969)</f>
        <v/>
      </c>
      <c r="U978" t="s">
        <v>4290</v>
      </c>
      <c r="V978" t="str">
        <f t="shared" si="131"/>
        <v/>
      </c>
      <c r="W978" t="str">
        <f t="shared" si="130"/>
        <v/>
      </c>
    </row>
    <row r="979" spans="1:23">
      <c r="A979">
        <f>'IPTV US'!A970</f>
        <v>11236</v>
      </c>
      <c r="B979" t="str">
        <f>T('IPTV US'!B970)</f>
        <v>Very South Florida by WPBF</v>
      </c>
      <c r="C979" t="s">
        <v>4288</v>
      </c>
      <c r="D979" t="str">
        <f t="shared" si="124"/>
        <v/>
      </c>
      <c r="E979" t="str">
        <f t="shared" si="125"/>
        <v/>
      </c>
      <c r="F979" s="68" t="s">
        <v>4289</v>
      </c>
      <c r="G979">
        <f>'IPTV CA'!A970</f>
        <v>0</v>
      </c>
      <c r="H979" t="str">
        <f>T('IPTV CA'!B970)</f>
        <v/>
      </c>
      <c r="I979" t="s">
        <v>4290</v>
      </c>
      <c r="J979" t="str">
        <f t="shared" si="126"/>
        <v/>
      </c>
      <c r="K979" t="str">
        <f t="shared" si="128"/>
        <v/>
      </c>
      <c r="L979" s="69"/>
      <c r="M979">
        <f>'TMIS US'!A970</f>
        <v>9836</v>
      </c>
      <c r="N979" t="str">
        <f>T('TMIS US'!B970)</f>
        <v>Very South Florida by WPBF</v>
      </c>
      <c r="O979" t="s">
        <v>4288</v>
      </c>
      <c r="P979" t="str">
        <f t="shared" si="127"/>
        <v/>
      </c>
      <c r="Q979" t="str">
        <f t="shared" si="129"/>
        <v/>
      </c>
      <c r="R979" s="69"/>
      <c r="S979">
        <f>'TMIS CA'!A970</f>
        <v>0</v>
      </c>
      <c r="T979" t="str">
        <f>T('TMIS CA'!B970)</f>
        <v/>
      </c>
      <c r="U979" t="s">
        <v>4290</v>
      </c>
      <c r="V979" t="str">
        <f t="shared" si="131"/>
        <v/>
      </c>
      <c r="W979" t="str">
        <f t="shared" si="130"/>
        <v/>
      </c>
    </row>
    <row r="980" spans="1:23">
      <c r="A980">
        <f>'IPTV US'!A971</f>
        <v>11237</v>
      </c>
      <c r="B980" t="str">
        <f>T('IPTV US'!B971)</f>
        <v>Very Tampa Bay by WMOR</v>
      </c>
      <c r="C980" t="s">
        <v>4288</v>
      </c>
      <c r="D980" t="str">
        <f t="shared" si="124"/>
        <v/>
      </c>
      <c r="E980" t="str">
        <f t="shared" si="125"/>
        <v/>
      </c>
      <c r="F980" s="68" t="s">
        <v>4289</v>
      </c>
      <c r="G980">
        <f>'IPTV CA'!A971</f>
        <v>0</v>
      </c>
      <c r="H980" t="str">
        <f>T('IPTV CA'!B971)</f>
        <v/>
      </c>
      <c r="I980" t="s">
        <v>4290</v>
      </c>
      <c r="J980" t="str">
        <f t="shared" si="126"/>
        <v/>
      </c>
      <c r="K980" t="str">
        <f t="shared" si="128"/>
        <v/>
      </c>
      <c r="L980" s="69"/>
      <c r="M980">
        <f>'TMIS US'!A971</f>
        <v>9837</v>
      </c>
      <c r="N980" t="str">
        <f>T('TMIS US'!B971)</f>
        <v>Very Tampa Bay by WMOR</v>
      </c>
      <c r="O980" t="s">
        <v>4288</v>
      </c>
      <c r="P980" t="str">
        <f t="shared" si="127"/>
        <v/>
      </c>
      <c r="Q980" t="str">
        <f t="shared" si="129"/>
        <v/>
      </c>
      <c r="R980" s="69"/>
      <c r="S980">
        <f>'TMIS CA'!A971</f>
        <v>0</v>
      </c>
      <c r="T980" t="str">
        <f>T('TMIS CA'!B971)</f>
        <v/>
      </c>
      <c r="U980" t="s">
        <v>4290</v>
      </c>
      <c r="V980" t="str">
        <f t="shared" si="131"/>
        <v/>
      </c>
      <c r="W980" t="str">
        <f t="shared" si="130"/>
        <v/>
      </c>
    </row>
    <row r="981" spans="1:23">
      <c r="A981">
        <f>'IPTV US'!A972</f>
        <v>11238</v>
      </c>
      <c r="B981" t="str">
        <f>T('IPTV US'!B972)</f>
        <v>WCPO</v>
      </c>
      <c r="C981" t="s">
        <v>4288</v>
      </c>
      <c r="D981" t="str">
        <f t="shared" si="124"/>
        <v/>
      </c>
      <c r="E981" t="str">
        <f t="shared" si="125"/>
        <v/>
      </c>
      <c r="F981" s="68" t="s">
        <v>4289</v>
      </c>
      <c r="G981">
        <f>'IPTV CA'!A972</f>
        <v>0</v>
      </c>
      <c r="H981" t="str">
        <f>T('IPTV CA'!B972)</f>
        <v/>
      </c>
      <c r="I981" t="s">
        <v>4290</v>
      </c>
      <c r="J981" t="str">
        <f t="shared" si="126"/>
        <v/>
      </c>
      <c r="K981" t="str">
        <f t="shared" si="128"/>
        <v/>
      </c>
      <c r="L981" s="69"/>
      <c r="M981">
        <f>'TMIS US'!A972</f>
        <v>9838</v>
      </c>
      <c r="N981" t="str">
        <f>T('TMIS US'!B972)</f>
        <v>WCPO</v>
      </c>
      <c r="O981" t="s">
        <v>4288</v>
      </c>
      <c r="P981" t="str">
        <f t="shared" si="127"/>
        <v/>
      </c>
      <c r="Q981" t="str">
        <f t="shared" si="129"/>
        <v/>
      </c>
      <c r="R981" s="69"/>
      <c r="S981">
        <f>'TMIS CA'!A972</f>
        <v>0</v>
      </c>
      <c r="T981" t="str">
        <f>T('TMIS CA'!B972)</f>
        <v/>
      </c>
      <c r="U981" t="s">
        <v>4290</v>
      </c>
      <c r="V981" t="str">
        <f t="shared" si="131"/>
        <v/>
      </c>
      <c r="W981" t="str">
        <f t="shared" si="130"/>
        <v/>
      </c>
    </row>
    <row r="982" spans="1:23">
      <c r="A982">
        <f>'IPTV US'!A973</f>
        <v>11239</v>
      </c>
      <c r="B982" t="str">
        <f>T('IPTV US'!B973)</f>
        <v>WEWS</v>
      </c>
      <c r="C982" t="s">
        <v>4288</v>
      </c>
      <c r="D982" t="str">
        <f t="shared" si="124"/>
        <v/>
      </c>
      <c r="E982" t="str">
        <f t="shared" si="125"/>
        <v/>
      </c>
      <c r="F982" s="68" t="s">
        <v>4289</v>
      </c>
      <c r="G982">
        <f>'IPTV CA'!A973</f>
        <v>0</v>
      </c>
      <c r="H982" t="str">
        <f>T('IPTV CA'!B973)</f>
        <v/>
      </c>
      <c r="I982" t="s">
        <v>4290</v>
      </c>
      <c r="J982" t="str">
        <f t="shared" si="126"/>
        <v/>
      </c>
      <c r="K982" t="str">
        <f t="shared" si="128"/>
        <v/>
      </c>
      <c r="L982" s="69"/>
      <c r="M982">
        <f>'TMIS US'!A973</f>
        <v>9839</v>
      </c>
      <c r="N982" t="str">
        <f>T('TMIS US'!B973)</f>
        <v>WEWS</v>
      </c>
      <c r="O982" t="s">
        <v>4288</v>
      </c>
      <c r="P982" t="str">
        <f t="shared" si="127"/>
        <v/>
      </c>
      <c r="Q982" t="str">
        <f t="shared" si="129"/>
        <v/>
      </c>
      <c r="R982" s="69"/>
      <c r="S982">
        <f>'TMIS CA'!A973</f>
        <v>0</v>
      </c>
      <c r="T982" t="str">
        <f>T('TMIS CA'!B973)</f>
        <v/>
      </c>
      <c r="U982" t="s">
        <v>4290</v>
      </c>
      <c r="V982" t="str">
        <f t="shared" si="131"/>
        <v/>
      </c>
      <c r="W982" t="str">
        <f t="shared" si="130"/>
        <v/>
      </c>
    </row>
    <row r="983" spans="1:23">
      <c r="A983">
        <f>'IPTV US'!A974</f>
        <v>11240</v>
      </c>
      <c r="B983" t="str">
        <f>T('IPTV US'!B974)</f>
        <v>WFTS</v>
      </c>
      <c r="C983" t="s">
        <v>4288</v>
      </c>
      <c r="D983" t="str">
        <f t="shared" si="124"/>
        <v/>
      </c>
      <c r="E983" t="str">
        <f t="shared" si="125"/>
        <v/>
      </c>
      <c r="F983" s="68" t="s">
        <v>4289</v>
      </c>
      <c r="G983">
        <f>'IPTV CA'!A974</f>
        <v>0</v>
      </c>
      <c r="H983" t="str">
        <f>T('IPTV CA'!B974)</f>
        <v/>
      </c>
      <c r="I983" t="s">
        <v>4290</v>
      </c>
      <c r="J983" t="str">
        <f t="shared" si="126"/>
        <v/>
      </c>
      <c r="K983" t="str">
        <f t="shared" si="128"/>
        <v/>
      </c>
      <c r="L983" s="69"/>
      <c r="M983">
        <f>'TMIS US'!A974</f>
        <v>9840</v>
      </c>
      <c r="N983" t="str">
        <f>T('TMIS US'!B974)</f>
        <v>WFTS</v>
      </c>
      <c r="O983" t="s">
        <v>4288</v>
      </c>
      <c r="P983" t="str">
        <f t="shared" si="127"/>
        <v/>
      </c>
      <c r="Q983" t="str">
        <f t="shared" si="129"/>
        <v/>
      </c>
      <c r="R983" s="69"/>
      <c r="S983">
        <f>'TMIS CA'!A974</f>
        <v>0</v>
      </c>
      <c r="T983" t="str">
        <f>T('TMIS CA'!B974)</f>
        <v/>
      </c>
      <c r="U983" t="s">
        <v>4290</v>
      </c>
      <c r="V983" t="str">
        <f t="shared" si="131"/>
        <v/>
      </c>
      <c r="W983" t="str">
        <f t="shared" si="130"/>
        <v/>
      </c>
    </row>
    <row r="984" spans="1:23">
      <c r="A984">
        <f>'IPTV US'!A975</f>
        <v>11241</v>
      </c>
      <c r="B984" t="str">
        <f>T('IPTV US'!B975)</f>
        <v>WFTV 9 Orlando</v>
      </c>
      <c r="C984" t="s">
        <v>4288</v>
      </c>
      <c r="D984" t="str">
        <f t="shared" si="124"/>
        <v/>
      </c>
      <c r="E984" t="str">
        <f t="shared" si="125"/>
        <v/>
      </c>
      <c r="F984" s="68" t="s">
        <v>4289</v>
      </c>
      <c r="G984">
        <f>'IPTV CA'!A975</f>
        <v>0</v>
      </c>
      <c r="H984" t="str">
        <f>T('IPTV CA'!B975)</f>
        <v/>
      </c>
      <c r="I984" t="s">
        <v>4290</v>
      </c>
      <c r="J984" t="str">
        <f t="shared" si="126"/>
        <v/>
      </c>
      <c r="K984" t="str">
        <f t="shared" si="128"/>
        <v/>
      </c>
      <c r="L984" s="69"/>
      <c r="M984">
        <f>'TMIS US'!A975</f>
        <v>9841</v>
      </c>
      <c r="N984" t="str">
        <f>T('TMIS US'!B975)</f>
        <v>WFTV 9 Orlando</v>
      </c>
      <c r="O984" t="s">
        <v>4288</v>
      </c>
      <c r="P984" t="str">
        <f t="shared" si="127"/>
        <v/>
      </c>
      <c r="Q984" t="str">
        <f t="shared" si="129"/>
        <v/>
      </c>
      <c r="R984" s="69"/>
      <c r="S984">
        <f>'TMIS CA'!A975</f>
        <v>0</v>
      </c>
      <c r="T984" t="str">
        <f>T('TMIS CA'!B975)</f>
        <v/>
      </c>
      <c r="U984" t="s">
        <v>4290</v>
      </c>
      <c r="V984" t="str">
        <f t="shared" si="131"/>
        <v/>
      </c>
      <c r="W984" t="str">
        <f t="shared" si="130"/>
        <v/>
      </c>
    </row>
    <row r="985" spans="1:23">
      <c r="A985">
        <f>'IPTV US'!A976</f>
        <v>11242</v>
      </c>
      <c r="B985" t="str">
        <f>T('IPTV US'!B976)</f>
        <v>WFTX</v>
      </c>
      <c r="C985" t="s">
        <v>4288</v>
      </c>
      <c r="D985" t="str">
        <f t="shared" si="124"/>
        <v/>
      </c>
      <c r="E985" t="str">
        <f t="shared" si="125"/>
        <v/>
      </c>
      <c r="F985" s="68" t="s">
        <v>4289</v>
      </c>
      <c r="G985">
        <f>'IPTV CA'!A976</f>
        <v>0</v>
      </c>
      <c r="H985" t="str">
        <f>T('IPTV CA'!B976)</f>
        <v/>
      </c>
      <c r="I985" t="s">
        <v>4290</v>
      </c>
      <c r="J985" t="str">
        <f t="shared" si="126"/>
        <v/>
      </c>
      <c r="K985" t="str">
        <f t="shared" si="128"/>
        <v/>
      </c>
      <c r="L985" s="69"/>
      <c r="M985">
        <f>'TMIS US'!A976</f>
        <v>9842</v>
      </c>
      <c r="N985" t="str">
        <f>T('TMIS US'!B976)</f>
        <v>WFTX</v>
      </c>
      <c r="O985" t="s">
        <v>4288</v>
      </c>
      <c r="P985" t="str">
        <f t="shared" si="127"/>
        <v/>
      </c>
      <c r="Q985" t="str">
        <f t="shared" si="129"/>
        <v/>
      </c>
      <c r="R985" s="69"/>
      <c r="S985">
        <f>'TMIS CA'!A976</f>
        <v>0</v>
      </c>
      <c r="T985" t="str">
        <f>T('TMIS CA'!B976)</f>
        <v/>
      </c>
      <c r="U985" t="s">
        <v>4290</v>
      </c>
      <c r="V985" t="str">
        <f t="shared" si="131"/>
        <v/>
      </c>
      <c r="W985" t="str">
        <f t="shared" si="130"/>
        <v/>
      </c>
    </row>
    <row r="986" spans="1:23">
      <c r="A986">
        <f>'IPTV US'!A977</f>
        <v>11243</v>
      </c>
      <c r="B986" t="str">
        <f>T('IPTV US'!B977)</f>
        <v>WGBA</v>
      </c>
      <c r="C986" t="s">
        <v>4288</v>
      </c>
      <c r="D986" t="str">
        <f t="shared" si="124"/>
        <v/>
      </c>
      <c r="E986" t="str">
        <f t="shared" si="125"/>
        <v/>
      </c>
      <c r="F986" s="68" t="s">
        <v>4289</v>
      </c>
      <c r="G986">
        <f>'IPTV CA'!A977</f>
        <v>0</v>
      </c>
      <c r="H986" t="str">
        <f>T('IPTV CA'!B977)</f>
        <v/>
      </c>
      <c r="I986" t="s">
        <v>4290</v>
      </c>
      <c r="J986" t="str">
        <f t="shared" si="126"/>
        <v/>
      </c>
      <c r="K986" t="str">
        <f t="shared" si="128"/>
        <v/>
      </c>
      <c r="L986" s="69"/>
      <c r="M986">
        <f>'TMIS US'!A977</f>
        <v>9843</v>
      </c>
      <c r="N986" t="str">
        <f>T('TMIS US'!B977)</f>
        <v>WGBA</v>
      </c>
      <c r="O986" t="s">
        <v>4288</v>
      </c>
      <c r="P986" t="str">
        <f t="shared" si="127"/>
        <v/>
      </c>
      <c r="Q986" t="str">
        <f t="shared" si="129"/>
        <v/>
      </c>
      <c r="R986" s="69"/>
      <c r="S986">
        <f>'TMIS CA'!A977</f>
        <v>0</v>
      </c>
      <c r="T986" t="str">
        <f>T('TMIS CA'!B977)</f>
        <v/>
      </c>
      <c r="U986" t="s">
        <v>4290</v>
      </c>
      <c r="V986" t="str">
        <f t="shared" si="131"/>
        <v/>
      </c>
      <c r="W986" t="str">
        <f t="shared" si="130"/>
        <v/>
      </c>
    </row>
    <row r="987" spans="1:23">
      <c r="A987">
        <f>'IPTV US'!A978</f>
        <v>11244</v>
      </c>
      <c r="B987" t="str">
        <f>T('IPTV US'!B978)</f>
        <v>WHIO Dayton</v>
      </c>
      <c r="C987" t="s">
        <v>4288</v>
      </c>
      <c r="D987" t="str">
        <f t="shared" si="124"/>
        <v/>
      </c>
      <c r="E987" t="str">
        <f t="shared" si="125"/>
        <v/>
      </c>
      <c r="F987" s="68" t="s">
        <v>4289</v>
      </c>
      <c r="G987">
        <f>'IPTV CA'!A978</f>
        <v>0</v>
      </c>
      <c r="H987" t="str">
        <f>T('IPTV CA'!B978)</f>
        <v/>
      </c>
      <c r="I987" t="s">
        <v>4290</v>
      </c>
      <c r="J987" t="str">
        <f t="shared" si="126"/>
        <v/>
      </c>
      <c r="K987" t="str">
        <f t="shared" si="128"/>
        <v/>
      </c>
      <c r="L987" s="69"/>
      <c r="M987">
        <f>'TMIS US'!A978</f>
        <v>9844</v>
      </c>
      <c r="N987" t="str">
        <f>T('TMIS US'!B978)</f>
        <v>WHIO Dayton</v>
      </c>
      <c r="O987" t="s">
        <v>4288</v>
      </c>
      <c r="P987" t="str">
        <f t="shared" si="127"/>
        <v/>
      </c>
      <c r="Q987" t="str">
        <f t="shared" si="129"/>
        <v/>
      </c>
      <c r="R987" s="69"/>
      <c r="S987">
        <f>'TMIS CA'!A978</f>
        <v>0</v>
      </c>
      <c r="T987" t="str">
        <f>T('TMIS CA'!B978)</f>
        <v/>
      </c>
      <c r="U987" t="s">
        <v>4290</v>
      </c>
      <c r="V987" t="str">
        <f t="shared" si="131"/>
        <v/>
      </c>
      <c r="W987" t="str">
        <f t="shared" si="130"/>
        <v/>
      </c>
    </row>
    <row r="988" spans="1:23">
      <c r="A988">
        <f>'IPTV US'!A979</f>
        <v>11245</v>
      </c>
      <c r="B988" t="str">
        <f>T('IPTV US'!B979)</f>
        <v>WKBW</v>
      </c>
      <c r="C988" t="s">
        <v>4288</v>
      </c>
      <c r="D988" t="str">
        <f t="shared" si="124"/>
        <v/>
      </c>
      <c r="E988" t="str">
        <f t="shared" si="125"/>
        <v/>
      </c>
      <c r="F988" s="68" t="s">
        <v>4289</v>
      </c>
      <c r="G988">
        <f>'IPTV CA'!A979</f>
        <v>0</v>
      </c>
      <c r="H988" t="str">
        <f>T('IPTV CA'!B979)</f>
        <v/>
      </c>
      <c r="I988" t="s">
        <v>4290</v>
      </c>
      <c r="J988" t="str">
        <f t="shared" si="126"/>
        <v/>
      </c>
      <c r="K988" t="str">
        <f t="shared" si="128"/>
        <v/>
      </c>
      <c r="L988" s="69"/>
      <c r="M988">
        <f>'TMIS US'!A979</f>
        <v>9845</v>
      </c>
      <c r="N988" t="str">
        <f>T('TMIS US'!B979)</f>
        <v>WKBW</v>
      </c>
      <c r="O988" t="s">
        <v>4288</v>
      </c>
      <c r="P988" t="str">
        <f t="shared" si="127"/>
        <v/>
      </c>
      <c r="Q988" t="str">
        <f t="shared" si="129"/>
        <v/>
      </c>
      <c r="R988" s="69"/>
      <c r="S988">
        <f>'TMIS CA'!A979</f>
        <v>0</v>
      </c>
      <c r="T988" t="str">
        <f>T('TMIS CA'!B979)</f>
        <v/>
      </c>
      <c r="U988" t="s">
        <v>4290</v>
      </c>
      <c r="V988" t="str">
        <f t="shared" si="131"/>
        <v/>
      </c>
      <c r="W988" t="str">
        <f t="shared" si="130"/>
        <v/>
      </c>
    </row>
    <row r="989" spans="1:23">
      <c r="A989">
        <f>'IPTV US'!A980</f>
        <v>11246</v>
      </c>
      <c r="B989" t="str">
        <f>T('IPTV US'!B980)</f>
        <v>WLEX</v>
      </c>
      <c r="C989" t="s">
        <v>4288</v>
      </c>
      <c r="D989" t="str">
        <f t="shared" si="124"/>
        <v/>
      </c>
      <c r="E989" t="str">
        <f t="shared" si="125"/>
        <v/>
      </c>
      <c r="F989" s="68" t="s">
        <v>4289</v>
      </c>
      <c r="G989">
        <f>'IPTV CA'!A980</f>
        <v>0</v>
      </c>
      <c r="H989" t="str">
        <f>T('IPTV CA'!B980)</f>
        <v/>
      </c>
      <c r="I989" t="s">
        <v>4290</v>
      </c>
      <c r="J989" t="str">
        <f t="shared" si="126"/>
        <v/>
      </c>
      <c r="K989" t="str">
        <f t="shared" si="128"/>
        <v/>
      </c>
      <c r="L989" s="69"/>
      <c r="M989">
        <f>'TMIS US'!A980</f>
        <v>9846</v>
      </c>
      <c r="N989" t="str">
        <f>T('TMIS US'!B980)</f>
        <v>WLEX</v>
      </c>
      <c r="O989" t="s">
        <v>4288</v>
      </c>
      <c r="P989" t="str">
        <f t="shared" si="127"/>
        <v/>
      </c>
      <c r="Q989" t="str">
        <f t="shared" si="129"/>
        <v/>
      </c>
      <c r="R989" s="69"/>
      <c r="S989">
        <f>'TMIS CA'!A980</f>
        <v>0</v>
      </c>
      <c r="T989" t="str">
        <f>T('TMIS CA'!B980)</f>
        <v/>
      </c>
      <c r="U989" t="s">
        <v>4290</v>
      </c>
      <c r="V989" t="str">
        <f t="shared" si="131"/>
        <v/>
      </c>
      <c r="W989" t="str">
        <f t="shared" si="130"/>
        <v/>
      </c>
    </row>
    <row r="990" spans="1:23">
      <c r="A990">
        <f>'IPTV US'!A981</f>
        <v>11247</v>
      </c>
      <c r="B990" t="str">
        <f>T('IPTV US'!B981)</f>
        <v>WMAR</v>
      </c>
      <c r="C990" t="s">
        <v>4288</v>
      </c>
      <c r="D990" t="str">
        <f t="shared" si="124"/>
        <v/>
      </c>
      <c r="E990" t="str">
        <f t="shared" si="125"/>
        <v/>
      </c>
      <c r="F990" s="68" t="s">
        <v>4289</v>
      </c>
      <c r="G990">
        <f>'IPTV CA'!A981</f>
        <v>0</v>
      </c>
      <c r="H990" t="str">
        <f>T('IPTV CA'!B981)</f>
        <v/>
      </c>
      <c r="I990" t="s">
        <v>4290</v>
      </c>
      <c r="J990" t="str">
        <f t="shared" si="126"/>
        <v/>
      </c>
      <c r="K990" t="str">
        <f t="shared" si="128"/>
        <v/>
      </c>
      <c r="L990" s="69"/>
      <c r="M990">
        <f>'TMIS US'!A981</f>
        <v>9847</v>
      </c>
      <c r="N990" t="str">
        <f>T('TMIS US'!B981)</f>
        <v>WMAR</v>
      </c>
      <c r="O990" t="s">
        <v>4288</v>
      </c>
      <c r="P990" t="str">
        <f t="shared" si="127"/>
        <v/>
      </c>
      <c r="Q990" t="str">
        <f t="shared" si="129"/>
        <v/>
      </c>
      <c r="R990" s="69"/>
      <c r="S990">
        <f>'TMIS CA'!A981</f>
        <v>0</v>
      </c>
      <c r="T990" t="str">
        <f>T('TMIS CA'!B981)</f>
        <v/>
      </c>
      <c r="U990" t="s">
        <v>4290</v>
      </c>
      <c r="V990" t="str">
        <f t="shared" si="131"/>
        <v/>
      </c>
      <c r="W990" t="str">
        <f t="shared" si="130"/>
        <v/>
      </c>
    </row>
    <row r="991" spans="1:23">
      <c r="A991">
        <f>'IPTV US'!A982</f>
        <v>11248</v>
      </c>
      <c r="B991" t="str">
        <f>T('IPTV US'!B982)</f>
        <v>WPTV</v>
      </c>
      <c r="C991" t="s">
        <v>4288</v>
      </c>
      <c r="D991" t="str">
        <f t="shared" si="124"/>
        <v/>
      </c>
      <c r="E991" t="str">
        <f t="shared" si="125"/>
        <v/>
      </c>
      <c r="F991" s="68" t="s">
        <v>4289</v>
      </c>
      <c r="G991">
        <f>'IPTV CA'!A982</f>
        <v>0</v>
      </c>
      <c r="H991" t="str">
        <f>T('IPTV CA'!B982)</f>
        <v/>
      </c>
      <c r="I991" t="s">
        <v>4290</v>
      </c>
      <c r="J991" t="str">
        <f t="shared" si="126"/>
        <v/>
      </c>
      <c r="K991" t="str">
        <f t="shared" si="128"/>
        <v/>
      </c>
      <c r="L991" s="69"/>
      <c r="M991">
        <f>'TMIS US'!A982</f>
        <v>9848</v>
      </c>
      <c r="N991" t="str">
        <f>T('TMIS US'!B982)</f>
        <v>WPTV</v>
      </c>
      <c r="O991" t="s">
        <v>4288</v>
      </c>
      <c r="P991" t="str">
        <f t="shared" si="127"/>
        <v/>
      </c>
      <c r="Q991" t="str">
        <f t="shared" si="129"/>
        <v/>
      </c>
      <c r="R991" s="69"/>
      <c r="S991">
        <f>'TMIS CA'!A982</f>
        <v>0</v>
      </c>
      <c r="T991" t="str">
        <f>T('TMIS CA'!B982)</f>
        <v/>
      </c>
      <c r="U991" t="s">
        <v>4290</v>
      </c>
      <c r="V991" t="str">
        <f t="shared" si="131"/>
        <v/>
      </c>
      <c r="W991" t="str">
        <f t="shared" si="130"/>
        <v/>
      </c>
    </row>
    <row r="992" spans="1:23">
      <c r="A992">
        <f>'IPTV US'!A983</f>
        <v>11249</v>
      </c>
      <c r="B992" t="str">
        <f>T('IPTV US'!B983)</f>
        <v>WPXI Now Pittsburgh</v>
      </c>
      <c r="C992" t="s">
        <v>4288</v>
      </c>
      <c r="D992" t="str">
        <f t="shared" si="124"/>
        <v/>
      </c>
      <c r="E992" t="str">
        <f t="shared" si="125"/>
        <v/>
      </c>
      <c r="F992" s="68" t="s">
        <v>4289</v>
      </c>
      <c r="G992">
        <f>'IPTV CA'!A983</f>
        <v>0</v>
      </c>
      <c r="H992" t="str">
        <f>T('IPTV CA'!B983)</f>
        <v/>
      </c>
      <c r="I992" t="s">
        <v>4290</v>
      </c>
      <c r="J992" t="str">
        <f t="shared" si="126"/>
        <v/>
      </c>
      <c r="K992" t="str">
        <f t="shared" si="128"/>
        <v/>
      </c>
      <c r="L992" s="69"/>
      <c r="M992">
        <f>'TMIS US'!A983</f>
        <v>9849</v>
      </c>
      <c r="N992" t="str">
        <f>T('TMIS US'!B983)</f>
        <v>WPXI Now Pittsburgh</v>
      </c>
      <c r="O992" t="s">
        <v>4288</v>
      </c>
      <c r="P992" t="str">
        <f t="shared" si="127"/>
        <v/>
      </c>
      <c r="Q992" t="str">
        <f t="shared" si="129"/>
        <v/>
      </c>
      <c r="R992" s="69"/>
      <c r="S992">
        <f>'TMIS CA'!A983</f>
        <v>0</v>
      </c>
      <c r="T992" t="str">
        <f>T('TMIS CA'!B983)</f>
        <v/>
      </c>
      <c r="U992" t="s">
        <v>4290</v>
      </c>
      <c r="V992" t="str">
        <f t="shared" si="131"/>
        <v/>
      </c>
      <c r="W992" t="str">
        <f t="shared" si="130"/>
        <v/>
      </c>
    </row>
    <row r="993" spans="1:23">
      <c r="A993">
        <f>'IPTV US'!A984</f>
        <v>11250</v>
      </c>
      <c r="B993" t="str">
        <f>T('IPTV US'!B984)</f>
        <v>WRTV</v>
      </c>
      <c r="C993" t="s">
        <v>4288</v>
      </c>
      <c r="D993" t="str">
        <f t="shared" si="124"/>
        <v/>
      </c>
      <c r="E993" t="str">
        <f t="shared" si="125"/>
        <v/>
      </c>
      <c r="F993" s="68" t="s">
        <v>4289</v>
      </c>
      <c r="G993">
        <f>'IPTV CA'!A984</f>
        <v>0</v>
      </c>
      <c r="H993" t="str">
        <f>T('IPTV CA'!B984)</f>
        <v/>
      </c>
      <c r="I993" t="s">
        <v>4290</v>
      </c>
      <c r="J993" t="str">
        <f t="shared" si="126"/>
        <v/>
      </c>
      <c r="K993" t="str">
        <f t="shared" si="128"/>
        <v/>
      </c>
      <c r="L993" s="69"/>
      <c r="M993">
        <f>'TMIS US'!A984</f>
        <v>9850</v>
      </c>
      <c r="N993" t="str">
        <f>T('TMIS US'!B984)</f>
        <v>WRTV</v>
      </c>
      <c r="O993" t="s">
        <v>4288</v>
      </c>
      <c r="P993" t="str">
        <f t="shared" si="127"/>
        <v/>
      </c>
      <c r="Q993" t="str">
        <f t="shared" si="129"/>
        <v/>
      </c>
      <c r="R993" s="69"/>
      <c r="S993">
        <f>'TMIS CA'!A984</f>
        <v>0</v>
      </c>
      <c r="T993" t="str">
        <f>T('TMIS CA'!B984)</f>
        <v/>
      </c>
      <c r="U993" t="s">
        <v>4290</v>
      </c>
      <c r="V993" t="str">
        <f t="shared" si="131"/>
        <v/>
      </c>
      <c r="W993" t="str">
        <f t="shared" si="130"/>
        <v/>
      </c>
    </row>
    <row r="994" spans="1:23">
      <c r="A994">
        <f>'IPTV US'!A985</f>
        <v>11251</v>
      </c>
      <c r="B994" t="str">
        <f>T('IPTV US'!B985)</f>
        <v>WSB Now Atlanta</v>
      </c>
      <c r="C994" t="s">
        <v>4288</v>
      </c>
      <c r="D994" t="str">
        <f t="shared" si="124"/>
        <v/>
      </c>
      <c r="E994" t="str">
        <f t="shared" si="125"/>
        <v/>
      </c>
      <c r="F994" s="68" t="s">
        <v>4289</v>
      </c>
      <c r="G994">
        <f>'IPTV CA'!A985</f>
        <v>0</v>
      </c>
      <c r="H994" t="str">
        <f>T('IPTV CA'!B985)</f>
        <v/>
      </c>
      <c r="I994" t="s">
        <v>4290</v>
      </c>
      <c r="J994" t="str">
        <f t="shared" si="126"/>
        <v/>
      </c>
      <c r="K994" t="str">
        <f t="shared" si="128"/>
        <v/>
      </c>
      <c r="L994" s="69"/>
      <c r="M994">
        <f>'TMIS US'!A985</f>
        <v>9851</v>
      </c>
      <c r="N994" t="str">
        <f>T('TMIS US'!B985)</f>
        <v>WSB Now Atlanta</v>
      </c>
      <c r="O994" t="s">
        <v>4288</v>
      </c>
      <c r="P994" t="str">
        <f t="shared" si="127"/>
        <v/>
      </c>
      <c r="Q994" t="str">
        <f t="shared" si="129"/>
        <v/>
      </c>
      <c r="R994" s="69"/>
      <c r="S994">
        <f>'TMIS CA'!A985</f>
        <v>0</v>
      </c>
      <c r="T994" t="str">
        <f>T('TMIS CA'!B985)</f>
        <v/>
      </c>
      <c r="U994" t="s">
        <v>4290</v>
      </c>
      <c r="V994" t="str">
        <f t="shared" si="131"/>
        <v/>
      </c>
      <c r="W994" t="str">
        <f t="shared" si="130"/>
        <v/>
      </c>
    </row>
    <row r="995" spans="1:23">
      <c r="A995">
        <f>'IPTV US'!A986</f>
        <v>11252</v>
      </c>
      <c r="B995" t="str">
        <f>T('IPTV US'!B986)</f>
        <v>WSOC Channel 9</v>
      </c>
      <c r="C995" t="s">
        <v>4288</v>
      </c>
      <c r="D995" t="str">
        <f t="shared" si="124"/>
        <v/>
      </c>
      <c r="E995" t="str">
        <f t="shared" si="125"/>
        <v/>
      </c>
      <c r="F995" s="68" t="s">
        <v>4289</v>
      </c>
      <c r="G995">
        <f>'IPTV CA'!A986</f>
        <v>0</v>
      </c>
      <c r="H995" t="str">
        <f>T('IPTV CA'!B986)</f>
        <v/>
      </c>
      <c r="I995" t="s">
        <v>4290</v>
      </c>
      <c r="J995" t="str">
        <f t="shared" si="126"/>
        <v/>
      </c>
      <c r="K995" t="str">
        <f t="shared" si="128"/>
        <v/>
      </c>
      <c r="L995" s="69"/>
      <c r="M995">
        <f>'TMIS US'!A986</f>
        <v>9852</v>
      </c>
      <c r="N995" t="str">
        <f>T('TMIS US'!B986)</f>
        <v>WSOC Channel 9</v>
      </c>
      <c r="O995" t="s">
        <v>4288</v>
      </c>
      <c r="P995" t="str">
        <f t="shared" si="127"/>
        <v/>
      </c>
      <c r="Q995" t="str">
        <f t="shared" si="129"/>
        <v/>
      </c>
      <c r="R995" s="69"/>
      <c r="S995">
        <f>'TMIS CA'!A986</f>
        <v>0</v>
      </c>
      <c r="T995" t="str">
        <f>T('TMIS CA'!B986)</f>
        <v/>
      </c>
      <c r="U995" t="s">
        <v>4290</v>
      </c>
      <c r="V995" t="str">
        <f t="shared" si="131"/>
        <v/>
      </c>
      <c r="W995" t="str">
        <f t="shared" si="130"/>
        <v/>
      </c>
    </row>
    <row r="996" spans="1:23">
      <c r="A996">
        <f>'IPTV US'!A987</f>
        <v>11253</v>
      </c>
      <c r="B996" t="str">
        <f>T('IPTV US'!B987)</f>
        <v>WSYM</v>
      </c>
      <c r="C996" t="s">
        <v>4288</v>
      </c>
      <c r="D996" t="str">
        <f t="shared" si="124"/>
        <v/>
      </c>
      <c r="E996" t="str">
        <f t="shared" si="125"/>
        <v/>
      </c>
      <c r="F996" s="68" t="s">
        <v>4289</v>
      </c>
      <c r="G996">
        <f>'IPTV CA'!A987</f>
        <v>0</v>
      </c>
      <c r="H996" t="str">
        <f>T('IPTV CA'!B987)</f>
        <v/>
      </c>
      <c r="I996" t="s">
        <v>4290</v>
      </c>
      <c r="J996" t="str">
        <f t="shared" si="126"/>
        <v/>
      </c>
      <c r="K996" t="str">
        <f t="shared" si="128"/>
        <v/>
      </c>
      <c r="L996" s="69"/>
      <c r="M996">
        <f>'TMIS US'!A987</f>
        <v>9853</v>
      </c>
      <c r="N996" t="str">
        <f>T('TMIS US'!B987)</f>
        <v>WSYM</v>
      </c>
      <c r="O996" t="s">
        <v>4288</v>
      </c>
      <c r="P996" t="str">
        <f t="shared" si="127"/>
        <v/>
      </c>
      <c r="Q996" t="str">
        <f t="shared" si="129"/>
        <v/>
      </c>
      <c r="R996" s="69"/>
      <c r="S996">
        <f>'TMIS CA'!A987</f>
        <v>0</v>
      </c>
      <c r="T996" t="str">
        <f>T('TMIS CA'!B987)</f>
        <v/>
      </c>
      <c r="U996" t="s">
        <v>4290</v>
      </c>
      <c r="V996" t="str">
        <f t="shared" si="131"/>
        <v/>
      </c>
      <c r="W996" t="str">
        <f t="shared" si="130"/>
        <v/>
      </c>
    </row>
    <row r="997" spans="1:23">
      <c r="A997">
        <f>'IPTV US'!A988</f>
        <v>11254</v>
      </c>
      <c r="B997" t="str">
        <f>T('IPTV US'!B988)</f>
        <v>WTKR</v>
      </c>
      <c r="C997" t="s">
        <v>4288</v>
      </c>
      <c r="D997" t="str">
        <f t="shared" si="124"/>
        <v/>
      </c>
      <c r="E997" t="str">
        <f t="shared" si="125"/>
        <v/>
      </c>
      <c r="F997" s="68" t="s">
        <v>4289</v>
      </c>
      <c r="G997">
        <f>'IPTV CA'!A988</f>
        <v>0</v>
      </c>
      <c r="H997" t="str">
        <f>T('IPTV CA'!B988)</f>
        <v/>
      </c>
      <c r="I997" t="s">
        <v>4290</v>
      </c>
      <c r="J997" t="str">
        <f t="shared" si="126"/>
        <v/>
      </c>
      <c r="K997" t="str">
        <f t="shared" si="128"/>
        <v/>
      </c>
      <c r="L997" s="69"/>
      <c r="M997">
        <f>'TMIS US'!A988</f>
        <v>9854</v>
      </c>
      <c r="N997" t="str">
        <f>T('TMIS US'!B988)</f>
        <v>WTKR</v>
      </c>
      <c r="O997" t="s">
        <v>4288</v>
      </c>
      <c r="P997" t="str">
        <f t="shared" si="127"/>
        <v/>
      </c>
      <c r="Q997" t="str">
        <f t="shared" si="129"/>
        <v/>
      </c>
      <c r="R997" s="69"/>
      <c r="S997">
        <f>'TMIS CA'!A988</f>
        <v>0</v>
      </c>
      <c r="T997" t="str">
        <f>T('TMIS CA'!B988)</f>
        <v/>
      </c>
      <c r="U997" t="s">
        <v>4290</v>
      </c>
      <c r="V997" t="str">
        <f t="shared" si="131"/>
        <v/>
      </c>
      <c r="W997" t="str">
        <f t="shared" si="130"/>
        <v/>
      </c>
    </row>
    <row r="998" spans="1:23">
      <c r="A998">
        <f>'IPTV US'!A989</f>
        <v>11255</v>
      </c>
      <c r="B998" t="str">
        <f>T('IPTV US'!B989)</f>
        <v>WTMJ</v>
      </c>
      <c r="C998" t="s">
        <v>4288</v>
      </c>
      <c r="D998" t="str">
        <f t="shared" si="124"/>
        <v/>
      </c>
      <c r="E998" t="str">
        <f t="shared" si="125"/>
        <v/>
      </c>
      <c r="F998" s="68" t="s">
        <v>4289</v>
      </c>
      <c r="G998">
        <f>'IPTV CA'!A989</f>
        <v>0</v>
      </c>
      <c r="H998" t="str">
        <f>T('IPTV CA'!B989)</f>
        <v/>
      </c>
      <c r="I998" t="s">
        <v>4290</v>
      </c>
      <c r="J998" t="str">
        <f t="shared" si="126"/>
        <v/>
      </c>
      <c r="K998" t="str">
        <f t="shared" si="128"/>
        <v/>
      </c>
      <c r="L998" s="69"/>
      <c r="M998">
        <f>'TMIS US'!A989</f>
        <v>9855</v>
      </c>
      <c r="N998" t="str">
        <f>T('TMIS US'!B989)</f>
        <v>WTMJ</v>
      </c>
      <c r="O998" t="s">
        <v>4288</v>
      </c>
      <c r="P998" t="str">
        <f t="shared" si="127"/>
        <v/>
      </c>
      <c r="Q998" t="str">
        <f t="shared" si="129"/>
        <v/>
      </c>
      <c r="R998" s="69"/>
      <c r="S998">
        <f>'TMIS CA'!A989</f>
        <v>0</v>
      </c>
      <c r="T998" t="str">
        <f>T('TMIS CA'!B989)</f>
        <v/>
      </c>
      <c r="U998" t="s">
        <v>4290</v>
      </c>
      <c r="V998" t="str">
        <f t="shared" si="131"/>
        <v/>
      </c>
      <c r="W998" t="str">
        <f t="shared" si="130"/>
        <v/>
      </c>
    </row>
    <row r="999" spans="1:23">
      <c r="A999">
        <f>'IPTV US'!A990</f>
        <v>11256</v>
      </c>
      <c r="B999" t="str">
        <f>T('IPTV US'!B990)</f>
        <v>WTVF</v>
      </c>
      <c r="C999" t="s">
        <v>4288</v>
      </c>
      <c r="D999" t="str">
        <f t="shared" si="124"/>
        <v/>
      </c>
      <c r="E999" t="str">
        <f t="shared" si="125"/>
        <v/>
      </c>
      <c r="F999" s="68" t="s">
        <v>4289</v>
      </c>
      <c r="G999">
        <f>'IPTV CA'!A990</f>
        <v>0</v>
      </c>
      <c r="H999" t="str">
        <f>T('IPTV CA'!B990)</f>
        <v/>
      </c>
      <c r="I999" t="s">
        <v>4290</v>
      </c>
      <c r="J999" t="str">
        <f t="shared" si="126"/>
        <v/>
      </c>
      <c r="K999" t="str">
        <f t="shared" si="128"/>
        <v/>
      </c>
      <c r="L999" s="69"/>
      <c r="M999">
        <f>'TMIS US'!A990</f>
        <v>9856</v>
      </c>
      <c r="N999" t="str">
        <f>T('TMIS US'!B990)</f>
        <v>WTVF</v>
      </c>
      <c r="O999" t="s">
        <v>4288</v>
      </c>
      <c r="P999" t="str">
        <f t="shared" si="127"/>
        <v/>
      </c>
      <c r="Q999" t="str">
        <f t="shared" si="129"/>
        <v/>
      </c>
      <c r="R999" s="69"/>
      <c r="S999">
        <f>'TMIS CA'!A990</f>
        <v>0</v>
      </c>
      <c r="T999" t="str">
        <f>T('TMIS CA'!B990)</f>
        <v/>
      </c>
      <c r="U999" t="s">
        <v>4290</v>
      </c>
      <c r="V999" t="str">
        <f t="shared" si="131"/>
        <v/>
      </c>
      <c r="W999" t="str">
        <f t="shared" si="130"/>
        <v/>
      </c>
    </row>
    <row r="1000" spans="1:23">
      <c r="A1000">
        <f>'IPTV US'!A991</f>
        <v>11257</v>
      </c>
      <c r="B1000" t="str">
        <f>T('IPTV US'!B991)</f>
        <v>WTVR</v>
      </c>
      <c r="C1000" t="s">
        <v>4288</v>
      </c>
      <c r="D1000" t="str">
        <f t="shared" si="124"/>
        <v/>
      </c>
      <c r="E1000" t="str">
        <f t="shared" si="125"/>
        <v/>
      </c>
      <c r="F1000" s="68" t="s">
        <v>4289</v>
      </c>
      <c r="G1000">
        <f>'IPTV CA'!A991</f>
        <v>0</v>
      </c>
      <c r="H1000" t="str">
        <f>T('IPTV CA'!B991)</f>
        <v/>
      </c>
      <c r="I1000" t="s">
        <v>4290</v>
      </c>
      <c r="J1000" t="str">
        <f t="shared" si="126"/>
        <v/>
      </c>
      <c r="K1000" t="str">
        <f t="shared" si="128"/>
        <v/>
      </c>
      <c r="L1000" s="69"/>
      <c r="M1000">
        <f>'TMIS US'!A991</f>
        <v>9857</v>
      </c>
      <c r="N1000" t="str">
        <f>T('TMIS US'!B991)</f>
        <v>WTVR</v>
      </c>
      <c r="O1000" t="s">
        <v>4288</v>
      </c>
      <c r="P1000" t="str">
        <f t="shared" si="127"/>
        <v/>
      </c>
      <c r="Q1000" t="str">
        <f t="shared" si="129"/>
        <v/>
      </c>
      <c r="R1000" s="69"/>
      <c r="S1000">
        <f>'TMIS CA'!A991</f>
        <v>0</v>
      </c>
      <c r="T1000" t="str">
        <f>T('TMIS CA'!B991)</f>
        <v/>
      </c>
      <c r="U1000" t="s">
        <v>4290</v>
      </c>
      <c r="V1000" t="str">
        <f t="shared" si="131"/>
        <v/>
      </c>
      <c r="W1000" t="str">
        <f t="shared" si="130"/>
        <v/>
      </c>
    </row>
    <row r="1001" spans="1:23">
      <c r="A1001">
        <f>'IPTV US'!A992</f>
        <v>11258</v>
      </c>
      <c r="B1001" t="str">
        <f>T('IPTV US'!B992)</f>
        <v>WTXL</v>
      </c>
      <c r="C1001" t="s">
        <v>4288</v>
      </c>
      <c r="D1001" t="str">
        <f t="shared" si="124"/>
        <v/>
      </c>
      <c r="E1001" t="str">
        <f t="shared" si="125"/>
        <v/>
      </c>
      <c r="F1001" s="68" t="s">
        <v>4289</v>
      </c>
      <c r="G1001">
        <f>'IPTV CA'!A992</f>
        <v>0</v>
      </c>
      <c r="H1001" t="str">
        <f>T('IPTV CA'!B992)</f>
        <v/>
      </c>
      <c r="I1001" t="s">
        <v>4290</v>
      </c>
      <c r="J1001" t="str">
        <f t="shared" si="126"/>
        <v/>
      </c>
      <c r="K1001" t="str">
        <f t="shared" si="128"/>
        <v/>
      </c>
      <c r="L1001" s="69"/>
      <c r="M1001">
        <f>'TMIS US'!A992</f>
        <v>9858</v>
      </c>
      <c r="N1001" t="str">
        <f>T('TMIS US'!B992)</f>
        <v>WTXL</v>
      </c>
      <c r="O1001" t="s">
        <v>4288</v>
      </c>
      <c r="P1001" t="str">
        <f t="shared" si="127"/>
        <v/>
      </c>
      <c r="Q1001" t="str">
        <f t="shared" si="129"/>
        <v/>
      </c>
      <c r="R1001" s="69"/>
      <c r="S1001">
        <f>'TMIS CA'!A992</f>
        <v>0</v>
      </c>
      <c r="T1001" t="str">
        <f>T('TMIS CA'!B992)</f>
        <v/>
      </c>
      <c r="U1001" t="s">
        <v>4290</v>
      </c>
      <c r="V1001" t="str">
        <f t="shared" si="131"/>
        <v/>
      </c>
      <c r="W1001" t="str">
        <f t="shared" si="130"/>
        <v/>
      </c>
    </row>
    <row r="1002" spans="1:23">
      <c r="A1002">
        <f>'IPTV US'!A993</f>
        <v>11259</v>
      </c>
      <c r="B1002" t="str">
        <f>T('IPTV US'!B993)</f>
        <v>WXMI</v>
      </c>
      <c r="C1002" t="s">
        <v>4288</v>
      </c>
      <c r="D1002" t="str">
        <f t="shared" si="124"/>
        <v/>
      </c>
      <c r="E1002" t="str">
        <f t="shared" si="125"/>
        <v/>
      </c>
      <c r="F1002" s="68" t="s">
        <v>4289</v>
      </c>
      <c r="G1002">
        <f>'IPTV CA'!A993</f>
        <v>0</v>
      </c>
      <c r="H1002" t="str">
        <f>T('IPTV CA'!B993)</f>
        <v/>
      </c>
      <c r="I1002" t="s">
        <v>4290</v>
      </c>
      <c r="J1002" t="str">
        <f t="shared" si="126"/>
        <v/>
      </c>
      <c r="K1002" t="str">
        <f t="shared" si="128"/>
        <v/>
      </c>
      <c r="L1002" s="69"/>
      <c r="M1002">
        <f>'TMIS US'!A993</f>
        <v>9859</v>
      </c>
      <c r="N1002" t="str">
        <f>T('TMIS US'!B993)</f>
        <v>WXMI</v>
      </c>
      <c r="O1002" t="s">
        <v>4288</v>
      </c>
      <c r="P1002" t="str">
        <f t="shared" si="127"/>
        <v/>
      </c>
      <c r="Q1002" t="str">
        <f t="shared" si="129"/>
        <v/>
      </c>
      <c r="R1002" s="69"/>
      <c r="S1002">
        <f>'TMIS CA'!A993</f>
        <v>0</v>
      </c>
      <c r="T1002" t="str">
        <f>T('TMIS CA'!B993)</f>
        <v/>
      </c>
      <c r="U1002" t="s">
        <v>4290</v>
      </c>
      <c r="V1002" t="str">
        <f t="shared" si="131"/>
        <v/>
      </c>
      <c r="W1002" t="str">
        <f t="shared" si="130"/>
        <v/>
      </c>
    </row>
    <row r="1003" spans="1:23">
      <c r="A1003">
        <f>'IPTV US'!A994</f>
        <v>11260</v>
      </c>
      <c r="B1003" t="str">
        <f>T('IPTV US'!B994)</f>
        <v>WXYZ</v>
      </c>
      <c r="C1003" t="s">
        <v>4288</v>
      </c>
      <c r="D1003" t="str">
        <f t="shared" si="124"/>
        <v/>
      </c>
      <c r="E1003" t="str">
        <f t="shared" si="125"/>
        <v/>
      </c>
      <c r="F1003" s="68" t="s">
        <v>4289</v>
      </c>
      <c r="G1003">
        <f>'IPTV CA'!A994</f>
        <v>0</v>
      </c>
      <c r="H1003" t="str">
        <f>T('IPTV CA'!B994)</f>
        <v/>
      </c>
      <c r="I1003" t="s">
        <v>4290</v>
      </c>
      <c r="J1003" t="str">
        <f t="shared" si="126"/>
        <v/>
      </c>
      <c r="K1003" t="str">
        <f t="shared" si="128"/>
        <v/>
      </c>
      <c r="L1003" s="69"/>
      <c r="M1003">
        <f>'TMIS US'!A994</f>
        <v>9860</v>
      </c>
      <c r="N1003" t="str">
        <f>T('TMIS US'!B994)</f>
        <v>WXYZ</v>
      </c>
      <c r="O1003" t="s">
        <v>4288</v>
      </c>
      <c r="P1003" t="str">
        <f t="shared" si="127"/>
        <v/>
      </c>
      <c r="Q1003" t="str">
        <f t="shared" si="129"/>
        <v/>
      </c>
      <c r="R1003" s="69"/>
      <c r="S1003">
        <f>'TMIS CA'!A994</f>
        <v>0</v>
      </c>
      <c r="T1003" t="str">
        <f>T('TMIS CA'!B994)</f>
        <v/>
      </c>
      <c r="U1003" t="s">
        <v>4290</v>
      </c>
      <c r="V1003" t="str">
        <f t="shared" si="131"/>
        <v/>
      </c>
      <c r="W1003" t="str">
        <f t="shared" si="130"/>
        <v/>
      </c>
    </row>
    <row r="1004" spans="1:23">
      <c r="A1004">
        <f>'IPTV US'!A995</f>
        <v>0</v>
      </c>
      <c r="B1004" t="str">
        <f>T('IPTV US'!B995)</f>
        <v/>
      </c>
      <c r="C1004" t="s">
        <v>4290</v>
      </c>
      <c r="D1004" t="str">
        <f t="shared" si="124"/>
        <v/>
      </c>
      <c r="E1004" t="str">
        <f t="shared" si="125"/>
        <v/>
      </c>
      <c r="F1004" s="68" t="s">
        <v>4289</v>
      </c>
      <c r="G1004">
        <f>'IPTV CA'!A995</f>
        <v>0</v>
      </c>
      <c r="H1004" t="str">
        <f>T('IPTV CA'!B995)</f>
        <v/>
      </c>
      <c r="I1004" t="s">
        <v>4290</v>
      </c>
      <c r="J1004" t="str">
        <f t="shared" si="126"/>
        <v/>
      </c>
      <c r="K1004" t="str">
        <f t="shared" si="128"/>
        <v/>
      </c>
      <c r="L1004" s="69"/>
      <c r="M1004">
        <f>'TMIS US'!A995</f>
        <v>0</v>
      </c>
      <c r="N1004" t="str">
        <f>T('TMIS US'!B995)</f>
        <v/>
      </c>
      <c r="O1004" t="s">
        <v>4290</v>
      </c>
      <c r="P1004" t="str">
        <f t="shared" si="127"/>
        <v/>
      </c>
      <c r="Q1004" t="str">
        <f t="shared" si="129"/>
        <v/>
      </c>
      <c r="R1004" s="69"/>
      <c r="S1004">
        <f>'TMIS CA'!A995</f>
        <v>0</v>
      </c>
      <c r="T1004" t="str">
        <f>T('TMIS CA'!B995)</f>
        <v/>
      </c>
      <c r="U1004" t="s">
        <v>4290</v>
      </c>
      <c r="V1004" t="str">
        <f t="shared" si="131"/>
        <v/>
      </c>
      <c r="W1004" t="str">
        <f t="shared" si="130"/>
        <v/>
      </c>
    </row>
    <row r="1005" spans="1:23">
      <c r="A1005">
        <f>'IPTV US'!A996</f>
        <v>0</v>
      </c>
      <c r="B1005" t="str">
        <f>T('IPTV US'!B996)</f>
        <v/>
      </c>
      <c r="C1005" t="s">
        <v>4290</v>
      </c>
      <c r="D1005" t="str">
        <f t="shared" si="124"/>
        <v/>
      </c>
      <c r="E1005" t="str">
        <f t="shared" si="125"/>
        <v/>
      </c>
      <c r="F1005" s="68" t="s">
        <v>4289</v>
      </c>
      <c r="G1005">
        <f>'IPTV CA'!A996</f>
        <v>0</v>
      </c>
      <c r="H1005" t="str">
        <f>T('IPTV CA'!B996)</f>
        <v/>
      </c>
      <c r="I1005" t="s">
        <v>4290</v>
      </c>
      <c r="J1005" t="str">
        <f t="shared" si="126"/>
        <v/>
      </c>
      <c r="K1005" t="str">
        <f t="shared" ref="K1005:K1068" si="132">IF(I1005="Vacant",IF(H1005="","","Please Notify - Channel Added"),"")</f>
        <v/>
      </c>
      <c r="L1005" s="69"/>
      <c r="M1005">
        <f>'TMIS US'!A996</f>
        <v>0</v>
      </c>
      <c r="N1005" t="str">
        <f>T('TMIS US'!B996)</f>
        <v/>
      </c>
      <c r="O1005" t="s">
        <v>4290</v>
      </c>
      <c r="P1005" t="str">
        <f t="shared" si="127"/>
        <v/>
      </c>
      <c r="Q1005" t="str">
        <f t="shared" si="129"/>
        <v/>
      </c>
      <c r="R1005" s="69"/>
      <c r="S1005">
        <f>'TMIS CA'!A996</f>
        <v>0</v>
      </c>
      <c r="T1005" t="str">
        <f>T('TMIS CA'!B996)</f>
        <v/>
      </c>
      <c r="U1005" t="s">
        <v>4290</v>
      </c>
      <c r="V1005" t="str">
        <f t="shared" si="131"/>
        <v/>
      </c>
      <c r="W1005" t="str">
        <f t="shared" si="130"/>
        <v/>
      </c>
    </row>
    <row r="1006" spans="1:23">
      <c r="A1006">
        <f>'IPTV US'!A997</f>
        <v>0</v>
      </c>
      <c r="B1006" t="str">
        <f>T('IPTV US'!B997)</f>
        <v/>
      </c>
      <c r="C1006" t="s">
        <v>4290</v>
      </c>
      <c r="D1006" t="str">
        <f t="shared" si="124"/>
        <v/>
      </c>
      <c r="E1006" t="str">
        <f t="shared" si="125"/>
        <v/>
      </c>
      <c r="F1006" s="68" t="s">
        <v>4289</v>
      </c>
      <c r="G1006">
        <f>'IPTV CA'!A997</f>
        <v>0</v>
      </c>
      <c r="H1006" t="str">
        <f>T('IPTV CA'!B997)</f>
        <v/>
      </c>
      <c r="I1006" t="s">
        <v>4290</v>
      </c>
      <c r="J1006" t="str">
        <f t="shared" si="126"/>
        <v/>
      </c>
      <c r="K1006" t="str">
        <f t="shared" si="132"/>
        <v/>
      </c>
      <c r="L1006" s="69"/>
      <c r="M1006">
        <f>'TMIS US'!A997</f>
        <v>0</v>
      </c>
      <c r="N1006" t="str">
        <f>T('TMIS US'!B997)</f>
        <v/>
      </c>
      <c r="O1006" t="s">
        <v>4290</v>
      </c>
      <c r="P1006" t="str">
        <f t="shared" si="127"/>
        <v/>
      </c>
      <c r="Q1006" t="str">
        <f t="shared" si="129"/>
        <v/>
      </c>
      <c r="R1006" s="69"/>
      <c r="S1006">
        <f>'TMIS CA'!A997</f>
        <v>0</v>
      </c>
      <c r="T1006" t="str">
        <f>T('TMIS CA'!B997)</f>
        <v/>
      </c>
      <c r="U1006" t="s">
        <v>4290</v>
      </c>
      <c r="V1006" t="str">
        <f t="shared" si="131"/>
        <v/>
      </c>
      <c r="W1006" t="str">
        <f t="shared" si="130"/>
        <v/>
      </c>
    </row>
    <row r="1007" spans="1:23">
      <c r="A1007">
        <f>'IPTV US'!A998</f>
        <v>0</v>
      </c>
      <c r="B1007" t="str">
        <f>T('IPTV US'!B998)</f>
        <v/>
      </c>
      <c r="C1007" t="s">
        <v>4290</v>
      </c>
      <c r="D1007" t="str">
        <f t="shared" si="124"/>
        <v/>
      </c>
      <c r="E1007" t="str">
        <f t="shared" si="125"/>
        <v/>
      </c>
      <c r="F1007" s="68" t="s">
        <v>4289</v>
      </c>
      <c r="G1007">
        <f>'IPTV CA'!A998</f>
        <v>0</v>
      </c>
      <c r="H1007" t="str">
        <f>T('IPTV CA'!B998)</f>
        <v/>
      </c>
      <c r="I1007" t="s">
        <v>4290</v>
      </c>
      <c r="J1007" t="str">
        <f t="shared" si="126"/>
        <v/>
      </c>
      <c r="K1007" t="str">
        <f t="shared" si="132"/>
        <v/>
      </c>
      <c r="L1007" s="69"/>
      <c r="M1007">
        <f>'TMIS US'!A998</f>
        <v>0</v>
      </c>
      <c r="N1007" t="str">
        <f>T('TMIS US'!B998)</f>
        <v/>
      </c>
      <c r="O1007" t="s">
        <v>4290</v>
      </c>
      <c r="P1007" t="str">
        <f t="shared" si="127"/>
        <v/>
      </c>
      <c r="Q1007" t="str">
        <f t="shared" si="129"/>
        <v/>
      </c>
      <c r="R1007" s="69"/>
      <c r="S1007">
        <f>'TMIS CA'!A998</f>
        <v>0</v>
      </c>
      <c r="T1007" t="str">
        <f>T('TMIS CA'!B998)</f>
        <v/>
      </c>
      <c r="U1007" t="s">
        <v>4290</v>
      </c>
      <c r="V1007" t="str">
        <f t="shared" si="131"/>
        <v/>
      </c>
      <c r="W1007" t="str">
        <f t="shared" si="130"/>
        <v/>
      </c>
    </row>
    <row r="1008" spans="1:23">
      <c r="A1008">
        <f>'IPTV US'!A999</f>
        <v>0</v>
      </c>
      <c r="B1008" t="str">
        <f>T('IPTV US'!B999)</f>
        <v/>
      </c>
      <c r="C1008" t="s">
        <v>4290</v>
      </c>
      <c r="D1008" t="str">
        <f t="shared" si="124"/>
        <v/>
      </c>
      <c r="E1008" t="str">
        <f t="shared" si="125"/>
        <v/>
      </c>
      <c r="F1008" s="68" t="s">
        <v>4289</v>
      </c>
      <c r="G1008">
        <f>'IPTV CA'!A999</f>
        <v>0</v>
      </c>
      <c r="H1008" t="str">
        <f>T('IPTV CA'!B999)</f>
        <v/>
      </c>
      <c r="I1008" t="s">
        <v>4290</v>
      </c>
      <c r="J1008" t="str">
        <f t="shared" si="126"/>
        <v/>
      </c>
      <c r="K1008" t="str">
        <f t="shared" si="132"/>
        <v/>
      </c>
      <c r="L1008" s="69"/>
      <c r="M1008">
        <f>'TMIS US'!A999</f>
        <v>0</v>
      </c>
      <c r="N1008" t="str">
        <f>T('TMIS US'!B999)</f>
        <v/>
      </c>
      <c r="O1008" t="s">
        <v>4290</v>
      </c>
      <c r="P1008" t="str">
        <f t="shared" si="127"/>
        <v/>
      </c>
      <c r="Q1008" t="str">
        <f t="shared" si="129"/>
        <v/>
      </c>
      <c r="R1008" s="69"/>
      <c r="S1008">
        <f>'TMIS CA'!A999</f>
        <v>0</v>
      </c>
      <c r="T1008" t="str">
        <f>T('TMIS CA'!B999)</f>
        <v/>
      </c>
      <c r="U1008" t="s">
        <v>4290</v>
      </c>
      <c r="V1008" t="str">
        <f t="shared" si="131"/>
        <v/>
      </c>
      <c r="W1008" t="str">
        <f t="shared" si="130"/>
        <v/>
      </c>
    </row>
    <row r="1009" spans="1:23">
      <c r="A1009">
        <f>'IPTV US'!A1000</f>
        <v>0</v>
      </c>
      <c r="B1009" t="str">
        <f>T('IPTV US'!B1000)</f>
        <v/>
      </c>
      <c r="C1009" t="s">
        <v>4290</v>
      </c>
      <c r="D1009" t="str">
        <f t="shared" si="124"/>
        <v/>
      </c>
      <c r="E1009" t="str">
        <f t="shared" si="125"/>
        <v/>
      </c>
      <c r="F1009" s="68" t="s">
        <v>4289</v>
      </c>
      <c r="G1009">
        <f>'IPTV CA'!A1000</f>
        <v>0</v>
      </c>
      <c r="H1009" t="str">
        <f>T('IPTV CA'!B1000)</f>
        <v/>
      </c>
      <c r="I1009" t="s">
        <v>4290</v>
      </c>
      <c r="J1009" t="str">
        <f t="shared" si="126"/>
        <v/>
      </c>
      <c r="K1009" t="str">
        <f t="shared" si="132"/>
        <v/>
      </c>
      <c r="L1009" s="69"/>
      <c r="M1009">
        <f>'TMIS US'!A1000</f>
        <v>0</v>
      </c>
      <c r="N1009" t="str">
        <f>T('TMIS US'!B1000)</f>
        <v/>
      </c>
      <c r="O1009" t="s">
        <v>4290</v>
      </c>
      <c r="P1009" t="str">
        <f t="shared" si="127"/>
        <v/>
      </c>
      <c r="Q1009" t="str">
        <f t="shared" si="129"/>
        <v/>
      </c>
      <c r="R1009" s="69"/>
      <c r="S1009">
        <f>'TMIS CA'!A1000</f>
        <v>0</v>
      </c>
      <c r="T1009" t="str">
        <f>T('TMIS CA'!B1000)</f>
        <v/>
      </c>
      <c r="U1009" t="s">
        <v>4290</v>
      </c>
      <c r="V1009" t="str">
        <f t="shared" si="131"/>
        <v/>
      </c>
      <c r="W1009" t="str">
        <f t="shared" si="130"/>
        <v/>
      </c>
    </row>
    <row r="1010" spans="1:23">
      <c r="A1010">
        <f>'IPTV US'!A1001</f>
        <v>0</v>
      </c>
      <c r="B1010" t="str">
        <f>T('IPTV US'!B1001)</f>
        <v/>
      </c>
      <c r="C1010" t="s">
        <v>4290</v>
      </c>
      <c r="D1010" t="str">
        <f t="shared" si="124"/>
        <v/>
      </c>
      <c r="E1010" t="str">
        <f t="shared" si="125"/>
        <v/>
      </c>
      <c r="F1010" s="68" t="s">
        <v>4289</v>
      </c>
      <c r="G1010">
        <f>'IPTV CA'!A1001</f>
        <v>0</v>
      </c>
      <c r="H1010" t="str">
        <f>T('IPTV CA'!B1001)</f>
        <v/>
      </c>
      <c r="I1010" t="s">
        <v>4290</v>
      </c>
      <c r="J1010" t="str">
        <f t="shared" si="126"/>
        <v/>
      </c>
      <c r="K1010" t="str">
        <f t="shared" si="132"/>
        <v/>
      </c>
      <c r="L1010" s="69"/>
      <c r="M1010">
        <f>'TMIS US'!A1001</f>
        <v>0</v>
      </c>
      <c r="N1010" t="str">
        <f>T('TMIS US'!B1001)</f>
        <v/>
      </c>
      <c r="O1010" t="s">
        <v>4290</v>
      </c>
      <c r="P1010" t="str">
        <f t="shared" si="127"/>
        <v/>
      </c>
      <c r="Q1010" t="str">
        <f t="shared" si="129"/>
        <v/>
      </c>
      <c r="R1010" s="69"/>
      <c r="S1010">
        <f>'TMIS CA'!A1001</f>
        <v>0</v>
      </c>
      <c r="T1010" t="str">
        <f>T('TMIS CA'!B1001)</f>
        <v/>
      </c>
      <c r="U1010" t="s">
        <v>4290</v>
      </c>
      <c r="V1010" t="str">
        <f t="shared" si="131"/>
        <v/>
      </c>
      <c r="W1010" t="str">
        <f t="shared" si="130"/>
        <v/>
      </c>
    </row>
    <row r="1011" spans="1:23">
      <c r="A1011">
        <f>'IPTV US'!A1002</f>
        <v>0</v>
      </c>
      <c r="B1011" t="str">
        <f>T('IPTV US'!B1002)</f>
        <v/>
      </c>
      <c r="C1011" t="s">
        <v>4290</v>
      </c>
      <c r="D1011" t="str">
        <f t="shared" si="124"/>
        <v/>
      </c>
      <c r="E1011" t="str">
        <f t="shared" si="125"/>
        <v/>
      </c>
      <c r="F1011" s="68" t="s">
        <v>4289</v>
      </c>
      <c r="G1011">
        <f>'IPTV CA'!A1002</f>
        <v>0</v>
      </c>
      <c r="H1011" t="str">
        <f>T('IPTV CA'!B1002)</f>
        <v/>
      </c>
      <c r="I1011" t="s">
        <v>4290</v>
      </c>
      <c r="J1011" t="str">
        <f t="shared" si="126"/>
        <v/>
      </c>
      <c r="K1011" t="str">
        <f t="shared" si="132"/>
        <v/>
      </c>
      <c r="L1011" s="69"/>
      <c r="M1011">
        <f>'TMIS US'!A1002</f>
        <v>0</v>
      </c>
      <c r="N1011" t="str">
        <f>T('TMIS US'!B1002)</f>
        <v/>
      </c>
      <c r="O1011" t="s">
        <v>4290</v>
      </c>
      <c r="P1011" t="str">
        <f t="shared" si="127"/>
        <v/>
      </c>
      <c r="Q1011" t="str">
        <f t="shared" si="129"/>
        <v/>
      </c>
      <c r="R1011" s="69"/>
      <c r="S1011">
        <f>'TMIS CA'!A1002</f>
        <v>0</v>
      </c>
      <c r="T1011" t="str">
        <f>T('TMIS CA'!B1002)</f>
        <v/>
      </c>
      <c r="U1011" t="s">
        <v>4290</v>
      </c>
      <c r="V1011" t="str">
        <f t="shared" si="131"/>
        <v/>
      </c>
      <c r="W1011" t="str">
        <f t="shared" si="130"/>
        <v/>
      </c>
    </row>
    <row r="1012" spans="1:23">
      <c r="A1012">
        <f>'IPTV US'!A1003</f>
        <v>0</v>
      </c>
      <c r="B1012" t="str">
        <f>T('IPTV US'!B1003)</f>
        <v/>
      </c>
      <c r="C1012" t="s">
        <v>4290</v>
      </c>
      <c r="D1012" t="str">
        <f t="shared" si="124"/>
        <v/>
      </c>
      <c r="E1012" t="str">
        <f t="shared" si="125"/>
        <v/>
      </c>
      <c r="F1012" s="68" t="s">
        <v>4289</v>
      </c>
      <c r="G1012">
        <f>'IPTV CA'!A1003</f>
        <v>0</v>
      </c>
      <c r="H1012" t="str">
        <f>T('IPTV CA'!B1003)</f>
        <v/>
      </c>
      <c r="I1012" t="s">
        <v>4290</v>
      </c>
      <c r="J1012" t="str">
        <f t="shared" si="126"/>
        <v/>
      </c>
      <c r="K1012" t="str">
        <f t="shared" si="132"/>
        <v/>
      </c>
      <c r="L1012" s="69"/>
      <c r="M1012">
        <f>'TMIS US'!A1003</f>
        <v>0</v>
      </c>
      <c r="N1012" t="str">
        <f>T('TMIS US'!B1003)</f>
        <v/>
      </c>
      <c r="O1012" t="s">
        <v>4290</v>
      </c>
      <c r="P1012" t="str">
        <f t="shared" si="127"/>
        <v/>
      </c>
      <c r="Q1012" t="str">
        <f t="shared" si="129"/>
        <v/>
      </c>
      <c r="R1012" s="69"/>
      <c r="S1012">
        <f>'TMIS CA'!A1003</f>
        <v>0</v>
      </c>
      <c r="T1012" t="str">
        <f>T('TMIS CA'!B1003)</f>
        <v/>
      </c>
      <c r="U1012" t="s">
        <v>4290</v>
      </c>
      <c r="V1012" t="str">
        <f t="shared" si="131"/>
        <v/>
      </c>
      <c r="W1012" t="str">
        <f t="shared" si="130"/>
        <v/>
      </c>
    </row>
    <row r="1013" spans="1:23">
      <c r="A1013">
        <f>'IPTV US'!A1004</f>
        <v>0</v>
      </c>
      <c r="B1013" t="str">
        <f>T('IPTV US'!B1004)</f>
        <v/>
      </c>
      <c r="C1013" t="s">
        <v>4290</v>
      </c>
      <c r="D1013" t="str">
        <f t="shared" si="124"/>
        <v/>
      </c>
      <c r="E1013" t="str">
        <f t="shared" si="125"/>
        <v/>
      </c>
      <c r="F1013" s="68" t="s">
        <v>4289</v>
      </c>
      <c r="G1013">
        <f>'IPTV CA'!A1004</f>
        <v>0</v>
      </c>
      <c r="H1013" t="str">
        <f>T('IPTV CA'!B1004)</f>
        <v/>
      </c>
      <c r="I1013" t="s">
        <v>4290</v>
      </c>
      <c r="J1013" t="str">
        <f t="shared" si="126"/>
        <v/>
      </c>
      <c r="K1013" t="str">
        <f t="shared" si="132"/>
        <v/>
      </c>
      <c r="L1013" s="69"/>
      <c r="M1013">
        <f>'TMIS US'!A1004</f>
        <v>0</v>
      </c>
      <c r="N1013" t="str">
        <f>T('TMIS US'!B1004)</f>
        <v/>
      </c>
      <c r="O1013" t="s">
        <v>4290</v>
      </c>
      <c r="P1013" t="str">
        <f t="shared" si="127"/>
        <v/>
      </c>
      <c r="Q1013" t="str">
        <f t="shared" si="129"/>
        <v/>
      </c>
      <c r="R1013" s="69"/>
      <c r="S1013">
        <f>'TMIS CA'!A1004</f>
        <v>0</v>
      </c>
      <c r="T1013" t="str">
        <f>T('TMIS CA'!B1004)</f>
        <v/>
      </c>
      <c r="U1013" t="s">
        <v>4290</v>
      </c>
      <c r="V1013" t="str">
        <f t="shared" si="131"/>
        <v/>
      </c>
      <c r="W1013" t="str">
        <f t="shared" si="130"/>
        <v/>
      </c>
    </row>
    <row r="1014" spans="1:23">
      <c r="A1014">
        <f>'IPTV US'!A1005</f>
        <v>0</v>
      </c>
      <c r="B1014" t="str">
        <f>T('IPTV US'!B1005)</f>
        <v/>
      </c>
      <c r="C1014" t="s">
        <v>4290</v>
      </c>
      <c r="D1014" t="str">
        <f t="shared" si="124"/>
        <v/>
      </c>
      <c r="E1014" t="str">
        <f t="shared" si="125"/>
        <v/>
      </c>
      <c r="F1014" s="68" t="s">
        <v>4289</v>
      </c>
      <c r="G1014">
        <f>'IPTV CA'!A1005</f>
        <v>0</v>
      </c>
      <c r="H1014" t="str">
        <f>T('IPTV CA'!B1005)</f>
        <v/>
      </c>
      <c r="I1014" t="s">
        <v>4290</v>
      </c>
      <c r="J1014" t="str">
        <f t="shared" si="126"/>
        <v/>
      </c>
      <c r="K1014" t="str">
        <f t="shared" si="132"/>
        <v/>
      </c>
      <c r="L1014" s="69"/>
      <c r="M1014">
        <f>'TMIS US'!A1005</f>
        <v>0</v>
      </c>
      <c r="N1014" t="str">
        <f>T('TMIS US'!B1005)</f>
        <v/>
      </c>
      <c r="O1014" t="s">
        <v>4290</v>
      </c>
      <c r="P1014" t="str">
        <f t="shared" si="127"/>
        <v/>
      </c>
      <c r="Q1014" t="str">
        <f t="shared" si="129"/>
        <v/>
      </c>
      <c r="R1014" s="69"/>
      <c r="S1014">
        <f>'TMIS CA'!A1005</f>
        <v>0</v>
      </c>
      <c r="T1014" t="str">
        <f>T('TMIS CA'!B1005)</f>
        <v/>
      </c>
      <c r="U1014" t="s">
        <v>4290</v>
      </c>
      <c r="V1014" t="str">
        <f t="shared" si="131"/>
        <v/>
      </c>
      <c r="W1014" t="str">
        <f t="shared" si="130"/>
        <v/>
      </c>
    </row>
    <row r="1015" spans="1:23">
      <c r="A1015">
        <f>'IPTV US'!A1006</f>
        <v>0</v>
      </c>
      <c r="B1015" t="str">
        <f>T('IPTV US'!B1006)</f>
        <v/>
      </c>
      <c r="C1015" t="s">
        <v>4290</v>
      </c>
      <c r="D1015" t="str">
        <f t="shared" si="124"/>
        <v/>
      </c>
      <c r="E1015" t="str">
        <f t="shared" si="125"/>
        <v/>
      </c>
      <c r="F1015" s="68" t="s">
        <v>4289</v>
      </c>
      <c r="G1015">
        <f>'IPTV CA'!A1006</f>
        <v>0</v>
      </c>
      <c r="H1015" t="str">
        <f>T('IPTV CA'!B1006)</f>
        <v/>
      </c>
      <c r="I1015" t="s">
        <v>4290</v>
      </c>
      <c r="J1015" t="str">
        <f t="shared" si="126"/>
        <v/>
      </c>
      <c r="K1015" t="str">
        <f t="shared" si="132"/>
        <v/>
      </c>
      <c r="L1015" s="69"/>
      <c r="M1015">
        <f>'TMIS US'!A1006</f>
        <v>0</v>
      </c>
      <c r="N1015" t="str">
        <f>T('TMIS US'!B1006)</f>
        <v/>
      </c>
      <c r="O1015" t="s">
        <v>4290</v>
      </c>
      <c r="P1015" t="str">
        <f t="shared" si="127"/>
        <v/>
      </c>
      <c r="Q1015" t="str">
        <f t="shared" si="129"/>
        <v/>
      </c>
      <c r="R1015" s="69"/>
      <c r="S1015">
        <f>'TMIS CA'!A1006</f>
        <v>0</v>
      </c>
      <c r="T1015" t="str">
        <f>T('TMIS CA'!B1006)</f>
        <v/>
      </c>
      <c r="U1015" t="s">
        <v>4290</v>
      </c>
      <c r="V1015" t="str">
        <f t="shared" si="131"/>
        <v/>
      </c>
      <c r="W1015" t="str">
        <f t="shared" si="130"/>
        <v/>
      </c>
    </row>
    <row r="1016" spans="1:23">
      <c r="A1016">
        <f>'IPTV US'!A1007</f>
        <v>0</v>
      </c>
      <c r="B1016" t="str">
        <f>T('IPTV US'!B1007)</f>
        <v/>
      </c>
      <c r="C1016" t="s">
        <v>4290</v>
      </c>
      <c r="D1016" t="str">
        <f t="shared" si="124"/>
        <v/>
      </c>
      <c r="E1016" t="str">
        <f t="shared" si="125"/>
        <v/>
      </c>
      <c r="F1016" s="68" t="s">
        <v>4289</v>
      </c>
      <c r="G1016">
        <f>'IPTV CA'!A1007</f>
        <v>0</v>
      </c>
      <c r="H1016" t="str">
        <f>T('IPTV CA'!B1007)</f>
        <v/>
      </c>
      <c r="I1016" t="s">
        <v>4290</v>
      </c>
      <c r="J1016" t="str">
        <f t="shared" si="126"/>
        <v/>
      </c>
      <c r="K1016" t="str">
        <f t="shared" si="132"/>
        <v/>
      </c>
      <c r="L1016" s="69"/>
      <c r="M1016">
        <f>'TMIS US'!A1007</f>
        <v>0</v>
      </c>
      <c r="N1016" t="str">
        <f>T('TMIS US'!B1007)</f>
        <v/>
      </c>
      <c r="O1016" t="s">
        <v>4290</v>
      </c>
      <c r="P1016" t="str">
        <f t="shared" si="127"/>
        <v/>
      </c>
      <c r="Q1016" t="str">
        <f t="shared" si="129"/>
        <v/>
      </c>
      <c r="R1016" s="69"/>
      <c r="S1016">
        <f>'TMIS CA'!A1007</f>
        <v>0</v>
      </c>
      <c r="T1016" t="str">
        <f>T('TMIS CA'!B1007)</f>
        <v/>
      </c>
      <c r="U1016" t="s">
        <v>4290</v>
      </c>
      <c r="V1016" t="str">
        <f t="shared" si="131"/>
        <v/>
      </c>
      <c r="W1016" t="str">
        <f t="shared" si="130"/>
        <v/>
      </c>
    </row>
    <row r="1017" spans="1:23">
      <c r="A1017">
        <f>'IPTV US'!A1008</f>
        <v>0</v>
      </c>
      <c r="B1017" t="str">
        <f>T('IPTV US'!B1008)</f>
        <v/>
      </c>
      <c r="C1017" t="s">
        <v>4290</v>
      </c>
      <c r="D1017" t="str">
        <f t="shared" si="124"/>
        <v/>
      </c>
      <c r="E1017" t="str">
        <f t="shared" si="125"/>
        <v/>
      </c>
      <c r="F1017" s="68" t="s">
        <v>4289</v>
      </c>
      <c r="G1017">
        <f>'IPTV CA'!A1008</f>
        <v>0</v>
      </c>
      <c r="H1017" t="str">
        <f>T('IPTV CA'!B1008)</f>
        <v/>
      </c>
      <c r="I1017" t="s">
        <v>4290</v>
      </c>
      <c r="J1017" t="str">
        <f t="shared" si="126"/>
        <v/>
      </c>
      <c r="K1017" t="str">
        <f t="shared" si="132"/>
        <v/>
      </c>
      <c r="L1017" s="69"/>
      <c r="M1017">
        <f>'TMIS US'!A1008</f>
        <v>0</v>
      </c>
      <c r="N1017" t="str">
        <f>T('TMIS US'!B1008)</f>
        <v/>
      </c>
      <c r="O1017" t="s">
        <v>4290</v>
      </c>
      <c r="P1017" t="str">
        <f t="shared" si="127"/>
        <v/>
      </c>
      <c r="Q1017" t="str">
        <f t="shared" si="129"/>
        <v/>
      </c>
      <c r="R1017" s="69"/>
      <c r="S1017">
        <f>'TMIS CA'!A1008</f>
        <v>0</v>
      </c>
      <c r="T1017" t="str">
        <f>T('TMIS CA'!B1008)</f>
        <v/>
      </c>
      <c r="U1017" t="s">
        <v>4290</v>
      </c>
      <c r="V1017" t="str">
        <f t="shared" si="131"/>
        <v/>
      </c>
      <c r="W1017" t="str">
        <f t="shared" si="130"/>
        <v/>
      </c>
    </row>
    <row r="1018" spans="1:23">
      <c r="A1018">
        <f>'IPTV US'!A1009</f>
        <v>0</v>
      </c>
      <c r="B1018" t="str">
        <f>T('IPTV US'!B1009)</f>
        <v/>
      </c>
      <c r="C1018" t="s">
        <v>4290</v>
      </c>
      <c r="D1018" t="str">
        <f t="shared" si="124"/>
        <v/>
      </c>
      <c r="E1018" t="str">
        <f t="shared" si="125"/>
        <v/>
      </c>
      <c r="F1018" s="68" t="s">
        <v>4289</v>
      </c>
      <c r="G1018">
        <f>'IPTV CA'!A1009</f>
        <v>0</v>
      </c>
      <c r="H1018" t="str">
        <f>T('IPTV CA'!B1009)</f>
        <v/>
      </c>
      <c r="I1018" t="s">
        <v>4290</v>
      </c>
      <c r="J1018" t="str">
        <f t="shared" si="126"/>
        <v/>
      </c>
      <c r="K1018" t="str">
        <f t="shared" si="132"/>
        <v/>
      </c>
      <c r="L1018" s="69"/>
      <c r="M1018">
        <f>'TMIS US'!A1009</f>
        <v>0</v>
      </c>
      <c r="N1018" t="str">
        <f>T('TMIS US'!B1009)</f>
        <v/>
      </c>
      <c r="O1018" t="s">
        <v>4290</v>
      </c>
      <c r="P1018" t="str">
        <f t="shared" si="127"/>
        <v/>
      </c>
      <c r="Q1018" t="str">
        <f t="shared" si="129"/>
        <v/>
      </c>
      <c r="R1018" s="69"/>
      <c r="S1018">
        <f>'TMIS CA'!A1009</f>
        <v>0</v>
      </c>
      <c r="T1018" t="str">
        <f>T('TMIS CA'!B1009)</f>
        <v/>
      </c>
      <c r="U1018" t="s">
        <v>4290</v>
      </c>
      <c r="V1018" t="str">
        <f t="shared" si="131"/>
        <v/>
      </c>
      <c r="W1018" t="str">
        <f t="shared" si="130"/>
        <v/>
      </c>
    </row>
    <row r="1019" spans="1:23">
      <c r="A1019">
        <f>'IPTV US'!A1010</f>
        <v>0</v>
      </c>
      <c r="B1019" t="str">
        <f>T('IPTV US'!B1010)</f>
        <v/>
      </c>
      <c r="C1019" t="s">
        <v>4290</v>
      </c>
      <c r="D1019" t="str">
        <f t="shared" si="124"/>
        <v/>
      </c>
      <c r="E1019" t="str">
        <f t="shared" si="125"/>
        <v/>
      </c>
      <c r="F1019" s="68" t="s">
        <v>4289</v>
      </c>
      <c r="G1019">
        <f>'IPTV CA'!A1010</f>
        <v>0</v>
      </c>
      <c r="H1019" t="str">
        <f>T('IPTV CA'!B1010)</f>
        <v/>
      </c>
      <c r="I1019" t="s">
        <v>4290</v>
      </c>
      <c r="J1019" t="str">
        <f t="shared" si="126"/>
        <v/>
      </c>
      <c r="K1019" t="str">
        <f t="shared" si="132"/>
        <v/>
      </c>
      <c r="L1019" s="69"/>
      <c r="M1019">
        <f>'TMIS US'!A1010</f>
        <v>0</v>
      </c>
      <c r="N1019" t="str">
        <f>T('TMIS US'!B1010)</f>
        <v/>
      </c>
      <c r="O1019" t="s">
        <v>4290</v>
      </c>
      <c r="P1019" t="str">
        <f t="shared" si="127"/>
        <v/>
      </c>
      <c r="Q1019" t="str">
        <f t="shared" si="129"/>
        <v/>
      </c>
      <c r="R1019" s="69"/>
      <c r="S1019">
        <f>'TMIS CA'!A1010</f>
        <v>0</v>
      </c>
      <c r="T1019" t="str">
        <f>T('TMIS CA'!B1010)</f>
        <v/>
      </c>
      <c r="U1019" t="s">
        <v>4290</v>
      </c>
      <c r="V1019" t="str">
        <f t="shared" si="131"/>
        <v/>
      </c>
      <c r="W1019" t="str">
        <f t="shared" si="130"/>
        <v/>
      </c>
    </row>
    <row r="1020" spans="1:23">
      <c r="A1020">
        <f>'IPTV US'!A1011</f>
        <v>0</v>
      </c>
      <c r="B1020" t="str">
        <f>T('IPTV US'!B1011)</f>
        <v/>
      </c>
      <c r="C1020" t="s">
        <v>4290</v>
      </c>
      <c r="D1020" t="str">
        <f t="shared" si="124"/>
        <v/>
      </c>
      <c r="E1020" t="str">
        <f t="shared" si="125"/>
        <v/>
      </c>
      <c r="F1020" s="68" t="s">
        <v>4289</v>
      </c>
      <c r="G1020">
        <f>'IPTV CA'!A1011</f>
        <v>0</v>
      </c>
      <c r="H1020" t="str">
        <f>T('IPTV CA'!B1011)</f>
        <v/>
      </c>
      <c r="I1020" t="s">
        <v>4290</v>
      </c>
      <c r="J1020" t="str">
        <f t="shared" si="126"/>
        <v/>
      </c>
      <c r="K1020" t="str">
        <f t="shared" si="132"/>
        <v/>
      </c>
      <c r="L1020" s="69"/>
      <c r="M1020">
        <f>'TMIS US'!A1011</f>
        <v>0</v>
      </c>
      <c r="N1020" t="str">
        <f>T('TMIS US'!B1011)</f>
        <v/>
      </c>
      <c r="O1020" t="s">
        <v>4290</v>
      </c>
      <c r="P1020" t="str">
        <f t="shared" si="127"/>
        <v/>
      </c>
      <c r="Q1020" t="str">
        <f t="shared" si="129"/>
        <v/>
      </c>
      <c r="R1020" s="69"/>
      <c r="S1020">
        <f>'TMIS CA'!A1011</f>
        <v>0</v>
      </c>
      <c r="T1020" t="str">
        <f>T('TMIS CA'!B1011)</f>
        <v/>
      </c>
      <c r="U1020" t="s">
        <v>4290</v>
      </c>
      <c r="V1020" t="str">
        <f t="shared" si="131"/>
        <v/>
      </c>
      <c r="W1020" t="str">
        <f t="shared" si="130"/>
        <v/>
      </c>
    </row>
    <row r="1021" spans="1:23">
      <c r="A1021">
        <f>'IPTV US'!A1012</f>
        <v>0</v>
      </c>
      <c r="B1021" t="str">
        <f>T('IPTV US'!B1012)</f>
        <v/>
      </c>
      <c r="C1021" t="s">
        <v>4290</v>
      </c>
      <c r="D1021" t="str">
        <f t="shared" si="124"/>
        <v/>
      </c>
      <c r="E1021" t="str">
        <f t="shared" si="125"/>
        <v/>
      </c>
      <c r="F1021" s="68" t="s">
        <v>4289</v>
      </c>
      <c r="G1021">
        <f>'IPTV CA'!A1012</f>
        <v>0</v>
      </c>
      <c r="H1021" t="str">
        <f>T('IPTV CA'!B1012)</f>
        <v/>
      </c>
      <c r="I1021" t="s">
        <v>4290</v>
      </c>
      <c r="J1021" t="str">
        <f t="shared" si="126"/>
        <v/>
      </c>
      <c r="K1021" t="str">
        <f t="shared" si="132"/>
        <v/>
      </c>
      <c r="L1021" s="69"/>
      <c r="M1021">
        <f>'TMIS US'!A1012</f>
        <v>0</v>
      </c>
      <c r="N1021" t="str">
        <f>T('TMIS US'!B1012)</f>
        <v/>
      </c>
      <c r="O1021" t="s">
        <v>4290</v>
      </c>
      <c r="P1021" t="str">
        <f t="shared" si="127"/>
        <v/>
      </c>
      <c r="Q1021" t="str">
        <f t="shared" si="129"/>
        <v/>
      </c>
      <c r="R1021" s="69"/>
      <c r="S1021">
        <f>'TMIS CA'!A1012</f>
        <v>0</v>
      </c>
      <c r="T1021" t="str">
        <f>T('TMIS CA'!B1012)</f>
        <v/>
      </c>
      <c r="U1021" t="s">
        <v>4290</v>
      </c>
      <c r="V1021" t="str">
        <f t="shared" si="131"/>
        <v/>
      </c>
      <c r="W1021" t="str">
        <f t="shared" si="130"/>
        <v/>
      </c>
    </row>
    <row r="1022" spans="1:23">
      <c r="A1022">
        <f>'IPTV US'!A1013</f>
        <v>0</v>
      </c>
      <c r="B1022" t="str">
        <f>T('IPTV US'!B1013)</f>
        <v/>
      </c>
      <c r="C1022" t="s">
        <v>4290</v>
      </c>
      <c r="D1022" t="str">
        <f t="shared" si="124"/>
        <v/>
      </c>
      <c r="E1022" t="str">
        <f t="shared" si="125"/>
        <v/>
      </c>
      <c r="F1022" s="68" t="s">
        <v>4289</v>
      </c>
      <c r="G1022">
        <f>'IPTV CA'!A1013</f>
        <v>0</v>
      </c>
      <c r="H1022" t="str">
        <f>T('IPTV CA'!B1013)</f>
        <v/>
      </c>
      <c r="I1022" t="s">
        <v>4290</v>
      </c>
      <c r="J1022" t="str">
        <f t="shared" si="126"/>
        <v/>
      </c>
      <c r="K1022" t="str">
        <f t="shared" si="132"/>
        <v/>
      </c>
      <c r="L1022" s="69"/>
      <c r="M1022">
        <f>'TMIS US'!A1013</f>
        <v>0</v>
      </c>
      <c r="N1022" t="str">
        <f>T('TMIS US'!B1013)</f>
        <v/>
      </c>
      <c r="O1022" t="s">
        <v>4290</v>
      </c>
      <c r="P1022" t="str">
        <f t="shared" si="127"/>
        <v/>
      </c>
      <c r="Q1022" t="str">
        <f t="shared" si="129"/>
        <v/>
      </c>
      <c r="R1022" s="69"/>
      <c r="S1022">
        <f>'TMIS CA'!A1013</f>
        <v>0</v>
      </c>
      <c r="T1022" t="str">
        <f>T('TMIS CA'!B1013)</f>
        <v/>
      </c>
      <c r="U1022" t="s">
        <v>4290</v>
      </c>
      <c r="V1022" t="str">
        <f t="shared" si="131"/>
        <v/>
      </c>
      <c r="W1022" t="str">
        <f t="shared" si="130"/>
        <v/>
      </c>
    </row>
    <row r="1023" spans="1:23">
      <c r="A1023">
        <f>'IPTV US'!A1014</f>
        <v>0</v>
      </c>
      <c r="B1023" t="str">
        <f>T('IPTV US'!B1014)</f>
        <v/>
      </c>
      <c r="C1023" t="s">
        <v>4290</v>
      </c>
      <c r="D1023" t="str">
        <f t="shared" si="124"/>
        <v/>
      </c>
      <c r="E1023" t="str">
        <f t="shared" si="125"/>
        <v/>
      </c>
      <c r="F1023" s="68" t="s">
        <v>4289</v>
      </c>
      <c r="G1023">
        <f>'IPTV CA'!A1014</f>
        <v>0</v>
      </c>
      <c r="H1023" t="str">
        <f>T('IPTV CA'!B1014)</f>
        <v/>
      </c>
      <c r="I1023" t="s">
        <v>4290</v>
      </c>
      <c r="J1023" t="str">
        <f t="shared" si="126"/>
        <v/>
      </c>
      <c r="K1023" t="str">
        <f t="shared" si="132"/>
        <v/>
      </c>
      <c r="L1023" s="69"/>
      <c r="M1023">
        <f>'TMIS US'!A1014</f>
        <v>0</v>
      </c>
      <c r="N1023" t="str">
        <f>T('TMIS US'!B1014)</f>
        <v/>
      </c>
      <c r="O1023" t="s">
        <v>4290</v>
      </c>
      <c r="P1023" t="str">
        <f t="shared" si="127"/>
        <v/>
      </c>
      <c r="Q1023" t="str">
        <f t="shared" si="129"/>
        <v/>
      </c>
      <c r="R1023" s="69"/>
      <c r="S1023">
        <f>'TMIS CA'!A1014</f>
        <v>0</v>
      </c>
      <c r="T1023" t="str">
        <f>T('TMIS CA'!B1014)</f>
        <v/>
      </c>
      <c r="U1023" t="s">
        <v>4290</v>
      </c>
      <c r="V1023" t="str">
        <f t="shared" si="131"/>
        <v/>
      </c>
      <c r="W1023" t="str">
        <f t="shared" si="130"/>
        <v/>
      </c>
    </row>
    <row r="1024" spans="1:23">
      <c r="A1024">
        <f>'IPTV US'!A1015</f>
        <v>0</v>
      </c>
      <c r="B1024" t="str">
        <f>T('IPTV US'!B1015)</f>
        <v/>
      </c>
      <c r="C1024" t="s">
        <v>4290</v>
      </c>
      <c r="D1024" t="str">
        <f t="shared" si="124"/>
        <v/>
      </c>
      <c r="E1024" t="str">
        <f t="shared" si="125"/>
        <v/>
      </c>
      <c r="F1024" s="68" t="s">
        <v>4289</v>
      </c>
      <c r="G1024">
        <f>'IPTV CA'!A1015</f>
        <v>0</v>
      </c>
      <c r="H1024" t="str">
        <f>T('IPTV CA'!B1015)</f>
        <v/>
      </c>
      <c r="I1024" t="s">
        <v>4290</v>
      </c>
      <c r="J1024" t="str">
        <f t="shared" si="126"/>
        <v/>
      </c>
      <c r="K1024" t="str">
        <f t="shared" si="132"/>
        <v/>
      </c>
      <c r="L1024" s="69"/>
      <c r="M1024">
        <f>'TMIS US'!A1015</f>
        <v>0</v>
      </c>
      <c r="N1024" t="str">
        <f>T('TMIS US'!B1015)</f>
        <v/>
      </c>
      <c r="O1024" t="s">
        <v>4290</v>
      </c>
      <c r="P1024" t="str">
        <f t="shared" si="127"/>
        <v/>
      </c>
      <c r="Q1024" t="str">
        <f t="shared" si="129"/>
        <v/>
      </c>
      <c r="R1024" s="69"/>
      <c r="S1024">
        <f>'TMIS CA'!A1015</f>
        <v>0</v>
      </c>
      <c r="T1024" t="str">
        <f>T('TMIS CA'!B1015)</f>
        <v/>
      </c>
      <c r="U1024" t="s">
        <v>4290</v>
      </c>
      <c r="V1024" t="str">
        <f t="shared" si="131"/>
        <v/>
      </c>
      <c r="W1024" t="str">
        <f t="shared" si="130"/>
        <v/>
      </c>
    </row>
    <row r="1025" spans="1:23">
      <c r="A1025">
        <f>'IPTV US'!A1016</f>
        <v>0</v>
      </c>
      <c r="B1025" t="str">
        <f>T('IPTV US'!B1016)</f>
        <v/>
      </c>
      <c r="C1025" t="s">
        <v>4290</v>
      </c>
      <c r="D1025" t="str">
        <f t="shared" si="124"/>
        <v/>
      </c>
      <c r="E1025" t="str">
        <f t="shared" si="125"/>
        <v/>
      </c>
      <c r="F1025" s="68" t="s">
        <v>4289</v>
      </c>
      <c r="G1025">
        <f>'IPTV CA'!A1016</f>
        <v>0</v>
      </c>
      <c r="H1025" t="str">
        <f>T('IPTV CA'!B1016)</f>
        <v/>
      </c>
      <c r="I1025" t="s">
        <v>4290</v>
      </c>
      <c r="J1025" t="str">
        <f t="shared" si="126"/>
        <v/>
      </c>
      <c r="K1025" t="str">
        <f t="shared" si="132"/>
        <v/>
      </c>
      <c r="L1025" s="69"/>
      <c r="M1025">
        <f>'TMIS US'!A1016</f>
        <v>0</v>
      </c>
      <c r="N1025" t="str">
        <f>T('TMIS US'!B1016)</f>
        <v/>
      </c>
      <c r="O1025" t="s">
        <v>4290</v>
      </c>
      <c r="P1025" t="str">
        <f t="shared" si="127"/>
        <v/>
      </c>
      <c r="Q1025" t="str">
        <f t="shared" si="129"/>
        <v/>
      </c>
      <c r="R1025" s="69"/>
      <c r="S1025">
        <f>'TMIS CA'!A1016</f>
        <v>0</v>
      </c>
      <c r="T1025" t="str">
        <f>T('TMIS CA'!B1016)</f>
        <v/>
      </c>
      <c r="U1025" t="s">
        <v>4290</v>
      </c>
      <c r="V1025" t="str">
        <f t="shared" si="131"/>
        <v/>
      </c>
      <c r="W1025" t="str">
        <f t="shared" si="130"/>
        <v/>
      </c>
    </row>
    <row r="1026" spans="1:23">
      <c r="A1026">
        <f>'IPTV US'!A1017</f>
        <v>0</v>
      </c>
      <c r="B1026" t="str">
        <f>T('IPTV US'!B1017)</f>
        <v/>
      </c>
      <c r="C1026" t="s">
        <v>4290</v>
      </c>
      <c r="D1026" t="str">
        <f t="shared" si="124"/>
        <v/>
      </c>
      <c r="E1026" t="str">
        <f t="shared" si="125"/>
        <v/>
      </c>
      <c r="F1026" s="68" t="s">
        <v>4289</v>
      </c>
      <c r="G1026">
        <f>'IPTV CA'!A1017</f>
        <v>0</v>
      </c>
      <c r="H1026" t="str">
        <f>T('IPTV CA'!B1017)</f>
        <v/>
      </c>
      <c r="I1026" t="s">
        <v>4290</v>
      </c>
      <c r="J1026" t="str">
        <f t="shared" si="126"/>
        <v/>
      </c>
      <c r="K1026" t="str">
        <f t="shared" si="132"/>
        <v/>
      </c>
      <c r="L1026" s="69"/>
      <c r="M1026">
        <f>'TMIS US'!A1017</f>
        <v>0</v>
      </c>
      <c r="N1026" t="str">
        <f>T('TMIS US'!B1017)</f>
        <v/>
      </c>
      <c r="O1026" t="s">
        <v>4290</v>
      </c>
      <c r="P1026" t="str">
        <f t="shared" si="127"/>
        <v/>
      </c>
      <c r="Q1026" t="str">
        <f t="shared" si="129"/>
        <v/>
      </c>
      <c r="R1026" s="69"/>
      <c r="S1026">
        <f>'TMIS CA'!A1017</f>
        <v>0</v>
      </c>
      <c r="T1026" t="str">
        <f>T('TMIS CA'!B1017)</f>
        <v/>
      </c>
      <c r="U1026" t="s">
        <v>4290</v>
      </c>
      <c r="V1026" t="str">
        <f t="shared" si="131"/>
        <v/>
      </c>
      <c r="W1026" t="str">
        <f t="shared" si="130"/>
        <v/>
      </c>
    </row>
    <row r="1027" spans="1:23">
      <c r="A1027">
        <f>'IPTV US'!A1018</f>
        <v>0</v>
      </c>
      <c r="B1027" t="str">
        <f>T('IPTV US'!B1018)</f>
        <v/>
      </c>
      <c r="C1027" t="s">
        <v>4290</v>
      </c>
      <c r="D1027" t="str">
        <f t="shared" si="124"/>
        <v/>
      </c>
      <c r="E1027" t="str">
        <f t="shared" si="125"/>
        <v/>
      </c>
      <c r="F1027" s="68" t="s">
        <v>4289</v>
      </c>
      <c r="G1027">
        <f>'IPTV CA'!A1018</f>
        <v>0</v>
      </c>
      <c r="H1027" t="str">
        <f>T('IPTV CA'!B1018)</f>
        <v/>
      </c>
      <c r="I1027" t="s">
        <v>4290</v>
      </c>
      <c r="J1027" t="str">
        <f t="shared" si="126"/>
        <v/>
      </c>
      <c r="K1027" t="str">
        <f t="shared" si="132"/>
        <v/>
      </c>
      <c r="L1027" s="69"/>
      <c r="M1027">
        <f>'TMIS US'!A1018</f>
        <v>0</v>
      </c>
      <c r="N1027" t="str">
        <f>T('TMIS US'!B1018)</f>
        <v/>
      </c>
      <c r="O1027" t="s">
        <v>4290</v>
      </c>
      <c r="P1027" t="str">
        <f t="shared" si="127"/>
        <v/>
      </c>
      <c r="Q1027" t="str">
        <f t="shared" si="129"/>
        <v/>
      </c>
      <c r="R1027" s="69"/>
      <c r="S1027">
        <f>'TMIS CA'!A1018</f>
        <v>0</v>
      </c>
      <c r="T1027" t="str">
        <f>T('TMIS CA'!B1018)</f>
        <v/>
      </c>
      <c r="U1027" t="s">
        <v>4290</v>
      </c>
      <c r="V1027" t="str">
        <f t="shared" si="131"/>
        <v/>
      </c>
      <c r="W1027" t="str">
        <f t="shared" si="130"/>
        <v/>
      </c>
    </row>
    <row r="1028" spans="1:23">
      <c r="A1028">
        <f>'IPTV US'!A1019</f>
        <v>0</v>
      </c>
      <c r="B1028" t="str">
        <f>T('IPTV US'!B1019)</f>
        <v/>
      </c>
      <c r="C1028" t="s">
        <v>4290</v>
      </c>
      <c r="D1028" t="str">
        <f t="shared" si="124"/>
        <v/>
      </c>
      <c r="E1028" t="str">
        <f t="shared" si="125"/>
        <v/>
      </c>
      <c r="F1028" s="68" t="s">
        <v>4289</v>
      </c>
      <c r="G1028">
        <f>'IPTV CA'!A1019</f>
        <v>0</v>
      </c>
      <c r="H1028" t="str">
        <f>T('IPTV CA'!B1019)</f>
        <v/>
      </c>
      <c r="I1028" t="s">
        <v>4290</v>
      </c>
      <c r="J1028" t="str">
        <f t="shared" si="126"/>
        <v/>
      </c>
      <c r="K1028" t="str">
        <f t="shared" si="132"/>
        <v/>
      </c>
      <c r="L1028" s="69"/>
      <c r="M1028">
        <f>'TMIS US'!A1019</f>
        <v>0</v>
      </c>
      <c r="N1028" t="str">
        <f>T('TMIS US'!B1019)</f>
        <v/>
      </c>
      <c r="O1028" t="s">
        <v>4290</v>
      </c>
      <c r="P1028" t="str">
        <f t="shared" si="127"/>
        <v/>
      </c>
      <c r="Q1028" t="str">
        <f t="shared" si="129"/>
        <v/>
      </c>
      <c r="R1028" s="69"/>
      <c r="S1028">
        <f>'TMIS CA'!A1019</f>
        <v>0</v>
      </c>
      <c r="T1028" t="str">
        <f>T('TMIS CA'!B1019)</f>
        <v/>
      </c>
      <c r="U1028" t="s">
        <v>4290</v>
      </c>
      <c r="V1028" t="str">
        <f t="shared" si="131"/>
        <v/>
      </c>
      <c r="W1028" t="str">
        <f t="shared" si="130"/>
        <v/>
      </c>
    </row>
    <row r="1029" spans="1:23">
      <c r="A1029">
        <f>'IPTV US'!A1020</f>
        <v>0</v>
      </c>
      <c r="B1029" t="str">
        <f>T('IPTV US'!B1020)</f>
        <v/>
      </c>
      <c r="C1029" t="s">
        <v>4290</v>
      </c>
      <c r="D1029" t="str">
        <f t="shared" si="124"/>
        <v/>
      </c>
      <c r="E1029" t="str">
        <f t="shared" si="125"/>
        <v/>
      </c>
      <c r="F1029" s="68" t="s">
        <v>4289</v>
      </c>
      <c r="G1029">
        <f>'IPTV CA'!A1020</f>
        <v>0</v>
      </c>
      <c r="H1029" t="str">
        <f>T('IPTV CA'!B1020)</f>
        <v/>
      </c>
      <c r="I1029" t="s">
        <v>4290</v>
      </c>
      <c r="J1029" t="str">
        <f t="shared" si="126"/>
        <v/>
      </c>
      <c r="K1029" t="str">
        <f t="shared" si="132"/>
        <v/>
      </c>
      <c r="L1029" s="69"/>
      <c r="M1029">
        <f>'TMIS US'!A1020</f>
        <v>0</v>
      </c>
      <c r="N1029" t="str">
        <f>T('TMIS US'!B1020)</f>
        <v/>
      </c>
      <c r="O1029" t="s">
        <v>4290</v>
      </c>
      <c r="P1029" t="str">
        <f t="shared" si="127"/>
        <v/>
      </c>
      <c r="Q1029" t="str">
        <f t="shared" si="129"/>
        <v/>
      </c>
      <c r="R1029" s="69"/>
      <c r="S1029">
        <f>'TMIS CA'!A1020</f>
        <v>0</v>
      </c>
      <c r="T1029" t="str">
        <f>T('TMIS CA'!B1020)</f>
        <v/>
      </c>
      <c r="U1029" t="s">
        <v>4290</v>
      </c>
      <c r="V1029" t="str">
        <f t="shared" si="131"/>
        <v/>
      </c>
      <c r="W1029" t="str">
        <f t="shared" si="130"/>
        <v/>
      </c>
    </row>
    <row r="1030" spans="1:23">
      <c r="A1030">
        <f>'IPTV US'!A1021</f>
        <v>0</v>
      </c>
      <c r="B1030" t="str">
        <f>T('IPTV US'!B1021)</f>
        <v/>
      </c>
      <c r="C1030" t="s">
        <v>4290</v>
      </c>
      <c r="D1030" t="str">
        <f t="shared" si="124"/>
        <v/>
      </c>
      <c r="E1030" t="str">
        <f t="shared" si="125"/>
        <v/>
      </c>
      <c r="F1030" s="68" t="s">
        <v>4289</v>
      </c>
      <c r="G1030">
        <f>'IPTV CA'!A1021</f>
        <v>0</v>
      </c>
      <c r="H1030" t="str">
        <f>T('IPTV CA'!B1021)</f>
        <v/>
      </c>
      <c r="I1030" t="s">
        <v>4290</v>
      </c>
      <c r="J1030" t="str">
        <f t="shared" si="126"/>
        <v/>
      </c>
      <c r="K1030" t="str">
        <f t="shared" si="132"/>
        <v/>
      </c>
      <c r="L1030" s="69"/>
      <c r="M1030">
        <f>'TMIS US'!A1021</f>
        <v>0</v>
      </c>
      <c r="N1030" t="str">
        <f>T('TMIS US'!B1021)</f>
        <v/>
      </c>
      <c r="O1030" t="s">
        <v>4290</v>
      </c>
      <c r="P1030" t="str">
        <f t="shared" si="127"/>
        <v/>
      </c>
      <c r="Q1030" t="str">
        <f t="shared" si="129"/>
        <v/>
      </c>
      <c r="R1030" s="69"/>
      <c r="S1030">
        <f>'TMIS CA'!A1021</f>
        <v>0</v>
      </c>
      <c r="T1030" t="str">
        <f>T('TMIS CA'!B1021)</f>
        <v/>
      </c>
      <c r="U1030" t="s">
        <v>4290</v>
      </c>
      <c r="V1030" t="str">
        <f t="shared" si="131"/>
        <v/>
      </c>
      <c r="W1030" t="str">
        <f t="shared" si="130"/>
        <v/>
      </c>
    </row>
    <row r="1031" spans="1:23">
      <c r="A1031">
        <f>'IPTV US'!A1022</f>
        <v>0</v>
      </c>
      <c r="B1031" t="str">
        <f>T('IPTV US'!B1022)</f>
        <v/>
      </c>
      <c r="C1031" t="s">
        <v>4290</v>
      </c>
      <c r="D1031" t="str">
        <f t="shared" si="124"/>
        <v/>
      </c>
      <c r="E1031" t="str">
        <f t="shared" si="125"/>
        <v/>
      </c>
      <c r="F1031" s="68" t="s">
        <v>4289</v>
      </c>
      <c r="G1031">
        <f>'IPTV CA'!A1022</f>
        <v>0</v>
      </c>
      <c r="H1031" t="str">
        <f>T('IPTV CA'!B1022)</f>
        <v/>
      </c>
      <c r="I1031" t="s">
        <v>4290</v>
      </c>
      <c r="J1031" t="str">
        <f t="shared" si="126"/>
        <v/>
      </c>
      <c r="K1031" t="str">
        <f t="shared" si="132"/>
        <v/>
      </c>
      <c r="L1031" s="69"/>
      <c r="M1031">
        <f>'TMIS US'!A1022</f>
        <v>0</v>
      </c>
      <c r="N1031" t="str">
        <f>T('TMIS US'!B1022)</f>
        <v/>
      </c>
      <c r="O1031" t="s">
        <v>4290</v>
      </c>
      <c r="P1031" t="str">
        <f t="shared" si="127"/>
        <v/>
      </c>
      <c r="Q1031" t="str">
        <f t="shared" si="129"/>
        <v/>
      </c>
      <c r="R1031" s="69"/>
      <c r="S1031">
        <f>'TMIS CA'!A1022</f>
        <v>0</v>
      </c>
      <c r="T1031" t="str">
        <f>T('TMIS CA'!B1022)</f>
        <v/>
      </c>
      <c r="U1031" t="s">
        <v>4290</v>
      </c>
      <c r="V1031" t="str">
        <f t="shared" si="131"/>
        <v/>
      </c>
      <c r="W1031" t="str">
        <f t="shared" si="130"/>
        <v/>
      </c>
    </row>
    <row r="1032" spans="1:23">
      <c r="A1032">
        <f>'IPTV US'!A1023</f>
        <v>0</v>
      </c>
      <c r="B1032" t="str">
        <f>T('IPTV US'!B1023)</f>
        <v/>
      </c>
      <c r="C1032" t="s">
        <v>4290</v>
      </c>
      <c r="D1032" t="str">
        <f t="shared" si="124"/>
        <v/>
      </c>
      <c r="E1032" t="str">
        <f t="shared" si="125"/>
        <v/>
      </c>
      <c r="F1032" s="68" t="s">
        <v>4289</v>
      </c>
      <c r="G1032">
        <f>'IPTV CA'!A1023</f>
        <v>0</v>
      </c>
      <c r="H1032" t="str">
        <f>T('IPTV CA'!B1023)</f>
        <v/>
      </c>
      <c r="I1032" t="s">
        <v>4290</v>
      </c>
      <c r="J1032" t="str">
        <f t="shared" si="126"/>
        <v/>
      </c>
      <c r="K1032" t="str">
        <f t="shared" si="132"/>
        <v/>
      </c>
      <c r="L1032" s="69"/>
      <c r="M1032">
        <f>'TMIS US'!A1023</f>
        <v>0</v>
      </c>
      <c r="N1032" t="str">
        <f>T('TMIS US'!B1023)</f>
        <v/>
      </c>
      <c r="O1032" t="s">
        <v>4290</v>
      </c>
      <c r="P1032" t="str">
        <f t="shared" si="127"/>
        <v/>
      </c>
      <c r="Q1032" t="str">
        <f t="shared" si="129"/>
        <v/>
      </c>
      <c r="R1032" s="69"/>
      <c r="S1032">
        <f>'TMIS CA'!A1023</f>
        <v>0</v>
      </c>
      <c r="T1032" t="str">
        <f>T('TMIS CA'!B1023)</f>
        <v/>
      </c>
      <c r="U1032" t="s">
        <v>4290</v>
      </c>
      <c r="V1032" t="str">
        <f t="shared" si="131"/>
        <v/>
      </c>
      <c r="W1032" t="str">
        <f t="shared" si="130"/>
        <v/>
      </c>
    </row>
    <row r="1033" spans="1:23">
      <c r="A1033">
        <f>'IPTV US'!A1024</f>
        <v>0</v>
      </c>
      <c r="B1033" t="str">
        <f>T('IPTV US'!B1024)</f>
        <v/>
      </c>
      <c r="C1033" t="s">
        <v>4290</v>
      </c>
      <c r="D1033" t="str">
        <f t="shared" si="124"/>
        <v/>
      </c>
      <c r="E1033" t="str">
        <f t="shared" si="125"/>
        <v/>
      </c>
      <c r="F1033" s="68" t="s">
        <v>4289</v>
      </c>
      <c r="G1033">
        <f>'IPTV CA'!A1024</f>
        <v>0</v>
      </c>
      <c r="H1033" t="str">
        <f>T('IPTV CA'!B1024)</f>
        <v/>
      </c>
      <c r="I1033" t="s">
        <v>4290</v>
      </c>
      <c r="J1033" t="str">
        <f t="shared" si="126"/>
        <v/>
      </c>
      <c r="K1033" t="str">
        <f t="shared" si="132"/>
        <v/>
      </c>
      <c r="L1033" s="69"/>
      <c r="M1033">
        <f>'TMIS US'!A1024</f>
        <v>0</v>
      </c>
      <c r="N1033" t="str">
        <f>T('TMIS US'!B1024)</f>
        <v/>
      </c>
      <c r="O1033" t="s">
        <v>4290</v>
      </c>
      <c r="P1033" t="str">
        <f t="shared" si="127"/>
        <v/>
      </c>
      <c r="Q1033" t="str">
        <f t="shared" si="129"/>
        <v/>
      </c>
      <c r="R1033" s="69"/>
      <c r="S1033">
        <f>'TMIS CA'!A1024</f>
        <v>0</v>
      </c>
      <c r="T1033" t="str">
        <f>T('TMIS CA'!B1024)</f>
        <v/>
      </c>
      <c r="U1033" t="s">
        <v>4290</v>
      </c>
      <c r="V1033" t="str">
        <f t="shared" si="131"/>
        <v/>
      </c>
      <c r="W1033" t="str">
        <f t="shared" si="130"/>
        <v/>
      </c>
    </row>
    <row r="1034" spans="1:23">
      <c r="A1034">
        <f>'IPTV US'!A1025</f>
        <v>0</v>
      </c>
      <c r="B1034" t="str">
        <f>T('IPTV US'!B1025)</f>
        <v/>
      </c>
      <c r="C1034" t="s">
        <v>4290</v>
      </c>
      <c r="D1034" t="str">
        <f t="shared" si="124"/>
        <v/>
      </c>
      <c r="E1034" t="str">
        <f t="shared" si="125"/>
        <v/>
      </c>
      <c r="F1034" s="68" t="s">
        <v>4289</v>
      </c>
      <c r="G1034">
        <f>'IPTV CA'!A1025</f>
        <v>0</v>
      </c>
      <c r="H1034" t="str">
        <f>T('IPTV CA'!B1025)</f>
        <v/>
      </c>
      <c r="I1034" t="s">
        <v>4290</v>
      </c>
      <c r="J1034" t="str">
        <f t="shared" si="126"/>
        <v/>
      </c>
      <c r="K1034" t="str">
        <f t="shared" si="132"/>
        <v/>
      </c>
      <c r="L1034" s="69"/>
      <c r="M1034">
        <f>'TMIS US'!A1025</f>
        <v>0</v>
      </c>
      <c r="N1034" t="str">
        <f>T('TMIS US'!B1025)</f>
        <v/>
      </c>
      <c r="O1034" t="s">
        <v>4290</v>
      </c>
      <c r="P1034" t="str">
        <f t="shared" si="127"/>
        <v/>
      </c>
      <c r="Q1034" t="str">
        <f t="shared" si="129"/>
        <v/>
      </c>
      <c r="R1034" s="69"/>
      <c r="S1034">
        <f>'TMIS CA'!A1025</f>
        <v>0</v>
      </c>
      <c r="T1034" t="str">
        <f>T('TMIS CA'!B1025)</f>
        <v/>
      </c>
      <c r="U1034" t="s">
        <v>4290</v>
      </c>
      <c r="V1034" t="str">
        <f t="shared" si="131"/>
        <v/>
      </c>
      <c r="W1034" t="str">
        <f t="shared" si="130"/>
        <v/>
      </c>
    </row>
    <row r="1035" spans="1:23">
      <c r="A1035">
        <f>'IPTV US'!A1026</f>
        <v>0</v>
      </c>
      <c r="B1035" t="str">
        <f>T('IPTV US'!B1026)</f>
        <v/>
      </c>
      <c r="C1035" t="s">
        <v>4290</v>
      </c>
      <c r="D1035" t="str">
        <f t="shared" ref="D1035:D1098" si="133">IF(C1035="Active",IF(B1035="","Please Notify - Channel Removed",""),"")</f>
        <v/>
      </c>
      <c r="E1035" t="str">
        <f t="shared" ref="E1035:E1098" si="134">IF(C1035="Vacant",IF(B1035="","","Please Notify - Channel Added"),"")</f>
        <v/>
      </c>
      <c r="F1035" s="68" t="s">
        <v>4289</v>
      </c>
      <c r="G1035">
        <f>'IPTV CA'!A1026</f>
        <v>0</v>
      </c>
      <c r="H1035" t="str">
        <f>T('IPTV CA'!B1026)</f>
        <v/>
      </c>
      <c r="I1035" t="s">
        <v>4290</v>
      </c>
      <c r="J1035" t="str">
        <f t="shared" ref="J1035:J1098" si="135">IF(I1035="Active",IF(H1035="","Please Notify - Channel Removed",""),"")</f>
        <v/>
      </c>
      <c r="K1035" t="str">
        <f t="shared" si="132"/>
        <v/>
      </c>
      <c r="L1035" s="69"/>
      <c r="M1035">
        <f>'TMIS US'!A1026</f>
        <v>0</v>
      </c>
      <c r="N1035" t="str">
        <f>T('TMIS US'!B1026)</f>
        <v/>
      </c>
      <c r="O1035" t="s">
        <v>4290</v>
      </c>
      <c r="P1035" t="str">
        <f t="shared" ref="P1035:P1098" si="136">IF(O1035="Active",IF(N1035="","Please Notify - Channel Removed",""),"")</f>
        <v/>
      </c>
      <c r="Q1035" t="str">
        <f t="shared" si="129"/>
        <v/>
      </c>
      <c r="R1035" s="69"/>
      <c r="S1035">
        <f>'TMIS CA'!A1026</f>
        <v>0</v>
      </c>
      <c r="T1035" t="str">
        <f>T('TMIS CA'!B1026)</f>
        <v/>
      </c>
      <c r="U1035" t="s">
        <v>4290</v>
      </c>
      <c r="V1035" t="str">
        <f t="shared" si="131"/>
        <v/>
      </c>
      <c r="W1035" t="str">
        <f t="shared" si="130"/>
        <v/>
      </c>
    </row>
    <row r="1036" spans="1:23">
      <c r="A1036">
        <f>'IPTV US'!A1027</f>
        <v>0</v>
      </c>
      <c r="B1036" t="str">
        <f>T('IPTV US'!B1027)</f>
        <v/>
      </c>
      <c r="C1036" t="s">
        <v>4290</v>
      </c>
      <c r="D1036" t="str">
        <f t="shared" si="133"/>
        <v/>
      </c>
      <c r="E1036" t="str">
        <f t="shared" si="134"/>
        <v/>
      </c>
      <c r="F1036" s="68" t="s">
        <v>4289</v>
      </c>
      <c r="G1036">
        <f>'IPTV CA'!A1027</f>
        <v>0</v>
      </c>
      <c r="H1036" t="str">
        <f>T('IPTV CA'!B1027)</f>
        <v/>
      </c>
      <c r="I1036" t="s">
        <v>4290</v>
      </c>
      <c r="J1036" t="str">
        <f t="shared" si="135"/>
        <v/>
      </c>
      <c r="K1036" t="str">
        <f t="shared" si="132"/>
        <v/>
      </c>
      <c r="L1036" s="69"/>
      <c r="M1036">
        <f>'TMIS US'!A1027</f>
        <v>0</v>
      </c>
      <c r="N1036" t="str">
        <f>T('TMIS US'!B1027)</f>
        <v/>
      </c>
      <c r="O1036" t="s">
        <v>4290</v>
      </c>
      <c r="P1036" t="str">
        <f t="shared" si="136"/>
        <v/>
      </c>
      <c r="Q1036" t="str">
        <f t="shared" ref="Q1036:Q1099" si="137">IF(O1036="Vacant",IF(N1036="","","Please Notify - Channel Added"),"")</f>
        <v/>
      </c>
      <c r="R1036" s="69"/>
      <c r="S1036">
        <f>'TMIS CA'!A1027</f>
        <v>0</v>
      </c>
      <c r="T1036" t="str">
        <f>T('TMIS CA'!B1027)</f>
        <v/>
      </c>
      <c r="U1036" t="s">
        <v>4290</v>
      </c>
      <c r="V1036" t="str">
        <f t="shared" si="131"/>
        <v/>
      </c>
      <c r="W1036" t="str">
        <f t="shared" ref="W1036:W1099" si="138">IF(U1036="Vacant",IF(T1036="","","Please Notify - Channel Added"),"")</f>
        <v/>
      </c>
    </row>
    <row r="1037" spans="1:23">
      <c r="A1037">
        <f>'IPTV US'!A1028</f>
        <v>0</v>
      </c>
      <c r="B1037" t="str">
        <f>T('IPTV US'!B1028)</f>
        <v/>
      </c>
      <c r="C1037" t="s">
        <v>4290</v>
      </c>
      <c r="D1037" t="str">
        <f t="shared" si="133"/>
        <v/>
      </c>
      <c r="E1037" t="str">
        <f t="shared" si="134"/>
        <v/>
      </c>
      <c r="F1037" s="68" t="s">
        <v>4289</v>
      </c>
      <c r="G1037">
        <f>'IPTV CA'!A1028</f>
        <v>0</v>
      </c>
      <c r="H1037" t="str">
        <f>T('IPTV CA'!B1028)</f>
        <v/>
      </c>
      <c r="I1037" t="s">
        <v>4290</v>
      </c>
      <c r="J1037" t="str">
        <f t="shared" si="135"/>
        <v/>
      </c>
      <c r="K1037" t="str">
        <f t="shared" si="132"/>
        <v/>
      </c>
      <c r="L1037" s="69"/>
      <c r="M1037">
        <f>'TMIS US'!A1028</f>
        <v>0</v>
      </c>
      <c r="N1037" t="str">
        <f>T('TMIS US'!B1028)</f>
        <v/>
      </c>
      <c r="O1037" t="s">
        <v>4290</v>
      </c>
      <c r="P1037" t="str">
        <f t="shared" si="136"/>
        <v/>
      </c>
      <c r="Q1037" t="str">
        <f t="shared" si="137"/>
        <v/>
      </c>
      <c r="R1037" s="69"/>
      <c r="S1037">
        <f>'TMIS CA'!A1028</f>
        <v>0</v>
      </c>
      <c r="T1037" t="str">
        <f>T('TMIS CA'!B1028)</f>
        <v/>
      </c>
      <c r="U1037" t="s">
        <v>4290</v>
      </c>
      <c r="V1037" t="str">
        <f t="shared" si="131"/>
        <v/>
      </c>
      <c r="W1037" t="str">
        <f t="shared" si="138"/>
        <v/>
      </c>
    </row>
    <row r="1038" spans="1:23">
      <c r="A1038">
        <f>'IPTV US'!A1029</f>
        <v>0</v>
      </c>
      <c r="B1038" t="str">
        <f>T('IPTV US'!B1029)</f>
        <v/>
      </c>
      <c r="C1038" t="s">
        <v>4290</v>
      </c>
      <c r="D1038" t="str">
        <f t="shared" si="133"/>
        <v/>
      </c>
      <c r="E1038" t="str">
        <f t="shared" si="134"/>
        <v/>
      </c>
      <c r="F1038" s="68" t="s">
        <v>4289</v>
      </c>
      <c r="G1038">
        <f>'IPTV CA'!A1029</f>
        <v>0</v>
      </c>
      <c r="H1038" t="str">
        <f>T('IPTV CA'!B1029)</f>
        <v/>
      </c>
      <c r="I1038" t="s">
        <v>4290</v>
      </c>
      <c r="J1038" t="str">
        <f t="shared" si="135"/>
        <v/>
      </c>
      <c r="K1038" t="str">
        <f t="shared" si="132"/>
        <v/>
      </c>
      <c r="L1038" s="69"/>
      <c r="M1038">
        <f>'TMIS US'!A1029</f>
        <v>0</v>
      </c>
      <c r="N1038" t="str">
        <f>T('TMIS US'!B1029)</f>
        <v/>
      </c>
      <c r="O1038" t="s">
        <v>4290</v>
      </c>
      <c r="P1038" t="str">
        <f t="shared" si="136"/>
        <v/>
      </c>
      <c r="Q1038" t="str">
        <f t="shared" si="137"/>
        <v/>
      </c>
      <c r="R1038" s="69"/>
      <c r="S1038">
        <f>'TMIS CA'!A1029</f>
        <v>0</v>
      </c>
      <c r="T1038" t="str">
        <f>T('TMIS CA'!B1029)</f>
        <v/>
      </c>
      <c r="U1038" t="s">
        <v>4290</v>
      </c>
      <c r="V1038" t="str">
        <f t="shared" ref="V1038:V1101" si="139">IF(U1038="Active",IF(T1038="","Please Notify - Channel Removed",""),"")</f>
        <v/>
      </c>
      <c r="W1038" t="str">
        <f t="shared" si="138"/>
        <v/>
      </c>
    </row>
    <row r="1039" spans="1:23">
      <c r="A1039">
        <f>'IPTV US'!A1030</f>
        <v>0</v>
      </c>
      <c r="B1039" t="str">
        <f>T('IPTV US'!B1030)</f>
        <v/>
      </c>
      <c r="C1039" t="s">
        <v>4290</v>
      </c>
      <c r="D1039" t="str">
        <f t="shared" si="133"/>
        <v/>
      </c>
      <c r="E1039" t="str">
        <f t="shared" si="134"/>
        <v/>
      </c>
      <c r="F1039" s="68" t="s">
        <v>4289</v>
      </c>
      <c r="G1039">
        <f>'IPTV CA'!A1030</f>
        <v>0</v>
      </c>
      <c r="H1039" t="str">
        <f>T('IPTV CA'!B1030)</f>
        <v/>
      </c>
      <c r="I1039" t="s">
        <v>4290</v>
      </c>
      <c r="J1039" t="str">
        <f t="shared" si="135"/>
        <v/>
      </c>
      <c r="K1039" t="str">
        <f t="shared" si="132"/>
        <v/>
      </c>
      <c r="L1039" s="69"/>
      <c r="M1039">
        <f>'TMIS US'!A1030</f>
        <v>0</v>
      </c>
      <c r="N1039" t="str">
        <f>T('TMIS US'!B1030)</f>
        <v/>
      </c>
      <c r="O1039" t="s">
        <v>4290</v>
      </c>
      <c r="P1039" t="str">
        <f t="shared" si="136"/>
        <v/>
      </c>
      <c r="Q1039" t="str">
        <f t="shared" si="137"/>
        <v/>
      </c>
      <c r="R1039" s="69"/>
      <c r="S1039">
        <f>'TMIS CA'!A1030</f>
        <v>0</v>
      </c>
      <c r="T1039" t="str">
        <f>T('TMIS CA'!B1030)</f>
        <v/>
      </c>
      <c r="U1039" t="s">
        <v>4290</v>
      </c>
      <c r="V1039" t="str">
        <f t="shared" si="139"/>
        <v/>
      </c>
      <c r="W1039" t="str">
        <f t="shared" si="138"/>
        <v/>
      </c>
    </row>
    <row r="1040" spans="1:23">
      <c r="A1040">
        <f>'IPTV US'!A1031</f>
        <v>0</v>
      </c>
      <c r="B1040" t="str">
        <f>T('IPTV US'!B1031)</f>
        <v/>
      </c>
      <c r="C1040" t="s">
        <v>4290</v>
      </c>
      <c r="D1040" t="str">
        <f t="shared" si="133"/>
        <v/>
      </c>
      <c r="E1040" t="str">
        <f t="shared" si="134"/>
        <v/>
      </c>
      <c r="F1040" s="68" t="s">
        <v>4289</v>
      </c>
      <c r="G1040">
        <f>'IPTV CA'!A1031</f>
        <v>0</v>
      </c>
      <c r="H1040" t="str">
        <f>T('IPTV CA'!B1031)</f>
        <v/>
      </c>
      <c r="I1040" t="s">
        <v>4290</v>
      </c>
      <c r="J1040" t="str">
        <f t="shared" si="135"/>
        <v/>
      </c>
      <c r="K1040" t="str">
        <f t="shared" si="132"/>
        <v/>
      </c>
      <c r="L1040" s="69"/>
      <c r="M1040">
        <f>'TMIS US'!A1031</f>
        <v>0</v>
      </c>
      <c r="N1040" t="str">
        <f>T('TMIS US'!B1031)</f>
        <v/>
      </c>
      <c r="O1040" t="s">
        <v>4290</v>
      </c>
      <c r="P1040" t="str">
        <f t="shared" si="136"/>
        <v/>
      </c>
      <c r="Q1040" t="str">
        <f t="shared" si="137"/>
        <v/>
      </c>
      <c r="R1040" s="69"/>
      <c r="S1040">
        <f>'TMIS CA'!A1031</f>
        <v>0</v>
      </c>
      <c r="T1040" t="str">
        <f>T('TMIS CA'!B1031)</f>
        <v/>
      </c>
      <c r="U1040" t="s">
        <v>4290</v>
      </c>
      <c r="V1040" t="str">
        <f t="shared" si="139"/>
        <v/>
      </c>
      <c r="W1040" t="str">
        <f t="shared" si="138"/>
        <v/>
      </c>
    </row>
    <row r="1041" spans="1:23">
      <c r="A1041">
        <f>'IPTV US'!A1032</f>
        <v>0</v>
      </c>
      <c r="B1041" t="str">
        <f>T('IPTV US'!B1032)</f>
        <v/>
      </c>
      <c r="C1041" t="s">
        <v>4290</v>
      </c>
      <c r="D1041" t="str">
        <f t="shared" si="133"/>
        <v/>
      </c>
      <c r="E1041" t="str">
        <f t="shared" si="134"/>
        <v/>
      </c>
      <c r="F1041" s="68" t="s">
        <v>4289</v>
      </c>
      <c r="G1041">
        <f>'IPTV CA'!A1032</f>
        <v>0</v>
      </c>
      <c r="H1041" t="str">
        <f>T('IPTV CA'!B1032)</f>
        <v/>
      </c>
      <c r="I1041" t="s">
        <v>4290</v>
      </c>
      <c r="J1041" t="str">
        <f t="shared" si="135"/>
        <v/>
      </c>
      <c r="K1041" t="str">
        <f t="shared" si="132"/>
        <v/>
      </c>
      <c r="L1041" s="69"/>
      <c r="M1041">
        <f>'TMIS US'!A1032</f>
        <v>0</v>
      </c>
      <c r="N1041" t="str">
        <f>T('TMIS US'!B1032)</f>
        <v/>
      </c>
      <c r="O1041" t="s">
        <v>4290</v>
      </c>
      <c r="P1041" t="str">
        <f t="shared" si="136"/>
        <v/>
      </c>
      <c r="Q1041" t="str">
        <f t="shared" si="137"/>
        <v/>
      </c>
      <c r="R1041" s="69"/>
      <c r="S1041">
        <f>'TMIS CA'!A1032</f>
        <v>0</v>
      </c>
      <c r="T1041" t="str">
        <f>T('TMIS CA'!B1032)</f>
        <v/>
      </c>
      <c r="U1041" t="s">
        <v>4290</v>
      </c>
      <c r="V1041" t="str">
        <f t="shared" si="139"/>
        <v/>
      </c>
      <c r="W1041" t="str">
        <f t="shared" si="138"/>
        <v/>
      </c>
    </row>
    <row r="1042" spans="1:23">
      <c r="A1042">
        <f>'IPTV US'!A1033</f>
        <v>0</v>
      </c>
      <c r="B1042" t="str">
        <f>T('IPTV US'!B1033)</f>
        <v/>
      </c>
      <c r="C1042" t="s">
        <v>4290</v>
      </c>
      <c r="D1042" t="str">
        <f t="shared" si="133"/>
        <v/>
      </c>
      <c r="E1042" t="str">
        <f t="shared" si="134"/>
        <v/>
      </c>
      <c r="F1042" s="68" t="s">
        <v>4289</v>
      </c>
      <c r="G1042">
        <f>'IPTV CA'!A1033</f>
        <v>0</v>
      </c>
      <c r="H1042" t="str">
        <f>T('IPTV CA'!B1033)</f>
        <v/>
      </c>
      <c r="I1042" t="s">
        <v>4290</v>
      </c>
      <c r="J1042" t="str">
        <f t="shared" si="135"/>
        <v/>
      </c>
      <c r="K1042" t="str">
        <f t="shared" si="132"/>
        <v/>
      </c>
      <c r="L1042" s="69"/>
      <c r="M1042">
        <f>'TMIS US'!A1033</f>
        <v>0</v>
      </c>
      <c r="N1042" t="str">
        <f>T('TMIS US'!B1033)</f>
        <v/>
      </c>
      <c r="O1042" t="s">
        <v>4290</v>
      </c>
      <c r="P1042" t="str">
        <f t="shared" si="136"/>
        <v/>
      </c>
      <c r="Q1042" t="str">
        <f t="shared" si="137"/>
        <v/>
      </c>
      <c r="R1042" s="69"/>
      <c r="S1042">
        <f>'TMIS CA'!A1033</f>
        <v>0</v>
      </c>
      <c r="T1042" t="str">
        <f>T('TMIS CA'!B1033)</f>
        <v/>
      </c>
      <c r="U1042" t="s">
        <v>4290</v>
      </c>
      <c r="V1042" t="str">
        <f t="shared" si="139"/>
        <v/>
      </c>
      <c r="W1042" t="str">
        <f t="shared" si="138"/>
        <v/>
      </c>
    </row>
    <row r="1043" spans="1:23">
      <c r="A1043">
        <f>'IPTV US'!A1034</f>
        <v>0</v>
      </c>
      <c r="B1043" t="str">
        <f>T('IPTV US'!B1034)</f>
        <v/>
      </c>
      <c r="C1043" t="s">
        <v>4290</v>
      </c>
      <c r="D1043" t="str">
        <f t="shared" si="133"/>
        <v/>
      </c>
      <c r="E1043" t="str">
        <f t="shared" si="134"/>
        <v/>
      </c>
      <c r="F1043" s="68" t="s">
        <v>4289</v>
      </c>
      <c r="G1043">
        <f>'IPTV CA'!A1034</f>
        <v>0</v>
      </c>
      <c r="H1043" t="str">
        <f>T('IPTV CA'!B1034)</f>
        <v/>
      </c>
      <c r="I1043" t="s">
        <v>4290</v>
      </c>
      <c r="J1043" t="str">
        <f t="shared" si="135"/>
        <v/>
      </c>
      <c r="K1043" t="str">
        <f t="shared" si="132"/>
        <v/>
      </c>
      <c r="L1043" s="69"/>
      <c r="M1043">
        <f>'TMIS US'!A1034</f>
        <v>0</v>
      </c>
      <c r="N1043" t="str">
        <f>T('TMIS US'!B1034)</f>
        <v/>
      </c>
      <c r="O1043" t="s">
        <v>4290</v>
      </c>
      <c r="P1043" t="str">
        <f t="shared" si="136"/>
        <v/>
      </c>
      <c r="Q1043" t="str">
        <f t="shared" si="137"/>
        <v/>
      </c>
      <c r="R1043" s="69"/>
      <c r="S1043">
        <f>'TMIS CA'!A1034</f>
        <v>0</v>
      </c>
      <c r="T1043" t="str">
        <f>T('TMIS CA'!B1034)</f>
        <v/>
      </c>
      <c r="U1043" t="s">
        <v>4290</v>
      </c>
      <c r="V1043" t="str">
        <f t="shared" si="139"/>
        <v/>
      </c>
      <c r="W1043" t="str">
        <f t="shared" si="138"/>
        <v/>
      </c>
    </row>
    <row r="1044" spans="1:23">
      <c r="A1044">
        <f>'IPTV US'!A1035</f>
        <v>0</v>
      </c>
      <c r="B1044" t="str">
        <f>T('IPTV US'!B1035)</f>
        <v/>
      </c>
      <c r="C1044" t="s">
        <v>4290</v>
      </c>
      <c r="D1044" t="str">
        <f t="shared" si="133"/>
        <v/>
      </c>
      <c r="E1044" t="str">
        <f t="shared" si="134"/>
        <v/>
      </c>
      <c r="F1044" s="68" t="s">
        <v>4289</v>
      </c>
      <c r="G1044">
        <f>'IPTV CA'!A1035</f>
        <v>0</v>
      </c>
      <c r="H1044" t="str">
        <f>T('IPTV CA'!B1035)</f>
        <v/>
      </c>
      <c r="I1044" t="s">
        <v>4290</v>
      </c>
      <c r="J1044" t="str">
        <f t="shared" si="135"/>
        <v/>
      </c>
      <c r="K1044" t="str">
        <f t="shared" si="132"/>
        <v/>
      </c>
      <c r="L1044" s="69"/>
      <c r="M1044">
        <f>'TMIS US'!A1035</f>
        <v>0</v>
      </c>
      <c r="N1044" t="str">
        <f>T('TMIS US'!B1035)</f>
        <v/>
      </c>
      <c r="O1044" t="s">
        <v>4290</v>
      </c>
      <c r="P1044" t="str">
        <f t="shared" si="136"/>
        <v/>
      </c>
      <c r="Q1044" t="str">
        <f t="shared" si="137"/>
        <v/>
      </c>
      <c r="R1044" s="69"/>
      <c r="S1044">
        <f>'TMIS CA'!A1035</f>
        <v>0</v>
      </c>
      <c r="T1044" t="str">
        <f>T('TMIS CA'!B1035)</f>
        <v/>
      </c>
      <c r="U1044" t="s">
        <v>4290</v>
      </c>
      <c r="V1044" t="str">
        <f t="shared" si="139"/>
        <v/>
      </c>
      <c r="W1044" t="str">
        <f t="shared" si="138"/>
        <v/>
      </c>
    </row>
    <row r="1045" spans="1:23">
      <c r="A1045">
        <f>'IPTV US'!A1036</f>
        <v>0</v>
      </c>
      <c r="B1045" t="str">
        <f>T('IPTV US'!B1036)</f>
        <v/>
      </c>
      <c r="C1045" t="s">
        <v>4290</v>
      </c>
      <c r="D1045" t="str">
        <f t="shared" si="133"/>
        <v/>
      </c>
      <c r="E1045" t="str">
        <f t="shared" si="134"/>
        <v/>
      </c>
      <c r="F1045" s="68" t="s">
        <v>4289</v>
      </c>
      <c r="G1045">
        <f>'IPTV CA'!A1036</f>
        <v>0</v>
      </c>
      <c r="H1045" t="str">
        <f>T('IPTV CA'!B1036)</f>
        <v/>
      </c>
      <c r="I1045" t="s">
        <v>4290</v>
      </c>
      <c r="J1045" t="str">
        <f t="shared" si="135"/>
        <v/>
      </c>
      <c r="K1045" t="str">
        <f t="shared" si="132"/>
        <v/>
      </c>
      <c r="L1045" s="69"/>
      <c r="M1045">
        <f>'TMIS US'!A1036</f>
        <v>0</v>
      </c>
      <c r="N1045" t="str">
        <f>T('TMIS US'!B1036)</f>
        <v/>
      </c>
      <c r="O1045" t="s">
        <v>4290</v>
      </c>
      <c r="P1045" t="str">
        <f t="shared" si="136"/>
        <v/>
      </c>
      <c r="Q1045" t="str">
        <f t="shared" si="137"/>
        <v/>
      </c>
      <c r="R1045" s="69"/>
      <c r="S1045">
        <f>'TMIS CA'!A1036</f>
        <v>0</v>
      </c>
      <c r="T1045" t="str">
        <f>T('TMIS CA'!B1036)</f>
        <v/>
      </c>
      <c r="U1045" t="s">
        <v>4290</v>
      </c>
      <c r="V1045" t="str">
        <f t="shared" si="139"/>
        <v/>
      </c>
      <c r="W1045" t="str">
        <f t="shared" si="138"/>
        <v/>
      </c>
    </row>
    <row r="1046" spans="1:23">
      <c r="A1046">
        <f>'IPTV US'!A1037</f>
        <v>0</v>
      </c>
      <c r="B1046" t="str">
        <f>T('IPTV US'!B1037)</f>
        <v/>
      </c>
      <c r="C1046" t="s">
        <v>4290</v>
      </c>
      <c r="D1046" t="str">
        <f t="shared" si="133"/>
        <v/>
      </c>
      <c r="E1046" t="str">
        <f t="shared" si="134"/>
        <v/>
      </c>
      <c r="F1046" s="68" t="s">
        <v>4289</v>
      </c>
      <c r="G1046">
        <f>'IPTV CA'!A1037</f>
        <v>0</v>
      </c>
      <c r="H1046" t="str">
        <f>T('IPTV CA'!B1037)</f>
        <v/>
      </c>
      <c r="I1046" t="s">
        <v>4290</v>
      </c>
      <c r="J1046" t="str">
        <f t="shared" si="135"/>
        <v/>
      </c>
      <c r="K1046" t="str">
        <f t="shared" si="132"/>
        <v/>
      </c>
      <c r="L1046" s="69"/>
      <c r="M1046">
        <f>'TMIS US'!A1037</f>
        <v>0</v>
      </c>
      <c r="N1046" t="str">
        <f>T('TMIS US'!B1037)</f>
        <v/>
      </c>
      <c r="O1046" t="s">
        <v>4290</v>
      </c>
      <c r="P1046" t="str">
        <f t="shared" si="136"/>
        <v/>
      </c>
      <c r="Q1046" t="str">
        <f t="shared" si="137"/>
        <v/>
      </c>
      <c r="R1046" s="69"/>
      <c r="S1046">
        <f>'TMIS CA'!A1037</f>
        <v>0</v>
      </c>
      <c r="T1046" t="str">
        <f>T('TMIS CA'!B1037)</f>
        <v/>
      </c>
      <c r="U1046" t="s">
        <v>4290</v>
      </c>
      <c r="V1046" t="str">
        <f t="shared" si="139"/>
        <v/>
      </c>
      <c r="W1046" t="str">
        <f t="shared" si="138"/>
        <v/>
      </c>
    </row>
    <row r="1047" spans="1:23">
      <c r="A1047">
        <f>'IPTV US'!A1038</f>
        <v>0</v>
      </c>
      <c r="B1047" t="str">
        <f>T('IPTV US'!B1038)</f>
        <v/>
      </c>
      <c r="C1047" t="s">
        <v>4290</v>
      </c>
      <c r="D1047" t="str">
        <f t="shared" si="133"/>
        <v/>
      </c>
      <c r="E1047" t="str">
        <f t="shared" si="134"/>
        <v/>
      </c>
      <c r="F1047" s="68" t="s">
        <v>4289</v>
      </c>
      <c r="G1047">
        <f>'IPTV CA'!A1038</f>
        <v>0</v>
      </c>
      <c r="H1047" t="str">
        <f>T('IPTV CA'!B1038)</f>
        <v/>
      </c>
      <c r="I1047" t="s">
        <v>4290</v>
      </c>
      <c r="J1047" t="str">
        <f t="shared" si="135"/>
        <v/>
      </c>
      <c r="K1047" t="str">
        <f t="shared" si="132"/>
        <v/>
      </c>
      <c r="L1047" s="69"/>
      <c r="M1047">
        <f>'TMIS US'!A1038</f>
        <v>0</v>
      </c>
      <c r="N1047" t="str">
        <f>T('TMIS US'!B1038)</f>
        <v/>
      </c>
      <c r="O1047" t="s">
        <v>4290</v>
      </c>
      <c r="P1047" t="str">
        <f t="shared" si="136"/>
        <v/>
      </c>
      <c r="Q1047" t="str">
        <f t="shared" si="137"/>
        <v/>
      </c>
      <c r="R1047" s="69"/>
      <c r="S1047">
        <f>'TMIS CA'!A1038</f>
        <v>0</v>
      </c>
      <c r="T1047" t="str">
        <f>T('TMIS CA'!B1038)</f>
        <v/>
      </c>
      <c r="U1047" t="s">
        <v>4290</v>
      </c>
      <c r="V1047" t="str">
        <f t="shared" si="139"/>
        <v/>
      </c>
      <c r="W1047" t="str">
        <f t="shared" si="138"/>
        <v/>
      </c>
    </row>
    <row r="1048" spans="1:23">
      <c r="A1048">
        <f>'IPTV US'!A1039</f>
        <v>0</v>
      </c>
      <c r="B1048" t="str">
        <f>T('IPTV US'!B1039)</f>
        <v/>
      </c>
      <c r="C1048" t="s">
        <v>4290</v>
      </c>
      <c r="D1048" t="str">
        <f t="shared" si="133"/>
        <v/>
      </c>
      <c r="E1048" t="str">
        <f t="shared" si="134"/>
        <v/>
      </c>
      <c r="F1048" s="68" t="s">
        <v>4289</v>
      </c>
      <c r="G1048">
        <f>'IPTV CA'!A1039</f>
        <v>0</v>
      </c>
      <c r="H1048" t="str">
        <f>T('IPTV CA'!B1039)</f>
        <v/>
      </c>
      <c r="I1048" t="s">
        <v>4290</v>
      </c>
      <c r="J1048" t="str">
        <f t="shared" si="135"/>
        <v/>
      </c>
      <c r="K1048" t="str">
        <f t="shared" si="132"/>
        <v/>
      </c>
      <c r="L1048" s="69"/>
      <c r="M1048">
        <f>'TMIS US'!A1039</f>
        <v>0</v>
      </c>
      <c r="N1048" t="str">
        <f>T('TMIS US'!B1039)</f>
        <v/>
      </c>
      <c r="O1048" t="s">
        <v>4290</v>
      </c>
      <c r="P1048" t="str">
        <f t="shared" si="136"/>
        <v/>
      </c>
      <c r="Q1048" t="str">
        <f t="shared" si="137"/>
        <v/>
      </c>
      <c r="R1048" s="69"/>
      <c r="S1048">
        <f>'TMIS CA'!A1039</f>
        <v>0</v>
      </c>
      <c r="T1048" t="str">
        <f>T('TMIS CA'!B1039)</f>
        <v/>
      </c>
      <c r="U1048" t="s">
        <v>4290</v>
      </c>
      <c r="V1048" t="str">
        <f t="shared" si="139"/>
        <v/>
      </c>
      <c r="W1048" t="str">
        <f t="shared" si="138"/>
        <v/>
      </c>
    </row>
    <row r="1049" spans="1:23">
      <c r="A1049">
        <f>'IPTV US'!A1040</f>
        <v>0</v>
      </c>
      <c r="B1049" t="str">
        <f>T('IPTV US'!B1040)</f>
        <v/>
      </c>
      <c r="C1049" t="s">
        <v>4290</v>
      </c>
      <c r="D1049" t="str">
        <f t="shared" si="133"/>
        <v/>
      </c>
      <c r="E1049" t="str">
        <f t="shared" si="134"/>
        <v/>
      </c>
      <c r="F1049" s="68" t="s">
        <v>4289</v>
      </c>
      <c r="G1049">
        <f>'IPTV CA'!A1040</f>
        <v>0</v>
      </c>
      <c r="H1049" t="str">
        <f>T('IPTV CA'!B1040)</f>
        <v/>
      </c>
      <c r="I1049" t="s">
        <v>4290</v>
      </c>
      <c r="J1049" t="str">
        <f t="shared" si="135"/>
        <v/>
      </c>
      <c r="K1049" t="str">
        <f t="shared" si="132"/>
        <v/>
      </c>
      <c r="L1049" s="69"/>
      <c r="M1049">
        <f>'TMIS US'!A1040</f>
        <v>0</v>
      </c>
      <c r="N1049" t="str">
        <f>T('TMIS US'!B1040)</f>
        <v/>
      </c>
      <c r="O1049" t="s">
        <v>4290</v>
      </c>
      <c r="P1049" t="str">
        <f t="shared" si="136"/>
        <v/>
      </c>
      <c r="Q1049" t="str">
        <f t="shared" si="137"/>
        <v/>
      </c>
      <c r="R1049" s="69"/>
      <c r="S1049">
        <f>'TMIS CA'!A1040</f>
        <v>0</v>
      </c>
      <c r="T1049" t="str">
        <f>T('TMIS CA'!B1040)</f>
        <v/>
      </c>
      <c r="U1049" t="s">
        <v>4290</v>
      </c>
      <c r="V1049" t="str">
        <f t="shared" si="139"/>
        <v/>
      </c>
      <c r="W1049" t="str">
        <f t="shared" si="138"/>
        <v/>
      </c>
    </row>
    <row r="1050" spans="1:23">
      <c r="A1050">
        <f>'IPTV US'!A1041</f>
        <v>0</v>
      </c>
      <c r="B1050" t="str">
        <f>T('IPTV US'!B1041)</f>
        <v/>
      </c>
      <c r="C1050" t="s">
        <v>4290</v>
      </c>
      <c r="D1050" t="str">
        <f t="shared" si="133"/>
        <v/>
      </c>
      <c r="E1050" t="str">
        <f t="shared" si="134"/>
        <v/>
      </c>
      <c r="F1050" s="68" t="s">
        <v>4289</v>
      </c>
      <c r="G1050">
        <f>'IPTV CA'!A1041</f>
        <v>0</v>
      </c>
      <c r="H1050" t="str">
        <f>T('IPTV CA'!B1041)</f>
        <v/>
      </c>
      <c r="I1050" t="s">
        <v>4290</v>
      </c>
      <c r="J1050" t="str">
        <f t="shared" si="135"/>
        <v/>
      </c>
      <c r="K1050" t="str">
        <f t="shared" si="132"/>
        <v/>
      </c>
      <c r="L1050" s="69"/>
      <c r="M1050">
        <f>'TMIS US'!A1041</f>
        <v>0</v>
      </c>
      <c r="N1050" t="str">
        <f>T('TMIS US'!B1041)</f>
        <v/>
      </c>
      <c r="O1050" t="s">
        <v>4290</v>
      </c>
      <c r="P1050" t="str">
        <f t="shared" si="136"/>
        <v/>
      </c>
      <c r="Q1050" t="str">
        <f t="shared" si="137"/>
        <v/>
      </c>
      <c r="R1050" s="69"/>
      <c r="S1050">
        <f>'TMIS CA'!A1041</f>
        <v>0</v>
      </c>
      <c r="T1050" t="str">
        <f>T('TMIS CA'!B1041)</f>
        <v/>
      </c>
      <c r="U1050" t="s">
        <v>4290</v>
      </c>
      <c r="V1050" t="str">
        <f t="shared" si="139"/>
        <v/>
      </c>
      <c r="W1050" t="str">
        <f t="shared" si="138"/>
        <v/>
      </c>
    </row>
    <row r="1051" spans="1:23">
      <c r="A1051">
        <f>'IPTV US'!A1042</f>
        <v>0</v>
      </c>
      <c r="B1051" t="str">
        <f>T('IPTV US'!B1042)</f>
        <v/>
      </c>
      <c r="C1051" t="s">
        <v>4290</v>
      </c>
      <c r="D1051" t="str">
        <f t="shared" si="133"/>
        <v/>
      </c>
      <c r="E1051" t="str">
        <f t="shared" si="134"/>
        <v/>
      </c>
      <c r="F1051" s="68" t="s">
        <v>4289</v>
      </c>
      <c r="G1051">
        <f>'IPTV CA'!A1042</f>
        <v>0</v>
      </c>
      <c r="H1051" t="str">
        <f>T('IPTV CA'!B1042)</f>
        <v/>
      </c>
      <c r="I1051" t="s">
        <v>4290</v>
      </c>
      <c r="J1051" t="str">
        <f t="shared" si="135"/>
        <v/>
      </c>
      <c r="K1051" t="str">
        <f t="shared" si="132"/>
        <v/>
      </c>
      <c r="L1051" s="69"/>
      <c r="M1051">
        <f>'TMIS US'!A1042</f>
        <v>0</v>
      </c>
      <c r="N1051" t="str">
        <f>T('TMIS US'!B1042)</f>
        <v/>
      </c>
      <c r="O1051" t="s">
        <v>4290</v>
      </c>
      <c r="P1051" t="str">
        <f t="shared" si="136"/>
        <v/>
      </c>
      <c r="Q1051" t="str">
        <f t="shared" si="137"/>
        <v/>
      </c>
      <c r="R1051" s="69"/>
      <c r="S1051">
        <f>'TMIS CA'!A1042</f>
        <v>0</v>
      </c>
      <c r="T1051" t="str">
        <f>T('TMIS CA'!B1042)</f>
        <v/>
      </c>
      <c r="U1051" t="s">
        <v>4290</v>
      </c>
      <c r="V1051" t="str">
        <f t="shared" si="139"/>
        <v/>
      </c>
      <c r="W1051" t="str">
        <f t="shared" si="138"/>
        <v/>
      </c>
    </row>
    <row r="1052" spans="1:23">
      <c r="A1052">
        <f>'IPTV US'!A1043</f>
        <v>0</v>
      </c>
      <c r="B1052" t="str">
        <f>T('IPTV US'!B1043)</f>
        <v/>
      </c>
      <c r="C1052" t="s">
        <v>4290</v>
      </c>
      <c r="D1052" t="str">
        <f t="shared" si="133"/>
        <v/>
      </c>
      <c r="E1052" t="str">
        <f t="shared" si="134"/>
        <v/>
      </c>
      <c r="F1052" s="68" t="s">
        <v>4289</v>
      </c>
      <c r="G1052">
        <f>'IPTV CA'!A1043</f>
        <v>0</v>
      </c>
      <c r="H1052" t="str">
        <f>T('IPTV CA'!B1043)</f>
        <v/>
      </c>
      <c r="I1052" t="s">
        <v>4290</v>
      </c>
      <c r="J1052" t="str">
        <f t="shared" si="135"/>
        <v/>
      </c>
      <c r="K1052" t="str">
        <f t="shared" si="132"/>
        <v/>
      </c>
      <c r="L1052" s="69"/>
      <c r="M1052">
        <f>'TMIS US'!A1043</f>
        <v>0</v>
      </c>
      <c r="N1052" t="str">
        <f>T('TMIS US'!B1043)</f>
        <v/>
      </c>
      <c r="O1052" t="s">
        <v>4290</v>
      </c>
      <c r="P1052" t="str">
        <f t="shared" si="136"/>
        <v/>
      </c>
      <c r="Q1052" t="str">
        <f t="shared" si="137"/>
        <v/>
      </c>
      <c r="R1052" s="69"/>
      <c r="S1052">
        <f>'TMIS CA'!A1043</f>
        <v>0</v>
      </c>
      <c r="T1052" t="str">
        <f>T('TMIS CA'!B1043)</f>
        <v/>
      </c>
      <c r="U1052" t="s">
        <v>4290</v>
      </c>
      <c r="V1052" t="str">
        <f t="shared" si="139"/>
        <v/>
      </c>
      <c r="W1052" t="str">
        <f t="shared" si="138"/>
        <v/>
      </c>
    </row>
    <row r="1053" spans="1:23">
      <c r="A1053">
        <f>'IPTV US'!A1044</f>
        <v>0</v>
      </c>
      <c r="B1053" t="str">
        <f>T('IPTV US'!B1044)</f>
        <v/>
      </c>
      <c r="C1053" t="s">
        <v>4290</v>
      </c>
      <c r="D1053" t="str">
        <f t="shared" si="133"/>
        <v/>
      </c>
      <c r="E1053" t="str">
        <f t="shared" si="134"/>
        <v/>
      </c>
      <c r="F1053" s="68" t="s">
        <v>4289</v>
      </c>
      <c r="G1053">
        <f>'IPTV CA'!A1044</f>
        <v>0</v>
      </c>
      <c r="H1053" t="str">
        <f>T('IPTV CA'!B1044)</f>
        <v/>
      </c>
      <c r="I1053" t="s">
        <v>4290</v>
      </c>
      <c r="J1053" t="str">
        <f t="shared" si="135"/>
        <v/>
      </c>
      <c r="K1053" t="str">
        <f t="shared" si="132"/>
        <v/>
      </c>
      <c r="L1053" s="69"/>
      <c r="M1053">
        <f>'TMIS US'!A1044</f>
        <v>0</v>
      </c>
      <c r="N1053" t="str">
        <f>T('TMIS US'!B1044)</f>
        <v/>
      </c>
      <c r="O1053" t="s">
        <v>4290</v>
      </c>
      <c r="P1053" t="str">
        <f t="shared" si="136"/>
        <v/>
      </c>
      <c r="Q1053" t="str">
        <f t="shared" si="137"/>
        <v/>
      </c>
      <c r="R1053" s="69"/>
      <c r="S1053">
        <f>'TMIS CA'!A1044</f>
        <v>0</v>
      </c>
      <c r="T1053" t="str">
        <f>T('TMIS CA'!B1044)</f>
        <v/>
      </c>
      <c r="U1053" t="s">
        <v>4290</v>
      </c>
      <c r="V1053" t="str">
        <f t="shared" si="139"/>
        <v/>
      </c>
      <c r="W1053" t="str">
        <f t="shared" si="138"/>
        <v/>
      </c>
    </row>
    <row r="1054" spans="1:23">
      <c r="A1054">
        <f>'IPTV US'!A1045</f>
        <v>0</v>
      </c>
      <c r="B1054" t="str">
        <f>T('IPTV US'!B1045)</f>
        <v/>
      </c>
      <c r="C1054" t="s">
        <v>4290</v>
      </c>
      <c r="D1054" t="str">
        <f t="shared" si="133"/>
        <v/>
      </c>
      <c r="E1054" t="str">
        <f t="shared" si="134"/>
        <v/>
      </c>
      <c r="F1054" s="68" t="s">
        <v>4289</v>
      </c>
      <c r="G1054">
        <f>'IPTV CA'!A1045</f>
        <v>0</v>
      </c>
      <c r="H1054" t="str">
        <f>T('IPTV CA'!B1045)</f>
        <v/>
      </c>
      <c r="I1054" t="s">
        <v>4290</v>
      </c>
      <c r="J1054" t="str">
        <f t="shared" si="135"/>
        <v/>
      </c>
      <c r="K1054" t="str">
        <f t="shared" si="132"/>
        <v/>
      </c>
      <c r="L1054" s="69"/>
      <c r="M1054">
        <f>'TMIS US'!A1045</f>
        <v>0</v>
      </c>
      <c r="N1054" t="str">
        <f>T('TMIS US'!B1045)</f>
        <v/>
      </c>
      <c r="O1054" t="s">
        <v>4290</v>
      </c>
      <c r="P1054" t="str">
        <f t="shared" si="136"/>
        <v/>
      </c>
      <c r="Q1054" t="str">
        <f t="shared" si="137"/>
        <v/>
      </c>
      <c r="R1054" s="69"/>
      <c r="S1054">
        <f>'TMIS CA'!A1045</f>
        <v>0</v>
      </c>
      <c r="T1054" t="str">
        <f>T('TMIS CA'!B1045)</f>
        <v/>
      </c>
      <c r="U1054" t="s">
        <v>4290</v>
      </c>
      <c r="V1054" t="str">
        <f t="shared" si="139"/>
        <v/>
      </c>
      <c r="W1054" t="str">
        <f t="shared" si="138"/>
        <v/>
      </c>
    </row>
    <row r="1055" spans="1:23">
      <c r="A1055">
        <f>'IPTV US'!A1046</f>
        <v>0</v>
      </c>
      <c r="B1055" t="str">
        <f>T('IPTV US'!B1046)</f>
        <v/>
      </c>
      <c r="C1055" t="s">
        <v>4290</v>
      </c>
      <c r="D1055" t="str">
        <f t="shared" si="133"/>
        <v/>
      </c>
      <c r="E1055" t="str">
        <f t="shared" si="134"/>
        <v/>
      </c>
      <c r="F1055" s="68" t="s">
        <v>4289</v>
      </c>
      <c r="G1055">
        <f>'IPTV CA'!A1046</f>
        <v>0</v>
      </c>
      <c r="H1055" t="str">
        <f>T('IPTV CA'!B1046)</f>
        <v/>
      </c>
      <c r="I1055" t="s">
        <v>4290</v>
      </c>
      <c r="J1055" t="str">
        <f t="shared" si="135"/>
        <v/>
      </c>
      <c r="K1055" t="str">
        <f t="shared" si="132"/>
        <v/>
      </c>
      <c r="L1055" s="69"/>
      <c r="M1055">
        <f>'TMIS US'!A1046</f>
        <v>0</v>
      </c>
      <c r="N1055" t="str">
        <f>T('TMIS US'!B1046)</f>
        <v/>
      </c>
      <c r="O1055" t="s">
        <v>4290</v>
      </c>
      <c r="P1055" t="str">
        <f t="shared" si="136"/>
        <v/>
      </c>
      <c r="Q1055" t="str">
        <f t="shared" si="137"/>
        <v/>
      </c>
      <c r="R1055" s="69"/>
      <c r="S1055">
        <f>'TMIS CA'!A1046</f>
        <v>0</v>
      </c>
      <c r="T1055" t="str">
        <f>T('TMIS CA'!B1046)</f>
        <v/>
      </c>
      <c r="U1055" t="s">
        <v>4290</v>
      </c>
      <c r="V1055" t="str">
        <f t="shared" si="139"/>
        <v/>
      </c>
      <c r="W1055" t="str">
        <f t="shared" si="138"/>
        <v/>
      </c>
    </row>
    <row r="1056" spans="1:23">
      <c r="A1056">
        <f>'IPTV US'!A1047</f>
        <v>0</v>
      </c>
      <c r="B1056" t="str">
        <f>T('IPTV US'!B1047)</f>
        <v/>
      </c>
      <c r="C1056" t="s">
        <v>4290</v>
      </c>
      <c r="D1056" t="str">
        <f t="shared" si="133"/>
        <v/>
      </c>
      <c r="E1056" t="str">
        <f t="shared" si="134"/>
        <v/>
      </c>
      <c r="F1056" s="68" t="s">
        <v>4289</v>
      </c>
      <c r="G1056">
        <f>'IPTV CA'!A1047</f>
        <v>0</v>
      </c>
      <c r="H1056" t="str">
        <f>T('IPTV CA'!B1047)</f>
        <v/>
      </c>
      <c r="I1056" t="s">
        <v>4290</v>
      </c>
      <c r="J1056" t="str">
        <f t="shared" si="135"/>
        <v/>
      </c>
      <c r="K1056" t="str">
        <f t="shared" si="132"/>
        <v/>
      </c>
      <c r="L1056" s="69"/>
      <c r="M1056">
        <f>'TMIS US'!A1047</f>
        <v>0</v>
      </c>
      <c r="N1056" t="str">
        <f>T('TMIS US'!B1047)</f>
        <v/>
      </c>
      <c r="O1056" t="s">
        <v>4290</v>
      </c>
      <c r="P1056" t="str">
        <f t="shared" si="136"/>
        <v/>
      </c>
      <c r="Q1056" t="str">
        <f t="shared" si="137"/>
        <v/>
      </c>
      <c r="R1056" s="69"/>
      <c r="S1056">
        <f>'TMIS CA'!A1047</f>
        <v>0</v>
      </c>
      <c r="T1056" t="str">
        <f>T('TMIS CA'!B1047)</f>
        <v/>
      </c>
      <c r="U1056" t="s">
        <v>4290</v>
      </c>
      <c r="V1056" t="str">
        <f t="shared" si="139"/>
        <v/>
      </c>
      <c r="W1056" t="str">
        <f t="shared" si="138"/>
        <v/>
      </c>
    </row>
    <row r="1057" spans="1:23">
      <c r="A1057">
        <f>'IPTV US'!A1048</f>
        <v>0</v>
      </c>
      <c r="B1057" t="str">
        <f>T('IPTV US'!B1048)</f>
        <v/>
      </c>
      <c r="C1057" t="s">
        <v>4290</v>
      </c>
      <c r="D1057" t="str">
        <f t="shared" si="133"/>
        <v/>
      </c>
      <c r="E1057" t="str">
        <f t="shared" si="134"/>
        <v/>
      </c>
      <c r="F1057" s="68" t="s">
        <v>4289</v>
      </c>
      <c r="G1057">
        <f>'IPTV CA'!A1048</f>
        <v>0</v>
      </c>
      <c r="H1057" t="str">
        <f>T('IPTV CA'!B1048)</f>
        <v/>
      </c>
      <c r="I1057" t="s">
        <v>4290</v>
      </c>
      <c r="J1057" t="str">
        <f t="shared" si="135"/>
        <v/>
      </c>
      <c r="K1057" t="str">
        <f t="shared" si="132"/>
        <v/>
      </c>
      <c r="L1057" s="69"/>
      <c r="M1057">
        <f>'TMIS US'!A1048</f>
        <v>0</v>
      </c>
      <c r="N1057" t="str">
        <f>T('TMIS US'!B1048)</f>
        <v/>
      </c>
      <c r="O1057" t="s">
        <v>4290</v>
      </c>
      <c r="P1057" t="str">
        <f t="shared" si="136"/>
        <v/>
      </c>
      <c r="Q1057" t="str">
        <f t="shared" si="137"/>
        <v/>
      </c>
      <c r="R1057" s="69"/>
      <c r="S1057">
        <f>'TMIS CA'!A1048</f>
        <v>0</v>
      </c>
      <c r="T1057" t="str">
        <f>T('TMIS CA'!B1048)</f>
        <v/>
      </c>
      <c r="U1057" t="s">
        <v>4290</v>
      </c>
      <c r="V1057" t="str">
        <f t="shared" si="139"/>
        <v/>
      </c>
      <c r="W1057" t="str">
        <f t="shared" si="138"/>
        <v/>
      </c>
    </row>
    <row r="1058" spans="1:23">
      <c r="A1058">
        <f>'IPTV US'!A1049</f>
        <v>0</v>
      </c>
      <c r="B1058" t="str">
        <f>T('IPTV US'!B1049)</f>
        <v/>
      </c>
      <c r="C1058" t="s">
        <v>4290</v>
      </c>
      <c r="D1058" t="str">
        <f t="shared" si="133"/>
        <v/>
      </c>
      <c r="E1058" t="str">
        <f t="shared" si="134"/>
        <v/>
      </c>
      <c r="F1058" s="68" t="s">
        <v>4289</v>
      </c>
      <c r="G1058">
        <f>'IPTV CA'!A1049</f>
        <v>0</v>
      </c>
      <c r="H1058" t="str">
        <f>T('IPTV CA'!B1049)</f>
        <v/>
      </c>
      <c r="I1058" t="s">
        <v>4290</v>
      </c>
      <c r="J1058" t="str">
        <f t="shared" si="135"/>
        <v/>
      </c>
      <c r="K1058" t="str">
        <f t="shared" si="132"/>
        <v/>
      </c>
      <c r="L1058" s="69"/>
      <c r="M1058">
        <f>'TMIS US'!A1049</f>
        <v>0</v>
      </c>
      <c r="N1058" t="str">
        <f>T('TMIS US'!B1049)</f>
        <v/>
      </c>
      <c r="O1058" t="s">
        <v>4290</v>
      </c>
      <c r="P1058" t="str">
        <f t="shared" si="136"/>
        <v/>
      </c>
      <c r="Q1058" t="str">
        <f t="shared" si="137"/>
        <v/>
      </c>
      <c r="R1058" s="69"/>
      <c r="S1058">
        <f>'TMIS CA'!A1049</f>
        <v>0</v>
      </c>
      <c r="T1058" t="str">
        <f>T('TMIS CA'!B1049)</f>
        <v/>
      </c>
      <c r="U1058" t="s">
        <v>4290</v>
      </c>
      <c r="V1058" t="str">
        <f t="shared" si="139"/>
        <v/>
      </c>
      <c r="W1058" t="str">
        <f t="shared" si="138"/>
        <v/>
      </c>
    </row>
    <row r="1059" spans="1:23">
      <c r="A1059">
        <f>'IPTV US'!A1050</f>
        <v>0</v>
      </c>
      <c r="B1059" t="str">
        <f>T('IPTV US'!B1050)</f>
        <v/>
      </c>
      <c r="C1059" t="s">
        <v>4290</v>
      </c>
      <c r="D1059" t="str">
        <f t="shared" si="133"/>
        <v/>
      </c>
      <c r="E1059" t="str">
        <f t="shared" si="134"/>
        <v/>
      </c>
      <c r="F1059" s="68" t="s">
        <v>4289</v>
      </c>
      <c r="G1059">
        <f>'IPTV CA'!A1050</f>
        <v>0</v>
      </c>
      <c r="H1059" t="str">
        <f>T('IPTV CA'!B1050)</f>
        <v/>
      </c>
      <c r="I1059" t="s">
        <v>4290</v>
      </c>
      <c r="J1059" t="str">
        <f t="shared" si="135"/>
        <v/>
      </c>
      <c r="K1059" t="str">
        <f t="shared" si="132"/>
        <v/>
      </c>
      <c r="L1059" s="69"/>
      <c r="M1059">
        <f>'TMIS US'!A1050</f>
        <v>0</v>
      </c>
      <c r="N1059" t="str">
        <f>T('TMIS US'!B1050)</f>
        <v/>
      </c>
      <c r="O1059" t="s">
        <v>4290</v>
      </c>
      <c r="P1059" t="str">
        <f t="shared" si="136"/>
        <v/>
      </c>
      <c r="Q1059" t="str">
        <f t="shared" si="137"/>
        <v/>
      </c>
      <c r="R1059" s="69"/>
      <c r="S1059">
        <f>'TMIS CA'!A1050</f>
        <v>0</v>
      </c>
      <c r="T1059" t="str">
        <f>T('TMIS CA'!B1050)</f>
        <v/>
      </c>
      <c r="U1059" t="s">
        <v>4290</v>
      </c>
      <c r="V1059" t="str">
        <f t="shared" si="139"/>
        <v/>
      </c>
      <c r="W1059" t="str">
        <f t="shared" si="138"/>
        <v/>
      </c>
    </row>
    <row r="1060" spans="1:23">
      <c r="A1060">
        <f>'IPTV US'!A1051</f>
        <v>0</v>
      </c>
      <c r="B1060" t="str">
        <f>T('IPTV US'!B1051)</f>
        <v/>
      </c>
      <c r="C1060" t="s">
        <v>4290</v>
      </c>
      <c r="D1060" t="str">
        <f t="shared" si="133"/>
        <v/>
      </c>
      <c r="E1060" t="str">
        <f t="shared" si="134"/>
        <v/>
      </c>
      <c r="F1060" s="68" t="s">
        <v>4289</v>
      </c>
      <c r="G1060">
        <f>'IPTV CA'!A1051</f>
        <v>0</v>
      </c>
      <c r="H1060" t="str">
        <f>T('IPTV CA'!B1051)</f>
        <v/>
      </c>
      <c r="I1060" t="s">
        <v>4290</v>
      </c>
      <c r="J1060" t="str">
        <f t="shared" si="135"/>
        <v/>
      </c>
      <c r="K1060" t="str">
        <f t="shared" si="132"/>
        <v/>
      </c>
      <c r="L1060" s="69"/>
      <c r="M1060">
        <f>'TMIS US'!A1051</f>
        <v>0</v>
      </c>
      <c r="N1060" t="str">
        <f>T('TMIS US'!B1051)</f>
        <v/>
      </c>
      <c r="O1060" t="s">
        <v>4290</v>
      </c>
      <c r="P1060" t="str">
        <f t="shared" si="136"/>
        <v/>
      </c>
      <c r="Q1060" t="str">
        <f t="shared" si="137"/>
        <v/>
      </c>
      <c r="R1060" s="69"/>
      <c r="S1060">
        <f>'TMIS CA'!A1051</f>
        <v>0</v>
      </c>
      <c r="T1060" t="str">
        <f>T('TMIS CA'!B1051)</f>
        <v/>
      </c>
      <c r="U1060" t="s">
        <v>4290</v>
      </c>
      <c r="V1060" t="str">
        <f t="shared" si="139"/>
        <v/>
      </c>
      <c r="W1060" t="str">
        <f t="shared" si="138"/>
        <v/>
      </c>
    </row>
    <row r="1061" spans="1:23">
      <c r="A1061">
        <f>'IPTV US'!A1052</f>
        <v>0</v>
      </c>
      <c r="B1061" t="str">
        <f>T('IPTV US'!B1052)</f>
        <v/>
      </c>
      <c r="C1061" t="s">
        <v>4290</v>
      </c>
      <c r="D1061" t="str">
        <f t="shared" si="133"/>
        <v/>
      </c>
      <c r="E1061" t="str">
        <f t="shared" si="134"/>
        <v/>
      </c>
      <c r="F1061" s="68" t="s">
        <v>4289</v>
      </c>
      <c r="G1061">
        <f>'IPTV CA'!A1052</f>
        <v>0</v>
      </c>
      <c r="H1061" t="str">
        <f>T('IPTV CA'!B1052)</f>
        <v/>
      </c>
      <c r="I1061" t="s">
        <v>4290</v>
      </c>
      <c r="J1061" t="str">
        <f t="shared" si="135"/>
        <v/>
      </c>
      <c r="K1061" t="str">
        <f t="shared" si="132"/>
        <v/>
      </c>
      <c r="L1061" s="69"/>
      <c r="M1061">
        <f>'TMIS US'!A1052</f>
        <v>0</v>
      </c>
      <c r="N1061" t="str">
        <f>T('TMIS US'!B1052)</f>
        <v/>
      </c>
      <c r="O1061" t="s">
        <v>4290</v>
      </c>
      <c r="P1061" t="str">
        <f t="shared" si="136"/>
        <v/>
      </c>
      <c r="Q1061" t="str">
        <f t="shared" si="137"/>
        <v/>
      </c>
      <c r="R1061" s="69"/>
      <c r="S1061">
        <f>'TMIS CA'!A1052</f>
        <v>0</v>
      </c>
      <c r="T1061" t="str">
        <f>T('TMIS CA'!B1052)</f>
        <v/>
      </c>
      <c r="U1061" t="s">
        <v>4290</v>
      </c>
      <c r="V1061" t="str">
        <f t="shared" si="139"/>
        <v/>
      </c>
      <c r="W1061" t="str">
        <f t="shared" si="138"/>
        <v/>
      </c>
    </row>
    <row r="1062" spans="1:23">
      <c r="A1062">
        <f>'IPTV US'!A1053</f>
        <v>0</v>
      </c>
      <c r="B1062" t="str">
        <f>T('IPTV US'!B1053)</f>
        <v/>
      </c>
      <c r="C1062" t="s">
        <v>4290</v>
      </c>
      <c r="D1062" t="str">
        <f t="shared" si="133"/>
        <v/>
      </c>
      <c r="E1062" t="str">
        <f t="shared" si="134"/>
        <v/>
      </c>
      <c r="F1062" s="68" t="s">
        <v>4289</v>
      </c>
      <c r="G1062">
        <f>'IPTV CA'!A1053</f>
        <v>0</v>
      </c>
      <c r="H1062" t="str">
        <f>T('IPTV CA'!B1053)</f>
        <v/>
      </c>
      <c r="I1062" t="s">
        <v>4290</v>
      </c>
      <c r="J1062" t="str">
        <f t="shared" si="135"/>
        <v/>
      </c>
      <c r="K1062" t="str">
        <f t="shared" si="132"/>
        <v/>
      </c>
      <c r="L1062" s="69"/>
      <c r="M1062">
        <f>'TMIS US'!A1053</f>
        <v>0</v>
      </c>
      <c r="N1062" t="str">
        <f>T('TMIS US'!B1053)</f>
        <v/>
      </c>
      <c r="O1062" t="s">
        <v>4290</v>
      </c>
      <c r="P1062" t="str">
        <f t="shared" si="136"/>
        <v/>
      </c>
      <c r="Q1062" t="str">
        <f t="shared" si="137"/>
        <v/>
      </c>
      <c r="R1062" s="69"/>
      <c r="S1062">
        <f>'TMIS CA'!A1053</f>
        <v>0</v>
      </c>
      <c r="T1062" t="str">
        <f>T('TMIS CA'!B1053)</f>
        <v/>
      </c>
      <c r="U1062" t="s">
        <v>4290</v>
      </c>
      <c r="V1062" t="str">
        <f t="shared" si="139"/>
        <v/>
      </c>
      <c r="W1062" t="str">
        <f t="shared" si="138"/>
        <v/>
      </c>
    </row>
    <row r="1063" spans="1:23">
      <c r="A1063">
        <f>'IPTV US'!A1054</f>
        <v>0</v>
      </c>
      <c r="B1063" t="str">
        <f>T('IPTV US'!B1054)</f>
        <v/>
      </c>
      <c r="C1063" t="s">
        <v>4290</v>
      </c>
      <c r="D1063" t="str">
        <f t="shared" si="133"/>
        <v/>
      </c>
      <c r="E1063" t="str">
        <f t="shared" si="134"/>
        <v/>
      </c>
      <c r="F1063" s="68" t="s">
        <v>4289</v>
      </c>
      <c r="G1063">
        <f>'IPTV CA'!A1054</f>
        <v>0</v>
      </c>
      <c r="H1063" t="str">
        <f>T('IPTV CA'!B1054)</f>
        <v/>
      </c>
      <c r="I1063" t="s">
        <v>4290</v>
      </c>
      <c r="J1063" t="str">
        <f t="shared" si="135"/>
        <v/>
      </c>
      <c r="K1063" t="str">
        <f t="shared" si="132"/>
        <v/>
      </c>
      <c r="L1063" s="69"/>
      <c r="M1063">
        <f>'TMIS US'!A1054</f>
        <v>0</v>
      </c>
      <c r="N1063" t="str">
        <f>T('TMIS US'!B1054)</f>
        <v/>
      </c>
      <c r="O1063" t="s">
        <v>4290</v>
      </c>
      <c r="P1063" t="str">
        <f t="shared" si="136"/>
        <v/>
      </c>
      <c r="Q1063" t="str">
        <f t="shared" si="137"/>
        <v/>
      </c>
      <c r="R1063" s="69"/>
      <c r="S1063">
        <f>'TMIS CA'!A1054</f>
        <v>0</v>
      </c>
      <c r="T1063" t="str">
        <f>T('TMIS CA'!B1054)</f>
        <v/>
      </c>
      <c r="U1063" t="s">
        <v>4290</v>
      </c>
      <c r="V1063" t="str">
        <f t="shared" si="139"/>
        <v/>
      </c>
      <c r="W1063" t="str">
        <f t="shared" si="138"/>
        <v/>
      </c>
    </row>
    <row r="1064" spans="1:23">
      <c r="A1064">
        <f>'IPTV US'!A1055</f>
        <v>0</v>
      </c>
      <c r="B1064" t="str">
        <f>T('IPTV US'!B1055)</f>
        <v/>
      </c>
      <c r="C1064" t="s">
        <v>4290</v>
      </c>
      <c r="D1064" t="str">
        <f t="shared" si="133"/>
        <v/>
      </c>
      <c r="E1064" t="str">
        <f t="shared" si="134"/>
        <v/>
      </c>
      <c r="F1064" s="68" t="s">
        <v>4289</v>
      </c>
      <c r="G1064">
        <f>'IPTV CA'!A1055</f>
        <v>0</v>
      </c>
      <c r="H1064" t="str">
        <f>T('IPTV CA'!B1055)</f>
        <v/>
      </c>
      <c r="I1064" t="s">
        <v>4290</v>
      </c>
      <c r="J1064" t="str">
        <f t="shared" si="135"/>
        <v/>
      </c>
      <c r="K1064" t="str">
        <f t="shared" si="132"/>
        <v/>
      </c>
      <c r="L1064" s="69"/>
      <c r="M1064">
        <f>'TMIS US'!A1055</f>
        <v>0</v>
      </c>
      <c r="N1064" t="str">
        <f>T('TMIS US'!B1055)</f>
        <v/>
      </c>
      <c r="O1064" t="s">
        <v>4290</v>
      </c>
      <c r="P1064" t="str">
        <f t="shared" si="136"/>
        <v/>
      </c>
      <c r="Q1064" t="str">
        <f t="shared" si="137"/>
        <v/>
      </c>
      <c r="R1064" s="69"/>
      <c r="S1064">
        <f>'TMIS CA'!A1055</f>
        <v>0</v>
      </c>
      <c r="T1064" t="str">
        <f>T('TMIS CA'!B1055)</f>
        <v/>
      </c>
      <c r="U1064" t="s">
        <v>4290</v>
      </c>
      <c r="V1064" t="str">
        <f t="shared" si="139"/>
        <v/>
      </c>
      <c r="W1064" t="str">
        <f t="shared" si="138"/>
        <v/>
      </c>
    </row>
    <row r="1065" spans="1:23">
      <c r="A1065">
        <f>'IPTV US'!A1056</f>
        <v>0</v>
      </c>
      <c r="B1065" t="str">
        <f>T('IPTV US'!B1056)</f>
        <v/>
      </c>
      <c r="C1065" t="s">
        <v>4290</v>
      </c>
      <c r="D1065" t="str">
        <f t="shared" si="133"/>
        <v/>
      </c>
      <c r="E1065" t="str">
        <f t="shared" si="134"/>
        <v/>
      </c>
      <c r="F1065" s="68" t="s">
        <v>4289</v>
      </c>
      <c r="G1065">
        <f>'IPTV CA'!A1056</f>
        <v>0</v>
      </c>
      <c r="H1065" t="str">
        <f>T('IPTV CA'!B1056)</f>
        <v/>
      </c>
      <c r="I1065" t="s">
        <v>4290</v>
      </c>
      <c r="J1065" t="str">
        <f t="shared" si="135"/>
        <v/>
      </c>
      <c r="K1065" t="str">
        <f t="shared" si="132"/>
        <v/>
      </c>
      <c r="L1065" s="69"/>
      <c r="M1065">
        <f>'TMIS US'!A1056</f>
        <v>0</v>
      </c>
      <c r="N1065" t="str">
        <f>T('TMIS US'!B1056)</f>
        <v/>
      </c>
      <c r="O1065" t="s">
        <v>4290</v>
      </c>
      <c r="P1065" t="str">
        <f t="shared" si="136"/>
        <v/>
      </c>
      <c r="Q1065" t="str">
        <f t="shared" si="137"/>
        <v/>
      </c>
      <c r="R1065" s="69"/>
      <c r="S1065">
        <f>'TMIS CA'!A1056</f>
        <v>0</v>
      </c>
      <c r="T1065" t="str">
        <f>T('TMIS CA'!B1056)</f>
        <v/>
      </c>
      <c r="U1065" t="s">
        <v>4290</v>
      </c>
      <c r="V1065" t="str">
        <f t="shared" si="139"/>
        <v/>
      </c>
      <c r="W1065" t="str">
        <f t="shared" si="138"/>
        <v/>
      </c>
    </row>
    <row r="1066" spans="1:23">
      <c r="A1066">
        <f>'IPTV US'!A1057</f>
        <v>0</v>
      </c>
      <c r="B1066" t="str">
        <f>T('IPTV US'!B1057)</f>
        <v/>
      </c>
      <c r="C1066" t="s">
        <v>4290</v>
      </c>
      <c r="D1066" t="str">
        <f t="shared" si="133"/>
        <v/>
      </c>
      <c r="E1066" t="str">
        <f t="shared" si="134"/>
        <v/>
      </c>
      <c r="F1066" s="68" t="s">
        <v>4289</v>
      </c>
      <c r="G1066">
        <f>'IPTV CA'!A1057</f>
        <v>0</v>
      </c>
      <c r="H1066" t="str">
        <f>T('IPTV CA'!B1057)</f>
        <v/>
      </c>
      <c r="I1066" t="s">
        <v>4290</v>
      </c>
      <c r="J1066" t="str">
        <f t="shared" si="135"/>
        <v/>
      </c>
      <c r="K1066" t="str">
        <f t="shared" si="132"/>
        <v/>
      </c>
      <c r="L1066" s="69"/>
      <c r="M1066">
        <f>'TMIS US'!A1057</f>
        <v>0</v>
      </c>
      <c r="N1066" t="str">
        <f>T('TMIS US'!B1057)</f>
        <v/>
      </c>
      <c r="O1066" t="s">
        <v>4290</v>
      </c>
      <c r="P1066" t="str">
        <f t="shared" si="136"/>
        <v/>
      </c>
      <c r="Q1066" t="str">
        <f t="shared" si="137"/>
        <v/>
      </c>
      <c r="R1066" s="69"/>
      <c r="S1066">
        <f>'TMIS CA'!A1057</f>
        <v>0</v>
      </c>
      <c r="T1066" t="str">
        <f>T('TMIS CA'!B1057)</f>
        <v/>
      </c>
      <c r="U1066" t="s">
        <v>4290</v>
      </c>
      <c r="V1066" t="str">
        <f t="shared" si="139"/>
        <v/>
      </c>
      <c r="W1066" t="str">
        <f t="shared" si="138"/>
        <v/>
      </c>
    </row>
    <row r="1067" spans="1:23">
      <c r="A1067">
        <f>'IPTV US'!A1058</f>
        <v>0</v>
      </c>
      <c r="B1067" t="str">
        <f>T('IPTV US'!B1058)</f>
        <v/>
      </c>
      <c r="C1067" t="s">
        <v>4290</v>
      </c>
      <c r="D1067" t="str">
        <f t="shared" si="133"/>
        <v/>
      </c>
      <c r="E1067" t="str">
        <f t="shared" si="134"/>
        <v/>
      </c>
      <c r="F1067" s="68" t="s">
        <v>4289</v>
      </c>
      <c r="G1067">
        <f>'IPTV CA'!A1058</f>
        <v>0</v>
      </c>
      <c r="H1067" t="str">
        <f>T('IPTV CA'!B1058)</f>
        <v/>
      </c>
      <c r="I1067" t="s">
        <v>4290</v>
      </c>
      <c r="J1067" t="str">
        <f t="shared" si="135"/>
        <v/>
      </c>
      <c r="K1067" t="str">
        <f t="shared" si="132"/>
        <v/>
      </c>
      <c r="L1067" s="69"/>
      <c r="M1067">
        <f>'TMIS US'!A1058</f>
        <v>0</v>
      </c>
      <c r="N1067" t="str">
        <f>T('TMIS US'!B1058)</f>
        <v/>
      </c>
      <c r="O1067" t="s">
        <v>4290</v>
      </c>
      <c r="P1067" t="str">
        <f t="shared" si="136"/>
        <v/>
      </c>
      <c r="Q1067" t="str">
        <f t="shared" si="137"/>
        <v/>
      </c>
      <c r="R1067" s="69"/>
      <c r="S1067">
        <f>'TMIS CA'!A1058</f>
        <v>0</v>
      </c>
      <c r="T1067" t="str">
        <f>T('TMIS CA'!B1058)</f>
        <v/>
      </c>
      <c r="U1067" t="s">
        <v>4290</v>
      </c>
      <c r="V1067" t="str">
        <f t="shared" si="139"/>
        <v/>
      </c>
      <c r="W1067" t="str">
        <f t="shared" si="138"/>
        <v/>
      </c>
    </row>
    <row r="1068" spans="1:23">
      <c r="A1068">
        <f>'IPTV US'!A1059</f>
        <v>0</v>
      </c>
      <c r="B1068" t="str">
        <f>T('IPTV US'!B1059)</f>
        <v/>
      </c>
      <c r="C1068" t="s">
        <v>4290</v>
      </c>
      <c r="D1068" t="str">
        <f t="shared" si="133"/>
        <v/>
      </c>
      <c r="E1068" t="str">
        <f t="shared" si="134"/>
        <v/>
      </c>
      <c r="F1068" s="68" t="s">
        <v>4289</v>
      </c>
      <c r="G1068">
        <f>'IPTV CA'!A1059</f>
        <v>0</v>
      </c>
      <c r="H1068" t="str">
        <f>T('IPTV CA'!B1059)</f>
        <v/>
      </c>
      <c r="I1068" t="s">
        <v>4290</v>
      </c>
      <c r="J1068" t="str">
        <f t="shared" si="135"/>
        <v/>
      </c>
      <c r="K1068" t="str">
        <f t="shared" si="132"/>
        <v/>
      </c>
      <c r="L1068" s="69"/>
      <c r="M1068">
        <f>'TMIS US'!A1059</f>
        <v>0</v>
      </c>
      <c r="N1068" t="str">
        <f>T('TMIS US'!B1059)</f>
        <v/>
      </c>
      <c r="O1068" t="s">
        <v>4290</v>
      </c>
      <c r="P1068" t="str">
        <f t="shared" si="136"/>
        <v/>
      </c>
      <c r="Q1068" t="str">
        <f t="shared" si="137"/>
        <v/>
      </c>
      <c r="R1068" s="69"/>
      <c r="S1068">
        <f>'TMIS CA'!A1059</f>
        <v>0</v>
      </c>
      <c r="T1068" t="str">
        <f>T('TMIS CA'!B1059)</f>
        <v/>
      </c>
      <c r="U1068" t="s">
        <v>4290</v>
      </c>
      <c r="V1068" t="str">
        <f t="shared" si="139"/>
        <v/>
      </c>
      <c r="W1068" t="str">
        <f t="shared" si="138"/>
        <v/>
      </c>
    </row>
    <row r="1069" spans="1:23">
      <c r="A1069">
        <f>'IPTV US'!A1060</f>
        <v>0</v>
      </c>
      <c r="B1069" t="str">
        <f>T('IPTV US'!B1060)</f>
        <v/>
      </c>
      <c r="C1069" t="s">
        <v>4290</v>
      </c>
      <c r="D1069" t="str">
        <f t="shared" si="133"/>
        <v/>
      </c>
      <c r="E1069" t="str">
        <f t="shared" si="134"/>
        <v/>
      </c>
      <c r="F1069" s="68" t="s">
        <v>4289</v>
      </c>
      <c r="G1069">
        <f>'IPTV CA'!A1060</f>
        <v>0</v>
      </c>
      <c r="H1069" t="str">
        <f>T('IPTV CA'!B1060)</f>
        <v/>
      </c>
      <c r="I1069" t="s">
        <v>4290</v>
      </c>
      <c r="J1069" t="str">
        <f t="shared" si="135"/>
        <v/>
      </c>
      <c r="K1069" t="str">
        <f t="shared" ref="K1069:K1132" si="140">IF(I1069="Vacant",IF(H1069="","","Please Notify - Channel Added"),"")</f>
        <v/>
      </c>
      <c r="L1069" s="69"/>
      <c r="M1069">
        <f>'TMIS US'!A1060</f>
        <v>0</v>
      </c>
      <c r="N1069" t="str">
        <f>T('TMIS US'!B1060)</f>
        <v/>
      </c>
      <c r="O1069" t="s">
        <v>4290</v>
      </c>
      <c r="P1069" t="str">
        <f t="shared" si="136"/>
        <v/>
      </c>
      <c r="Q1069" t="str">
        <f t="shared" si="137"/>
        <v/>
      </c>
      <c r="R1069" s="69"/>
      <c r="S1069">
        <f>'TMIS CA'!A1060</f>
        <v>0</v>
      </c>
      <c r="T1069" t="str">
        <f>T('TMIS CA'!B1060)</f>
        <v/>
      </c>
      <c r="U1069" t="s">
        <v>4290</v>
      </c>
      <c r="V1069" t="str">
        <f t="shared" si="139"/>
        <v/>
      </c>
      <c r="W1069" t="str">
        <f t="shared" si="138"/>
        <v/>
      </c>
    </row>
    <row r="1070" spans="1:23">
      <c r="A1070">
        <f>'IPTV US'!A1061</f>
        <v>0</v>
      </c>
      <c r="B1070" t="str">
        <f>T('IPTV US'!B1061)</f>
        <v/>
      </c>
      <c r="C1070" t="s">
        <v>4290</v>
      </c>
      <c r="D1070" t="str">
        <f t="shared" si="133"/>
        <v/>
      </c>
      <c r="E1070" t="str">
        <f t="shared" si="134"/>
        <v/>
      </c>
      <c r="F1070" s="68" t="s">
        <v>4289</v>
      </c>
      <c r="G1070">
        <f>'IPTV CA'!A1061</f>
        <v>0</v>
      </c>
      <c r="H1070" t="str">
        <f>T('IPTV CA'!B1061)</f>
        <v/>
      </c>
      <c r="I1070" t="s">
        <v>4290</v>
      </c>
      <c r="J1070" t="str">
        <f t="shared" si="135"/>
        <v/>
      </c>
      <c r="K1070" t="str">
        <f t="shared" si="140"/>
        <v/>
      </c>
      <c r="L1070" s="69"/>
      <c r="M1070">
        <f>'TMIS US'!A1061</f>
        <v>0</v>
      </c>
      <c r="N1070" t="str">
        <f>T('TMIS US'!B1061)</f>
        <v/>
      </c>
      <c r="O1070" t="s">
        <v>4290</v>
      </c>
      <c r="P1070" t="str">
        <f t="shared" si="136"/>
        <v/>
      </c>
      <c r="Q1070" t="str">
        <f t="shared" si="137"/>
        <v/>
      </c>
      <c r="R1070" s="69"/>
      <c r="S1070">
        <f>'TMIS CA'!A1061</f>
        <v>0</v>
      </c>
      <c r="T1070" t="str">
        <f>T('TMIS CA'!B1061)</f>
        <v/>
      </c>
      <c r="U1070" t="s">
        <v>4290</v>
      </c>
      <c r="V1070" t="str">
        <f t="shared" si="139"/>
        <v/>
      </c>
      <c r="W1070" t="str">
        <f t="shared" si="138"/>
        <v/>
      </c>
    </row>
    <row r="1071" spans="1:23">
      <c r="A1071">
        <f>'IPTV US'!A1062</f>
        <v>0</v>
      </c>
      <c r="B1071" t="str">
        <f>T('IPTV US'!B1062)</f>
        <v/>
      </c>
      <c r="C1071" t="s">
        <v>4290</v>
      </c>
      <c r="D1071" t="str">
        <f t="shared" si="133"/>
        <v/>
      </c>
      <c r="E1071" t="str">
        <f t="shared" si="134"/>
        <v/>
      </c>
      <c r="F1071" s="68" t="s">
        <v>4289</v>
      </c>
      <c r="G1071">
        <f>'IPTV CA'!A1062</f>
        <v>0</v>
      </c>
      <c r="H1071" t="str">
        <f>T('IPTV CA'!B1062)</f>
        <v/>
      </c>
      <c r="I1071" t="s">
        <v>4290</v>
      </c>
      <c r="J1071" t="str">
        <f t="shared" si="135"/>
        <v/>
      </c>
      <c r="K1071" t="str">
        <f t="shared" si="140"/>
        <v/>
      </c>
      <c r="L1071" s="69"/>
      <c r="M1071">
        <f>'TMIS US'!A1062</f>
        <v>0</v>
      </c>
      <c r="N1071" t="str">
        <f>T('TMIS US'!B1062)</f>
        <v/>
      </c>
      <c r="O1071" t="s">
        <v>4290</v>
      </c>
      <c r="P1071" t="str">
        <f t="shared" si="136"/>
        <v/>
      </c>
      <c r="Q1071" t="str">
        <f t="shared" si="137"/>
        <v/>
      </c>
      <c r="R1071" s="69"/>
      <c r="S1071">
        <f>'TMIS CA'!A1062</f>
        <v>0</v>
      </c>
      <c r="T1071" t="str">
        <f>T('TMIS CA'!B1062)</f>
        <v/>
      </c>
      <c r="U1071" t="s">
        <v>4290</v>
      </c>
      <c r="V1071" t="str">
        <f t="shared" si="139"/>
        <v/>
      </c>
      <c r="W1071" t="str">
        <f t="shared" si="138"/>
        <v/>
      </c>
    </row>
    <row r="1072" spans="1:23">
      <c r="A1072">
        <f>'IPTV US'!A1063</f>
        <v>0</v>
      </c>
      <c r="B1072" t="str">
        <f>T('IPTV US'!B1063)</f>
        <v/>
      </c>
      <c r="C1072" t="s">
        <v>4290</v>
      </c>
      <c r="D1072" t="str">
        <f t="shared" si="133"/>
        <v/>
      </c>
      <c r="E1072" t="str">
        <f t="shared" si="134"/>
        <v/>
      </c>
      <c r="F1072" s="68" t="s">
        <v>4289</v>
      </c>
      <c r="G1072">
        <f>'IPTV CA'!A1063</f>
        <v>0</v>
      </c>
      <c r="H1072" t="str">
        <f>T('IPTV CA'!B1063)</f>
        <v/>
      </c>
      <c r="I1072" t="s">
        <v>4290</v>
      </c>
      <c r="J1072" t="str">
        <f t="shared" si="135"/>
        <v/>
      </c>
      <c r="K1072" t="str">
        <f t="shared" si="140"/>
        <v/>
      </c>
      <c r="L1072" s="69"/>
      <c r="M1072">
        <f>'TMIS US'!A1063</f>
        <v>0</v>
      </c>
      <c r="N1072" t="str">
        <f>T('TMIS US'!B1063)</f>
        <v/>
      </c>
      <c r="O1072" t="s">
        <v>4290</v>
      </c>
      <c r="P1072" t="str">
        <f t="shared" si="136"/>
        <v/>
      </c>
      <c r="Q1072" t="str">
        <f t="shared" si="137"/>
        <v/>
      </c>
      <c r="R1072" s="69"/>
      <c r="S1072">
        <f>'TMIS CA'!A1063</f>
        <v>0</v>
      </c>
      <c r="T1072" t="str">
        <f>T('TMIS CA'!B1063)</f>
        <v/>
      </c>
      <c r="U1072" t="s">
        <v>4290</v>
      </c>
      <c r="V1072" t="str">
        <f t="shared" si="139"/>
        <v/>
      </c>
      <c r="W1072" t="str">
        <f t="shared" si="138"/>
        <v/>
      </c>
    </row>
    <row r="1073" spans="1:23">
      <c r="A1073">
        <f>'IPTV US'!A1064</f>
        <v>0</v>
      </c>
      <c r="B1073" t="str">
        <f>T('IPTV US'!B1064)</f>
        <v/>
      </c>
      <c r="C1073" t="s">
        <v>4290</v>
      </c>
      <c r="D1073" t="str">
        <f t="shared" si="133"/>
        <v/>
      </c>
      <c r="E1073" t="str">
        <f t="shared" si="134"/>
        <v/>
      </c>
      <c r="F1073" s="68" t="s">
        <v>4289</v>
      </c>
      <c r="G1073">
        <f>'IPTV CA'!A1064</f>
        <v>0</v>
      </c>
      <c r="H1073" t="str">
        <f>T('IPTV CA'!B1064)</f>
        <v/>
      </c>
      <c r="I1073" t="s">
        <v>4290</v>
      </c>
      <c r="J1073" t="str">
        <f t="shared" si="135"/>
        <v/>
      </c>
      <c r="K1073" t="str">
        <f t="shared" si="140"/>
        <v/>
      </c>
      <c r="L1073" s="69"/>
      <c r="M1073">
        <f>'TMIS US'!A1064</f>
        <v>0</v>
      </c>
      <c r="N1073" t="str">
        <f>T('TMIS US'!B1064)</f>
        <v/>
      </c>
      <c r="O1073" t="s">
        <v>4290</v>
      </c>
      <c r="P1073" t="str">
        <f t="shared" si="136"/>
        <v/>
      </c>
      <c r="Q1073" t="str">
        <f t="shared" si="137"/>
        <v/>
      </c>
      <c r="R1073" s="69"/>
      <c r="S1073">
        <f>'TMIS CA'!A1064</f>
        <v>0</v>
      </c>
      <c r="T1073" t="str">
        <f>T('TMIS CA'!B1064)</f>
        <v/>
      </c>
      <c r="U1073" t="s">
        <v>4290</v>
      </c>
      <c r="V1073" t="str">
        <f t="shared" si="139"/>
        <v/>
      </c>
      <c r="W1073" t="str">
        <f t="shared" si="138"/>
        <v/>
      </c>
    </row>
    <row r="1074" spans="1:23">
      <c r="A1074">
        <f>'IPTV US'!A1065</f>
        <v>0</v>
      </c>
      <c r="B1074" t="str">
        <f>T('IPTV US'!B1065)</f>
        <v/>
      </c>
      <c r="C1074" t="s">
        <v>4290</v>
      </c>
      <c r="D1074" t="str">
        <f t="shared" si="133"/>
        <v/>
      </c>
      <c r="E1074" t="str">
        <f t="shared" si="134"/>
        <v/>
      </c>
      <c r="F1074" s="68" t="s">
        <v>4289</v>
      </c>
      <c r="G1074">
        <f>'IPTV CA'!A1065</f>
        <v>0</v>
      </c>
      <c r="H1074" t="str">
        <f>T('IPTV CA'!B1065)</f>
        <v/>
      </c>
      <c r="I1074" t="s">
        <v>4290</v>
      </c>
      <c r="J1074" t="str">
        <f t="shared" si="135"/>
        <v/>
      </c>
      <c r="K1074" t="str">
        <f t="shared" si="140"/>
        <v/>
      </c>
      <c r="L1074" s="69"/>
      <c r="M1074">
        <f>'TMIS US'!A1065</f>
        <v>0</v>
      </c>
      <c r="N1074" t="str">
        <f>T('TMIS US'!B1065)</f>
        <v/>
      </c>
      <c r="O1074" t="s">
        <v>4290</v>
      </c>
      <c r="P1074" t="str">
        <f t="shared" si="136"/>
        <v/>
      </c>
      <c r="Q1074" t="str">
        <f t="shared" si="137"/>
        <v/>
      </c>
      <c r="R1074" s="69"/>
      <c r="S1074">
        <f>'TMIS CA'!A1065</f>
        <v>0</v>
      </c>
      <c r="T1074" t="str">
        <f>T('TMIS CA'!B1065)</f>
        <v/>
      </c>
      <c r="U1074" t="s">
        <v>4290</v>
      </c>
      <c r="V1074" t="str">
        <f t="shared" si="139"/>
        <v/>
      </c>
      <c r="W1074" t="str">
        <f t="shared" si="138"/>
        <v/>
      </c>
    </row>
    <row r="1075" spans="1:23">
      <c r="A1075">
        <f>'IPTV US'!A1066</f>
        <v>0</v>
      </c>
      <c r="B1075" t="str">
        <f>T('IPTV US'!B1066)</f>
        <v/>
      </c>
      <c r="C1075" t="s">
        <v>4290</v>
      </c>
      <c r="D1075" t="str">
        <f t="shared" si="133"/>
        <v/>
      </c>
      <c r="E1075" t="str">
        <f t="shared" si="134"/>
        <v/>
      </c>
      <c r="F1075" s="68" t="s">
        <v>4289</v>
      </c>
      <c r="G1075">
        <f>'IPTV CA'!A1066</f>
        <v>0</v>
      </c>
      <c r="H1075" t="str">
        <f>T('IPTV CA'!B1066)</f>
        <v/>
      </c>
      <c r="I1075" t="s">
        <v>4290</v>
      </c>
      <c r="J1075" t="str">
        <f t="shared" si="135"/>
        <v/>
      </c>
      <c r="K1075" t="str">
        <f t="shared" si="140"/>
        <v/>
      </c>
      <c r="L1075" s="69"/>
      <c r="M1075">
        <f>'TMIS US'!A1066</f>
        <v>0</v>
      </c>
      <c r="N1075" t="str">
        <f>T('TMIS US'!B1066)</f>
        <v/>
      </c>
      <c r="O1075" t="s">
        <v>4290</v>
      </c>
      <c r="P1075" t="str">
        <f t="shared" si="136"/>
        <v/>
      </c>
      <c r="Q1075" t="str">
        <f t="shared" si="137"/>
        <v/>
      </c>
      <c r="R1075" s="69"/>
      <c r="S1075">
        <f>'TMIS CA'!A1066</f>
        <v>0</v>
      </c>
      <c r="T1075" t="str">
        <f>T('TMIS CA'!B1066)</f>
        <v/>
      </c>
      <c r="U1075" t="s">
        <v>4290</v>
      </c>
      <c r="V1075" t="str">
        <f t="shared" si="139"/>
        <v/>
      </c>
      <c r="W1075" t="str">
        <f t="shared" si="138"/>
        <v/>
      </c>
    </row>
    <row r="1076" spans="1:23">
      <c r="A1076">
        <f>'IPTV US'!A1067</f>
        <v>0</v>
      </c>
      <c r="B1076" t="str">
        <f>T('IPTV US'!B1067)</f>
        <v/>
      </c>
      <c r="C1076" t="s">
        <v>4290</v>
      </c>
      <c r="D1076" t="str">
        <f t="shared" si="133"/>
        <v/>
      </c>
      <c r="E1076" t="str">
        <f t="shared" si="134"/>
        <v/>
      </c>
      <c r="F1076" s="68" t="s">
        <v>4289</v>
      </c>
      <c r="G1076">
        <f>'IPTV CA'!A1067</f>
        <v>0</v>
      </c>
      <c r="H1076" t="str">
        <f>T('IPTV CA'!B1067)</f>
        <v/>
      </c>
      <c r="I1076" t="s">
        <v>4290</v>
      </c>
      <c r="J1076" t="str">
        <f t="shared" si="135"/>
        <v/>
      </c>
      <c r="K1076" t="str">
        <f t="shared" si="140"/>
        <v/>
      </c>
      <c r="L1076" s="69"/>
      <c r="M1076">
        <f>'TMIS US'!A1067</f>
        <v>0</v>
      </c>
      <c r="N1076" t="str">
        <f>T('TMIS US'!B1067)</f>
        <v/>
      </c>
      <c r="O1076" t="s">
        <v>4290</v>
      </c>
      <c r="P1076" t="str">
        <f t="shared" si="136"/>
        <v/>
      </c>
      <c r="Q1076" t="str">
        <f t="shared" si="137"/>
        <v/>
      </c>
      <c r="R1076" s="69"/>
      <c r="S1076">
        <f>'TMIS CA'!A1067</f>
        <v>0</v>
      </c>
      <c r="T1076" t="str">
        <f>T('TMIS CA'!B1067)</f>
        <v/>
      </c>
      <c r="U1076" t="s">
        <v>4290</v>
      </c>
      <c r="V1076" t="str">
        <f t="shared" si="139"/>
        <v/>
      </c>
      <c r="W1076" t="str">
        <f t="shared" si="138"/>
        <v/>
      </c>
    </row>
    <row r="1077" spans="1:23">
      <c r="A1077">
        <f>'IPTV US'!A1068</f>
        <v>0</v>
      </c>
      <c r="B1077" t="str">
        <f>T('IPTV US'!B1068)</f>
        <v/>
      </c>
      <c r="C1077" t="s">
        <v>4290</v>
      </c>
      <c r="D1077" t="str">
        <f t="shared" si="133"/>
        <v/>
      </c>
      <c r="E1077" t="str">
        <f t="shared" si="134"/>
        <v/>
      </c>
      <c r="F1077" s="68" t="s">
        <v>4289</v>
      </c>
      <c r="G1077">
        <f>'IPTV CA'!A1068</f>
        <v>0</v>
      </c>
      <c r="H1077" t="str">
        <f>T('IPTV CA'!B1068)</f>
        <v/>
      </c>
      <c r="I1077" t="s">
        <v>4290</v>
      </c>
      <c r="J1077" t="str">
        <f t="shared" si="135"/>
        <v/>
      </c>
      <c r="K1077" t="str">
        <f t="shared" si="140"/>
        <v/>
      </c>
      <c r="L1077" s="69"/>
      <c r="M1077">
        <f>'TMIS US'!A1068</f>
        <v>0</v>
      </c>
      <c r="N1077" t="str">
        <f>T('TMIS US'!B1068)</f>
        <v/>
      </c>
      <c r="O1077" t="s">
        <v>4290</v>
      </c>
      <c r="P1077" t="str">
        <f t="shared" si="136"/>
        <v/>
      </c>
      <c r="Q1077" t="str">
        <f t="shared" si="137"/>
        <v/>
      </c>
      <c r="R1077" s="69"/>
      <c r="S1077">
        <f>'TMIS CA'!A1068</f>
        <v>0</v>
      </c>
      <c r="T1077" t="str">
        <f>T('TMIS CA'!B1068)</f>
        <v/>
      </c>
      <c r="U1077" t="s">
        <v>4290</v>
      </c>
      <c r="V1077" t="str">
        <f t="shared" si="139"/>
        <v/>
      </c>
      <c r="W1077" t="str">
        <f t="shared" si="138"/>
        <v/>
      </c>
    </row>
    <row r="1078" spans="1:23">
      <c r="A1078">
        <f>'IPTV US'!A1069</f>
        <v>0</v>
      </c>
      <c r="B1078" t="str">
        <f>T('IPTV US'!B1069)</f>
        <v/>
      </c>
      <c r="C1078" t="s">
        <v>4290</v>
      </c>
      <c r="D1078" t="str">
        <f t="shared" si="133"/>
        <v/>
      </c>
      <c r="E1078" t="str">
        <f t="shared" si="134"/>
        <v/>
      </c>
      <c r="F1078" s="68" t="s">
        <v>4289</v>
      </c>
      <c r="G1078">
        <f>'IPTV CA'!A1069</f>
        <v>0</v>
      </c>
      <c r="H1078" t="str">
        <f>T('IPTV CA'!B1069)</f>
        <v/>
      </c>
      <c r="I1078" t="s">
        <v>4290</v>
      </c>
      <c r="J1078" t="str">
        <f t="shared" si="135"/>
        <v/>
      </c>
      <c r="K1078" t="str">
        <f t="shared" si="140"/>
        <v/>
      </c>
      <c r="L1078" s="69"/>
      <c r="M1078">
        <f>'TMIS US'!A1069</f>
        <v>0</v>
      </c>
      <c r="N1078" t="str">
        <f>T('TMIS US'!B1069)</f>
        <v/>
      </c>
      <c r="O1078" t="s">
        <v>4290</v>
      </c>
      <c r="P1078" t="str">
        <f t="shared" si="136"/>
        <v/>
      </c>
      <c r="Q1078" t="str">
        <f t="shared" si="137"/>
        <v/>
      </c>
      <c r="R1078" s="69"/>
      <c r="S1078">
        <f>'TMIS CA'!A1069</f>
        <v>0</v>
      </c>
      <c r="T1078" t="str">
        <f>T('TMIS CA'!B1069)</f>
        <v/>
      </c>
      <c r="U1078" t="s">
        <v>4290</v>
      </c>
      <c r="V1078" t="str">
        <f t="shared" si="139"/>
        <v/>
      </c>
      <c r="W1078" t="str">
        <f t="shared" si="138"/>
        <v/>
      </c>
    </row>
    <row r="1079" spans="1:23">
      <c r="A1079">
        <f>'IPTV US'!A1070</f>
        <v>0</v>
      </c>
      <c r="B1079" t="str">
        <f>T('IPTV US'!B1070)</f>
        <v/>
      </c>
      <c r="C1079" t="s">
        <v>4290</v>
      </c>
      <c r="D1079" t="str">
        <f t="shared" si="133"/>
        <v/>
      </c>
      <c r="E1079" t="str">
        <f t="shared" si="134"/>
        <v/>
      </c>
      <c r="F1079" s="68" t="s">
        <v>4289</v>
      </c>
      <c r="G1079">
        <f>'IPTV CA'!A1070</f>
        <v>0</v>
      </c>
      <c r="H1079" t="str">
        <f>T('IPTV CA'!B1070)</f>
        <v/>
      </c>
      <c r="I1079" t="s">
        <v>4290</v>
      </c>
      <c r="J1079" t="str">
        <f t="shared" si="135"/>
        <v/>
      </c>
      <c r="K1079" t="str">
        <f t="shared" si="140"/>
        <v/>
      </c>
      <c r="L1079" s="69"/>
      <c r="M1079">
        <f>'TMIS US'!A1070</f>
        <v>0</v>
      </c>
      <c r="N1079" t="str">
        <f>T('TMIS US'!B1070)</f>
        <v/>
      </c>
      <c r="O1079" t="s">
        <v>4290</v>
      </c>
      <c r="P1079" t="str">
        <f t="shared" si="136"/>
        <v/>
      </c>
      <c r="Q1079" t="str">
        <f t="shared" si="137"/>
        <v/>
      </c>
      <c r="R1079" s="69"/>
      <c r="S1079">
        <f>'TMIS CA'!A1070</f>
        <v>0</v>
      </c>
      <c r="T1079" t="str">
        <f>T('TMIS CA'!B1070)</f>
        <v/>
      </c>
      <c r="U1079" t="s">
        <v>4290</v>
      </c>
      <c r="V1079" t="str">
        <f t="shared" si="139"/>
        <v/>
      </c>
      <c r="W1079" t="str">
        <f t="shared" si="138"/>
        <v/>
      </c>
    </row>
    <row r="1080" spans="1:23">
      <c r="A1080">
        <f>'IPTV US'!A1071</f>
        <v>0</v>
      </c>
      <c r="B1080" t="str">
        <f>T('IPTV US'!B1071)</f>
        <v/>
      </c>
      <c r="C1080" t="s">
        <v>4290</v>
      </c>
      <c r="D1080" t="str">
        <f t="shared" si="133"/>
        <v/>
      </c>
      <c r="E1080" t="str">
        <f t="shared" si="134"/>
        <v/>
      </c>
      <c r="F1080" s="68" t="s">
        <v>4289</v>
      </c>
      <c r="G1080">
        <f>'IPTV CA'!A1071</f>
        <v>0</v>
      </c>
      <c r="H1080" t="str">
        <f>T('IPTV CA'!B1071)</f>
        <v/>
      </c>
      <c r="I1080" t="s">
        <v>4290</v>
      </c>
      <c r="J1080" t="str">
        <f t="shared" si="135"/>
        <v/>
      </c>
      <c r="K1080" t="str">
        <f t="shared" si="140"/>
        <v/>
      </c>
      <c r="L1080" s="69"/>
      <c r="M1080">
        <f>'TMIS US'!A1071</f>
        <v>0</v>
      </c>
      <c r="N1080" t="str">
        <f>T('TMIS US'!B1071)</f>
        <v/>
      </c>
      <c r="O1080" t="s">
        <v>4290</v>
      </c>
      <c r="P1080" t="str">
        <f t="shared" si="136"/>
        <v/>
      </c>
      <c r="Q1080" t="str">
        <f t="shared" si="137"/>
        <v/>
      </c>
      <c r="R1080" s="69"/>
      <c r="S1080">
        <f>'TMIS CA'!A1071</f>
        <v>0</v>
      </c>
      <c r="T1080" t="str">
        <f>T('TMIS CA'!B1071)</f>
        <v/>
      </c>
      <c r="U1080" t="s">
        <v>4290</v>
      </c>
      <c r="V1080" t="str">
        <f t="shared" si="139"/>
        <v/>
      </c>
      <c r="W1080" t="str">
        <f t="shared" si="138"/>
        <v/>
      </c>
    </row>
    <row r="1081" spans="1:23">
      <c r="A1081">
        <f>'IPTV US'!A1072</f>
        <v>0</v>
      </c>
      <c r="B1081" t="str">
        <f>T('IPTV US'!B1072)</f>
        <v/>
      </c>
      <c r="C1081" t="s">
        <v>4290</v>
      </c>
      <c r="D1081" t="str">
        <f t="shared" si="133"/>
        <v/>
      </c>
      <c r="E1081" t="str">
        <f t="shared" si="134"/>
        <v/>
      </c>
      <c r="F1081" s="68" t="s">
        <v>4289</v>
      </c>
      <c r="G1081">
        <f>'IPTV CA'!A1072</f>
        <v>0</v>
      </c>
      <c r="H1081" t="str">
        <f>T('IPTV CA'!B1072)</f>
        <v/>
      </c>
      <c r="I1081" t="s">
        <v>4290</v>
      </c>
      <c r="J1081" t="str">
        <f t="shared" si="135"/>
        <v/>
      </c>
      <c r="K1081" t="str">
        <f t="shared" si="140"/>
        <v/>
      </c>
      <c r="L1081" s="69"/>
      <c r="M1081">
        <f>'TMIS US'!A1072</f>
        <v>0</v>
      </c>
      <c r="N1081" t="str">
        <f>T('TMIS US'!B1072)</f>
        <v/>
      </c>
      <c r="O1081" t="s">
        <v>4290</v>
      </c>
      <c r="P1081" t="str">
        <f t="shared" si="136"/>
        <v/>
      </c>
      <c r="Q1081" t="str">
        <f t="shared" si="137"/>
        <v/>
      </c>
      <c r="R1081" s="69"/>
      <c r="S1081">
        <f>'TMIS CA'!A1072</f>
        <v>0</v>
      </c>
      <c r="T1081" t="str">
        <f>T('TMIS CA'!B1072)</f>
        <v/>
      </c>
      <c r="U1081" t="s">
        <v>4290</v>
      </c>
      <c r="V1081" t="str">
        <f t="shared" si="139"/>
        <v/>
      </c>
      <c r="W1081" t="str">
        <f t="shared" si="138"/>
        <v/>
      </c>
    </row>
    <row r="1082" spans="1:23">
      <c r="A1082">
        <f>'IPTV US'!A1073</f>
        <v>0</v>
      </c>
      <c r="B1082" t="str">
        <f>T('IPTV US'!B1073)</f>
        <v/>
      </c>
      <c r="C1082" t="s">
        <v>4290</v>
      </c>
      <c r="D1082" t="str">
        <f t="shared" si="133"/>
        <v/>
      </c>
      <c r="E1082" t="str">
        <f t="shared" si="134"/>
        <v/>
      </c>
      <c r="F1082" s="68" t="s">
        <v>4289</v>
      </c>
      <c r="G1082">
        <f>'IPTV CA'!A1073</f>
        <v>0</v>
      </c>
      <c r="H1082" t="str">
        <f>T('IPTV CA'!B1073)</f>
        <v/>
      </c>
      <c r="I1082" t="s">
        <v>4290</v>
      </c>
      <c r="J1082" t="str">
        <f t="shared" si="135"/>
        <v/>
      </c>
      <c r="K1082" t="str">
        <f t="shared" si="140"/>
        <v/>
      </c>
      <c r="L1082" s="69"/>
      <c r="M1082">
        <f>'TMIS US'!A1073</f>
        <v>0</v>
      </c>
      <c r="N1082" t="str">
        <f>T('TMIS US'!B1073)</f>
        <v/>
      </c>
      <c r="O1082" t="s">
        <v>4290</v>
      </c>
      <c r="P1082" t="str">
        <f t="shared" si="136"/>
        <v/>
      </c>
      <c r="Q1082" t="str">
        <f t="shared" si="137"/>
        <v/>
      </c>
      <c r="R1082" s="69"/>
      <c r="S1082">
        <f>'TMIS CA'!A1073</f>
        <v>0</v>
      </c>
      <c r="T1082" t="str">
        <f>T('TMIS CA'!B1073)</f>
        <v/>
      </c>
      <c r="U1082" t="s">
        <v>4290</v>
      </c>
      <c r="V1082" t="str">
        <f t="shared" si="139"/>
        <v/>
      </c>
      <c r="W1082" t="str">
        <f t="shared" si="138"/>
        <v/>
      </c>
    </row>
    <row r="1083" spans="1:23">
      <c r="A1083">
        <f>'IPTV US'!A1074</f>
        <v>0</v>
      </c>
      <c r="B1083" t="str">
        <f>T('IPTV US'!B1074)</f>
        <v/>
      </c>
      <c r="C1083" t="s">
        <v>4290</v>
      </c>
      <c r="D1083" t="str">
        <f t="shared" si="133"/>
        <v/>
      </c>
      <c r="E1083" t="str">
        <f t="shared" si="134"/>
        <v/>
      </c>
      <c r="F1083" s="68" t="s">
        <v>4289</v>
      </c>
      <c r="G1083">
        <f>'IPTV CA'!A1074</f>
        <v>0</v>
      </c>
      <c r="H1083" t="str">
        <f>T('IPTV CA'!B1074)</f>
        <v/>
      </c>
      <c r="I1083" t="s">
        <v>4290</v>
      </c>
      <c r="J1083" t="str">
        <f t="shared" si="135"/>
        <v/>
      </c>
      <c r="K1083" t="str">
        <f t="shared" si="140"/>
        <v/>
      </c>
      <c r="L1083" s="69"/>
      <c r="M1083">
        <f>'TMIS US'!A1074</f>
        <v>0</v>
      </c>
      <c r="N1083" t="str">
        <f>T('TMIS US'!B1074)</f>
        <v/>
      </c>
      <c r="O1083" t="s">
        <v>4290</v>
      </c>
      <c r="P1083" t="str">
        <f t="shared" si="136"/>
        <v/>
      </c>
      <c r="Q1083" t="str">
        <f t="shared" si="137"/>
        <v/>
      </c>
      <c r="R1083" s="69"/>
      <c r="S1083">
        <f>'TMIS CA'!A1074</f>
        <v>0</v>
      </c>
      <c r="T1083" t="str">
        <f>T('TMIS CA'!B1074)</f>
        <v/>
      </c>
      <c r="U1083" t="s">
        <v>4290</v>
      </c>
      <c r="V1083" t="str">
        <f t="shared" si="139"/>
        <v/>
      </c>
      <c r="W1083" t="str">
        <f t="shared" si="138"/>
        <v/>
      </c>
    </row>
    <row r="1084" spans="1:23">
      <c r="A1084">
        <f>'IPTV US'!A1075</f>
        <v>0</v>
      </c>
      <c r="B1084" t="str">
        <f>T('IPTV US'!B1075)</f>
        <v/>
      </c>
      <c r="C1084" t="s">
        <v>4290</v>
      </c>
      <c r="D1084" t="str">
        <f t="shared" si="133"/>
        <v/>
      </c>
      <c r="E1084" t="str">
        <f t="shared" si="134"/>
        <v/>
      </c>
      <c r="F1084" s="68" t="s">
        <v>4289</v>
      </c>
      <c r="G1084">
        <f>'IPTV CA'!A1075</f>
        <v>0</v>
      </c>
      <c r="H1084" t="str">
        <f>T('IPTV CA'!B1075)</f>
        <v/>
      </c>
      <c r="I1084" t="s">
        <v>4290</v>
      </c>
      <c r="J1084" t="str">
        <f t="shared" si="135"/>
        <v/>
      </c>
      <c r="K1084" t="str">
        <f t="shared" si="140"/>
        <v/>
      </c>
      <c r="L1084" s="69"/>
      <c r="M1084">
        <f>'TMIS US'!A1075</f>
        <v>0</v>
      </c>
      <c r="N1084" t="str">
        <f>T('TMIS US'!B1075)</f>
        <v/>
      </c>
      <c r="O1084" t="s">
        <v>4290</v>
      </c>
      <c r="P1084" t="str">
        <f t="shared" si="136"/>
        <v/>
      </c>
      <c r="Q1084" t="str">
        <f t="shared" si="137"/>
        <v/>
      </c>
      <c r="R1084" s="69"/>
      <c r="S1084">
        <f>'TMIS CA'!A1075</f>
        <v>0</v>
      </c>
      <c r="T1084" t="str">
        <f>T('TMIS CA'!B1075)</f>
        <v/>
      </c>
      <c r="U1084" t="s">
        <v>4290</v>
      </c>
      <c r="V1084" t="str">
        <f t="shared" si="139"/>
        <v/>
      </c>
      <c r="W1084" t="str">
        <f t="shared" si="138"/>
        <v/>
      </c>
    </row>
    <row r="1085" spans="1:23">
      <c r="A1085">
        <f>'IPTV US'!A1076</f>
        <v>0</v>
      </c>
      <c r="B1085" t="str">
        <f>T('IPTV US'!B1076)</f>
        <v/>
      </c>
      <c r="C1085" t="s">
        <v>4290</v>
      </c>
      <c r="D1085" t="str">
        <f t="shared" si="133"/>
        <v/>
      </c>
      <c r="E1085" t="str">
        <f t="shared" si="134"/>
        <v/>
      </c>
      <c r="F1085" s="68" t="s">
        <v>4289</v>
      </c>
      <c r="G1085">
        <f>'IPTV CA'!A1076</f>
        <v>0</v>
      </c>
      <c r="H1085" t="str">
        <f>T('IPTV CA'!B1076)</f>
        <v/>
      </c>
      <c r="I1085" t="s">
        <v>4290</v>
      </c>
      <c r="J1085" t="str">
        <f t="shared" si="135"/>
        <v/>
      </c>
      <c r="K1085" t="str">
        <f t="shared" si="140"/>
        <v/>
      </c>
      <c r="L1085" s="69"/>
      <c r="M1085">
        <f>'TMIS US'!A1076</f>
        <v>0</v>
      </c>
      <c r="N1085" t="str">
        <f>T('TMIS US'!B1076)</f>
        <v/>
      </c>
      <c r="O1085" t="s">
        <v>4290</v>
      </c>
      <c r="P1085" t="str">
        <f t="shared" si="136"/>
        <v/>
      </c>
      <c r="Q1085" t="str">
        <f t="shared" si="137"/>
        <v/>
      </c>
      <c r="R1085" s="69"/>
      <c r="S1085">
        <f>'TMIS CA'!A1076</f>
        <v>0</v>
      </c>
      <c r="T1085" t="str">
        <f>T('TMIS CA'!B1076)</f>
        <v/>
      </c>
      <c r="U1085" t="s">
        <v>4290</v>
      </c>
      <c r="V1085" t="str">
        <f t="shared" si="139"/>
        <v/>
      </c>
      <c r="W1085" t="str">
        <f t="shared" si="138"/>
        <v/>
      </c>
    </row>
    <row r="1086" spans="1:23">
      <c r="A1086">
        <f>'IPTV US'!A1077</f>
        <v>0</v>
      </c>
      <c r="B1086" t="str">
        <f>T('IPTV US'!B1077)</f>
        <v/>
      </c>
      <c r="C1086" t="s">
        <v>4290</v>
      </c>
      <c r="D1086" t="str">
        <f t="shared" si="133"/>
        <v/>
      </c>
      <c r="E1086" t="str">
        <f t="shared" si="134"/>
        <v/>
      </c>
      <c r="F1086" s="68" t="s">
        <v>4289</v>
      </c>
      <c r="G1086">
        <f>'IPTV CA'!A1077</f>
        <v>0</v>
      </c>
      <c r="H1086" t="str">
        <f>T('IPTV CA'!B1077)</f>
        <v/>
      </c>
      <c r="I1086" t="s">
        <v>4290</v>
      </c>
      <c r="J1086" t="str">
        <f t="shared" si="135"/>
        <v/>
      </c>
      <c r="K1086" t="str">
        <f t="shared" si="140"/>
        <v/>
      </c>
      <c r="L1086" s="69"/>
      <c r="M1086">
        <f>'TMIS US'!A1077</f>
        <v>0</v>
      </c>
      <c r="N1086" t="str">
        <f>T('TMIS US'!B1077)</f>
        <v/>
      </c>
      <c r="O1086" t="s">
        <v>4290</v>
      </c>
      <c r="P1086" t="str">
        <f t="shared" si="136"/>
        <v/>
      </c>
      <c r="Q1086" t="str">
        <f t="shared" si="137"/>
        <v/>
      </c>
      <c r="R1086" s="69"/>
      <c r="S1086">
        <f>'TMIS CA'!A1077</f>
        <v>0</v>
      </c>
      <c r="T1086" t="str">
        <f>T('TMIS CA'!B1077)</f>
        <v/>
      </c>
      <c r="U1086" t="s">
        <v>4290</v>
      </c>
      <c r="V1086" t="str">
        <f t="shared" si="139"/>
        <v/>
      </c>
      <c r="W1086" t="str">
        <f t="shared" si="138"/>
        <v/>
      </c>
    </row>
    <row r="1087" spans="1:23">
      <c r="A1087">
        <f>'IPTV US'!A1078</f>
        <v>0</v>
      </c>
      <c r="B1087" t="str">
        <f>T('IPTV US'!B1078)</f>
        <v/>
      </c>
      <c r="C1087" t="s">
        <v>4290</v>
      </c>
      <c r="D1087" t="str">
        <f t="shared" si="133"/>
        <v/>
      </c>
      <c r="E1087" t="str">
        <f t="shared" si="134"/>
        <v/>
      </c>
      <c r="F1087" s="68" t="s">
        <v>4289</v>
      </c>
      <c r="G1087">
        <f>'IPTV CA'!A1078</f>
        <v>0</v>
      </c>
      <c r="H1087" t="str">
        <f>T('IPTV CA'!B1078)</f>
        <v/>
      </c>
      <c r="I1087" t="s">
        <v>4290</v>
      </c>
      <c r="J1087" t="str">
        <f t="shared" si="135"/>
        <v/>
      </c>
      <c r="K1087" t="str">
        <f t="shared" si="140"/>
        <v/>
      </c>
      <c r="L1087" s="69"/>
      <c r="M1087">
        <f>'TMIS US'!A1078</f>
        <v>0</v>
      </c>
      <c r="N1087" t="str">
        <f>T('TMIS US'!B1078)</f>
        <v/>
      </c>
      <c r="O1087" t="s">
        <v>4290</v>
      </c>
      <c r="P1087" t="str">
        <f t="shared" si="136"/>
        <v/>
      </c>
      <c r="Q1087" t="str">
        <f t="shared" si="137"/>
        <v/>
      </c>
      <c r="R1087" s="69"/>
      <c r="S1087">
        <f>'TMIS CA'!A1078</f>
        <v>0</v>
      </c>
      <c r="T1087" t="str">
        <f>T('TMIS CA'!B1078)</f>
        <v/>
      </c>
      <c r="U1087" t="s">
        <v>4290</v>
      </c>
      <c r="V1087" t="str">
        <f t="shared" si="139"/>
        <v/>
      </c>
      <c r="W1087" t="str">
        <f t="shared" si="138"/>
        <v/>
      </c>
    </row>
    <row r="1088" spans="1:23">
      <c r="A1088">
        <f>'IPTV US'!A1079</f>
        <v>0</v>
      </c>
      <c r="B1088" t="str">
        <f>T('IPTV US'!B1079)</f>
        <v/>
      </c>
      <c r="C1088" t="s">
        <v>4290</v>
      </c>
      <c r="D1088" t="str">
        <f t="shared" si="133"/>
        <v/>
      </c>
      <c r="E1088" t="str">
        <f t="shared" si="134"/>
        <v/>
      </c>
      <c r="F1088" s="68" t="s">
        <v>4289</v>
      </c>
      <c r="G1088">
        <f>'IPTV CA'!A1079</f>
        <v>0</v>
      </c>
      <c r="H1088" t="str">
        <f>T('IPTV CA'!B1079)</f>
        <v/>
      </c>
      <c r="I1088" t="s">
        <v>4290</v>
      </c>
      <c r="J1088" t="str">
        <f t="shared" si="135"/>
        <v/>
      </c>
      <c r="K1088" t="str">
        <f t="shared" si="140"/>
        <v/>
      </c>
      <c r="L1088" s="69"/>
      <c r="M1088">
        <f>'TMIS US'!A1079</f>
        <v>0</v>
      </c>
      <c r="N1088" t="str">
        <f>T('TMIS US'!B1079)</f>
        <v/>
      </c>
      <c r="O1088" t="s">
        <v>4290</v>
      </c>
      <c r="P1088" t="str">
        <f t="shared" si="136"/>
        <v/>
      </c>
      <c r="Q1088" t="str">
        <f t="shared" si="137"/>
        <v/>
      </c>
      <c r="R1088" s="69"/>
      <c r="S1088">
        <f>'TMIS CA'!A1079</f>
        <v>0</v>
      </c>
      <c r="T1088" t="str">
        <f>T('TMIS CA'!B1079)</f>
        <v/>
      </c>
      <c r="U1088" t="s">
        <v>4290</v>
      </c>
      <c r="V1088" t="str">
        <f t="shared" si="139"/>
        <v/>
      </c>
      <c r="W1088" t="str">
        <f t="shared" si="138"/>
        <v/>
      </c>
    </row>
    <row r="1089" spans="1:23">
      <c r="A1089">
        <f>'IPTV US'!A1080</f>
        <v>0</v>
      </c>
      <c r="B1089" t="str">
        <f>T('IPTV US'!B1080)</f>
        <v/>
      </c>
      <c r="C1089" t="s">
        <v>4290</v>
      </c>
      <c r="D1089" t="str">
        <f t="shared" si="133"/>
        <v/>
      </c>
      <c r="E1089" t="str">
        <f t="shared" si="134"/>
        <v/>
      </c>
      <c r="F1089" s="68" t="s">
        <v>4289</v>
      </c>
      <c r="G1089">
        <f>'IPTV CA'!A1080</f>
        <v>0</v>
      </c>
      <c r="H1089" t="str">
        <f>T('IPTV CA'!B1080)</f>
        <v/>
      </c>
      <c r="I1089" t="s">
        <v>4290</v>
      </c>
      <c r="J1089" t="str">
        <f t="shared" si="135"/>
        <v/>
      </c>
      <c r="K1089" t="str">
        <f t="shared" si="140"/>
        <v/>
      </c>
      <c r="L1089" s="69"/>
      <c r="M1089">
        <f>'TMIS US'!A1080</f>
        <v>0</v>
      </c>
      <c r="N1089" t="str">
        <f>T('TMIS US'!B1080)</f>
        <v/>
      </c>
      <c r="O1089" t="s">
        <v>4290</v>
      </c>
      <c r="P1089" t="str">
        <f t="shared" si="136"/>
        <v/>
      </c>
      <c r="Q1089" t="str">
        <f t="shared" si="137"/>
        <v/>
      </c>
      <c r="R1089" s="69"/>
      <c r="S1089">
        <f>'TMIS CA'!A1080</f>
        <v>0</v>
      </c>
      <c r="T1089" t="str">
        <f>T('TMIS CA'!B1080)</f>
        <v/>
      </c>
      <c r="U1089" t="s">
        <v>4290</v>
      </c>
      <c r="V1089" t="str">
        <f t="shared" si="139"/>
        <v/>
      </c>
      <c r="W1089" t="str">
        <f t="shared" si="138"/>
        <v/>
      </c>
    </row>
    <row r="1090" spans="1:23">
      <c r="A1090">
        <f>'IPTV US'!A1081</f>
        <v>0</v>
      </c>
      <c r="B1090" t="str">
        <f>T('IPTV US'!B1081)</f>
        <v/>
      </c>
      <c r="C1090" t="s">
        <v>4290</v>
      </c>
      <c r="D1090" t="str">
        <f t="shared" si="133"/>
        <v/>
      </c>
      <c r="E1090" t="str">
        <f t="shared" si="134"/>
        <v/>
      </c>
      <c r="F1090" s="68" t="s">
        <v>4289</v>
      </c>
      <c r="G1090">
        <f>'IPTV CA'!A1081</f>
        <v>0</v>
      </c>
      <c r="H1090" t="str">
        <f>T('IPTV CA'!B1081)</f>
        <v/>
      </c>
      <c r="I1090" t="s">
        <v>4290</v>
      </c>
      <c r="J1090" t="str">
        <f t="shared" si="135"/>
        <v/>
      </c>
      <c r="K1090" t="str">
        <f t="shared" si="140"/>
        <v/>
      </c>
      <c r="L1090" s="69"/>
      <c r="M1090">
        <f>'TMIS US'!A1081</f>
        <v>0</v>
      </c>
      <c r="N1090" t="str">
        <f>T('TMIS US'!B1081)</f>
        <v/>
      </c>
      <c r="O1090" t="s">
        <v>4290</v>
      </c>
      <c r="P1090" t="str">
        <f t="shared" si="136"/>
        <v/>
      </c>
      <c r="Q1090" t="str">
        <f t="shared" si="137"/>
        <v/>
      </c>
      <c r="R1090" s="69"/>
      <c r="S1090">
        <f>'TMIS CA'!A1081</f>
        <v>0</v>
      </c>
      <c r="T1090" t="str">
        <f>T('TMIS CA'!B1081)</f>
        <v/>
      </c>
      <c r="U1090" t="s">
        <v>4290</v>
      </c>
      <c r="V1090" t="str">
        <f t="shared" si="139"/>
        <v/>
      </c>
      <c r="W1090" t="str">
        <f t="shared" si="138"/>
        <v/>
      </c>
    </row>
    <row r="1091" spans="1:23">
      <c r="A1091">
        <f>'IPTV US'!A1082</f>
        <v>0</v>
      </c>
      <c r="B1091" t="str">
        <f>T('IPTV US'!B1082)</f>
        <v/>
      </c>
      <c r="C1091" t="s">
        <v>4290</v>
      </c>
      <c r="D1091" t="str">
        <f t="shared" si="133"/>
        <v/>
      </c>
      <c r="E1091" t="str">
        <f t="shared" si="134"/>
        <v/>
      </c>
      <c r="F1091" s="68" t="s">
        <v>4289</v>
      </c>
      <c r="G1091">
        <f>'IPTV CA'!A1082</f>
        <v>0</v>
      </c>
      <c r="H1091" t="str">
        <f>T('IPTV CA'!B1082)</f>
        <v/>
      </c>
      <c r="I1091" t="s">
        <v>4290</v>
      </c>
      <c r="J1091" t="str">
        <f t="shared" si="135"/>
        <v/>
      </c>
      <c r="K1091" t="str">
        <f t="shared" si="140"/>
        <v/>
      </c>
      <c r="L1091" s="69"/>
      <c r="M1091">
        <f>'TMIS US'!A1082</f>
        <v>0</v>
      </c>
      <c r="N1091" t="str">
        <f>T('TMIS US'!B1082)</f>
        <v/>
      </c>
      <c r="O1091" t="s">
        <v>4290</v>
      </c>
      <c r="P1091" t="str">
        <f t="shared" si="136"/>
        <v/>
      </c>
      <c r="Q1091" t="str">
        <f t="shared" si="137"/>
        <v/>
      </c>
      <c r="R1091" s="69"/>
      <c r="S1091">
        <f>'TMIS CA'!A1082</f>
        <v>0</v>
      </c>
      <c r="T1091" t="str">
        <f>T('TMIS CA'!B1082)</f>
        <v/>
      </c>
      <c r="U1091" t="s">
        <v>4290</v>
      </c>
      <c r="V1091" t="str">
        <f t="shared" si="139"/>
        <v/>
      </c>
      <c r="W1091" t="str">
        <f t="shared" si="138"/>
        <v/>
      </c>
    </row>
    <row r="1092" spans="1:23">
      <c r="A1092">
        <f>'IPTV US'!A1083</f>
        <v>0</v>
      </c>
      <c r="B1092" t="str">
        <f>T('IPTV US'!B1083)</f>
        <v/>
      </c>
      <c r="C1092" t="s">
        <v>4290</v>
      </c>
      <c r="D1092" t="str">
        <f t="shared" si="133"/>
        <v/>
      </c>
      <c r="E1092" t="str">
        <f t="shared" si="134"/>
        <v/>
      </c>
      <c r="F1092" s="68" t="s">
        <v>4289</v>
      </c>
      <c r="G1092">
        <f>'IPTV CA'!A1083</f>
        <v>0</v>
      </c>
      <c r="H1092" t="str">
        <f>T('IPTV CA'!B1083)</f>
        <v/>
      </c>
      <c r="I1092" t="s">
        <v>4290</v>
      </c>
      <c r="J1092" t="str">
        <f t="shared" si="135"/>
        <v/>
      </c>
      <c r="K1092" t="str">
        <f t="shared" si="140"/>
        <v/>
      </c>
      <c r="L1092" s="69"/>
      <c r="M1092">
        <f>'TMIS US'!A1083</f>
        <v>0</v>
      </c>
      <c r="N1092" t="str">
        <f>T('TMIS US'!B1083)</f>
        <v/>
      </c>
      <c r="O1092" t="s">
        <v>4290</v>
      </c>
      <c r="P1092" t="str">
        <f t="shared" si="136"/>
        <v/>
      </c>
      <c r="Q1092" t="str">
        <f t="shared" si="137"/>
        <v/>
      </c>
      <c r="R1092" s="69"/>
      <c r="S1092">
        <f>'TMIS CA'!A1083</f>
        <v>0</v>
      </c>
      <c r="T1092" t="str">
        <f>T('TMIS CA'!B1083)</f>
        <v/>
      </c>
      <c r="U1092" t="s">
        <v>4290</v>
      </c>
      <c r="V1092" t="str">
        <f t="shared" si="139"/>
        <v/>
      </c>
      <c r="W1092" t="str">
        <f t="shared" si="138"/>
        <v/>
      </c>
    </row>
    <row r="1093" spans="1:23">
      <c r="A1093">
        <f>'IPTV US'!A1084</f>
        <v>0</v>
      </c>
      <c r="B1093" t="str">
        <f>T('IPTV US'!B1084)</f>
        <v/>
      </c>
      <c r="C1093" t="s">
        <v>4290</v>
      </c>
      <c r="D1093" t="str">
        <f t="shared" si="133"/>
        <v/>
      </c>
      <c r="E1093" t="str">
        <f t="shared" si="134"/>
        <v/>
      </c>
      <c r="F1093" s="68" t="s">
        <v>4289</v>
      </c>
      <c r="G1093">
        <f>'IPTV CA'!A1084</f>
        <v>0</v>
      </c>
      <c r="H1093" t="str">
        <f>T('IPTV CA'!B1084)</f>
        <v/>
      </c>
      <c r="I1093" t="s">
        <v>4290</v>
      </c>
      <c r="J1093" t="str">
        <f t="shared" si="135"/>
        <v/>
      </c>
      <c r="K1093" t="str">
        <f t="shared" si="140"/>
        <v/>
      </c>
      <c r="L1093" s="69"/>
      <c r="M1093">
        <f>'TMIS US'!A1084</f>
        <v>0</v>
      </c>
      <c r="N1093" t="str">
        <f>T('TMIS US'!B1084)</f>
        <v/>
      </c>
      <c r="O1093" t="s">
        <v>4290</v>
      </c>
      <c r="P1093" t="str">
        <f t="shared" si="136"/>
        <v/>
      </c>
      <c r="Q1093" t="str">
        <f t="shared" si="137"/>
        <v/>
      </c>
      <c r="R1093" s="69"/>
      <c r="S1093">
        <f>'TMIS CA'!A1084</f>
        <v>0</v>
      </c>
      <c r="T1093" t="str">
        <f>T('TMIS CA'!B1084)</f>
        <v/>
      </c>
      <c r="U1093" t="s">
        <v>4290</v>
      </c>
      <c r="V1093" t="str">
        <f t="shared" si="139"/>
        <v/>
      </c>
      <c r="W1093" t="str">
        <f t="shared" si="138"/>
        <v/>
      </c>
    </row>
    <row r="1094" spans="1:23">
      <c r="A1094">
        <f>'IPTV US'!A1085</f>
        <v>0</v>
      </c>
      <c r="B1094" t="str">
        <f>T('IPTV US'!B1085)</f>
        <v/>
      </c>
      <c r="C1094" t="s">
        <v>4290</v>
      </c>
      <c r="D1094" t="str">
        <f t="shared" si="133"/>
        <v/>
      </c>
      <c r="E1094" t="str">
        <f t="shared" si="134"/>
        <v/>
      </c>
      <c r="F1094" s="68" t="s">
        <v>4289</v>
      </c>
      <c r="G1094">
        <f>'IPTV CA'!A1085</f>
        <v>0</v>
      </c>
      <c r="H1094" t="str">
        <f>T('IPTV CA'!B1085)</f>
        <v/>
      </c>
      <c r="I1094" t="s">
        <v>4290</v>
      </c>
      <c r="J1094" t="str">
        <f t="shared" si="135"/>
        <v/>
      </c>
      <c r="K1094" t="str">
        <f t="shared" si="140"/>
        <v/>
      </c>
      <c r="L1094" s="69"/>
      <c r="M1094">
        <f>'TMIS US'!A1085</f>
        <v>0</v>
      </c>
      <c r="N1094" t="str">
        <f>T('TMIS US'!B1085)</f>
        <v/>
      </c>
      <c r="O1094" t="s">
        <v>4290</v>
      </c>
      <c r="P1094" t="str">
        <f t="shared" si="136"/>
        <v/>
      </c>
      <c r="Q1094" t="str">
        <f t="shared" si="137"/>
        <v/>
      </c>
      <c r="R1094" s="69"/>
      <c r="S1094">
        <f>'TMIS CA'!A1085</f>
        <v>0</v>
      </c>
      <c r="T1094" t="str">
        <f>T('TMIS CA'!B1085)</f>
        <v/>
      </c>
      <c r="U1094" t="s">
        <v>4290</v>
      </c>
      <c r="V1094" t="str">
        <f t="shared" si="139"/>
        <v/>
      </c>
      <c r="W1094" t="str">
        <f t="shared" si="138"/>
        <v/>
      </c>
    </row>
    <row r="1095" spans="1:23">
      <c r="A1095">
        <f>'IPTV US'!A1086</f>
        <v>0</v>
      </c>
      <c r="B1095" t="str">
        <f>T('IPTV US'!B1086)</f>
        <v/>
      </c>
      <c r="C1095" t="s">
        <v>4290</v>
      </c>
      <c r="D1095" t="str">
        <f t="shared" si="133"/>
        <v/>
      </c>
      <c r="E1095" t="str">
        <f t="shared" si="134"/>
        <v/>
      </c>
      <c r="F1095" s="68" t="s">
        <v>4289</v>
      </c>
      <c r="G1095">
        <f>'IPTV CA'!A1086</f>
        <v>0</v>
      </c>
      <c r="H1095" t="str">
        <f>T('IPTV CA'!B1086)</f>
        <v/>
      </c>
      <c r="I1095" t="s">
        <v>4290</v>
      </c>
      <c r="J1095" t="str">
        <f t="shared" si="135"/>
        <v/>
      </c>
      <c r="K1095" t="str">
        <f t="shared" si="140"/>
        <v/>
      </c>
      <c r="L1095" s="69"/>
      <c r="M1095">
        <f>'TMIS US'!A1086</f>
        <v>0</v>
      </c>
      <c r="N1095" t="str">
        <f>T('TMIS US'!B1086)</f>
        <v/>
      </c>
      <c r="O1095" t="s">
        <v>4290</v>
      </c>
      <c r="P1095" t="str">
        <f t="shared" si="136"/>
        <v/>
      </c>
      <c r="Q1095" t="str">
        <f t="shared" si="137"/>
        <v/>
      </c>
      <c r="R1095" s="69"/>
      <c r="S1095">
        <f>'TMIS CA'!A1086</f>
        <v>0</v>
      </c>
      <c r="T1095" t="str">
        <f>T('TMIS CA'!B1086)</f>
        <v/>
      </c>
      <c r="U1095" t="s">
        <v>4290</v>
      </c>
      <c r="V1095" t="str">
        <f t="shared" si="139"/>
        <v/>
      </c>
      <c r="W1095" t="str">
        <f t="shared" si="138"/>
        <v/>
      </c>
    </row>
    <row r="1096" spans="1:23">
      <c r="A1096">
        <f>'IPTV US'!A1087</f>
        <v>0</v>
      </c>
      <c r="B1096" t="str">
        <f>T('IPTV US'!B1087)</f>
        <v/>
      </c>
      <c r="C1096" t="s">
        <v>4290</v>
      </c>
      <c r="D1096" t="str">
        <f t="shared" si="133"/>
        <v/>
      </c>
      <c r="E1096" t="str">
        <f t="shared" si="134"/>
        <v/>
      </c>
      <c r="F1096" s="68" t="s">
        <v>4289</v>
      </c>
      <c r="G1096">
        <f>'IPTV CA'!A1087</f>
        <v>0</v>
      </c>
      <c r="H1096" t="str">
        <f>T('IPTV CA'!B1087)</f>
        <v/>
      </c>
      <c r="I1096" t="s">
        <v>4290</v>
      </c>
      <c r="J1096" t="str">
        <f t="shared" si="135"/>
        <v/>
      </c>
      <c r="K1096" t="str">
        <f t="shared" si="140"/>
        <v/>
      </c>
      <c r="L1096" s="69"/>
      <c r="M1096">
        <f>'TMIS US'!A1087</f>
        <v>0</v>
      </c>
      <c r="N1096" t="str">
        <f>T('TMIS US'!B1087)</f>
        <v/>
      </c>
      <c r="O1096" t="s">
        <v>4290</v>
      </c>
      <c r="P1096" t="str">
        <f t="shared" si="136"/>
        <v/>
      </c>
      <c r="Q1096" t="str">
        <f t="shared" si="137"/>
        <v/>
      </c>
      <c r="R1096" s="69"/>
      <c r="S1096">
        <f>'TMIS CA'!A1087</f>
        <v>0</v>
      </c>
      <c r="T1096" t="str">
        <f>T('TMIS CA'!B1087)</f>
        <v/>
      </c>
      <c r="U1096" t="s">
        <v>4290</v>
      </c>
      <c r="V1096" t="str">
        <f t="shared" si="139"/>
        <v/>
      </c>
      <c r="W1096" t="str">
        <f t="shared" si="138"/>
        <v/>
      </c>
    </row>
    <row r="1097" spans="1:23">
      <c r="A1097">
        <f>'IPTV US'!A1088</f>
        <v>0</v>
      </c>
      <c r="B1097" t="str">
        <f>T('IPTV US'!B1088)</f>
        <v/>
      </c>
      <c r="C1097" t="s">
        <v>4290</v>
      </c>
      <c r="D1097" t="str">
        <f t="shared" si="133"/>
        <v/>
      </c>
      <c r="E1097" t="str">
        <f t="shared" si="134"/>
        <v/>
      </c>
      <c r="F1097" s="68" t="s">
        <v>4289</v>
      </c>
      <c r="G1097">
        <f>'IPTV CA'!A1088</f>
        <v>0</v>
      </c>
      <c r="H1097" t="str">
        <f>T('IPTV CA'!B1088)</f>
        <v/>
      </c>
      <c r="I1097" t="s">
        <v>4290</v>
      </c>
      <c r="J1097" t="str">
        <f t="shared" si="135"/>
        <v/>
      </c>
      <c r="K1097" t="str">
        <f t="shared" si="140"/>
        <v/>
      </c>
      <c r="L1097" s="69"/>
      <c r="M1097">
        <f>'TMIS US'!A1088</f>
        <v>0</v>
      </c>
      <c r="N1097" t="str">
        <f>T('TMIS US'!B1088)</f>
        <v/>
      </c>
      <c r="O1097" t="s">
        <v>4290</v>
      </c>
      <c r="P1097" t="str">
        <f t="shared" si="136"/>
        <v/>
      </c>
      <c r="Q1097" t="str">
        <f t="shared" si="137"/>
        <v/>
      </c>
      <c r="R1097" s="69"/>
      <c r="S1097">
        <f>'TMIS CA'!A1088</f>
        <v>0</v>
      </c>
      <c r="T1097" t="str">
        <f>T('TMIS CA'!B1088)</f>
        <v/>
      </c>
      <c r="U1097" t="s">
        <v>4290</v>
      </c>
      <c r="V1097" t="str">
        <f t="shared" si="139"/>
        <v/>
      </c>
      <c r="W1097" t="str">
        <f t="shared" si="138"/>
        <v/>
      </c>
    </row>
    <row r="1098" spans="1:23">
      <c r="A1098">
        <f>'IPTV US'!A1089</f>
        <v>0</v>
      </c>
      <c r="B1098" t="str">
        <f>T('IPTV US'!B1089)</f>
        <v/>
      </c>
      <c r="C1098" t="s">
        <v>4290</v>
      </c>
      <c r="D1098" t="str">
        <f t="shared" si="133"/>
        <v/>
      </c>
      <c r="E1098" t="str">
        <f t="shared" si="134"/>
        <v/>
      </c>
      <c r="F1098" s="68" t="s">
        <v>4289</v>
      </c>
      <c r="G1098">
        <f>'IPTV CA'!A1089</f>
        <v>0</v>
      </c>
      <c r="H1098" t="str">
        <f>T('IPTV CA'!B1089)</f>
        <v/>
      </c>
      <c r="I1098" t="s">
        <v>4290</v>
      </c>
      <c r="J1098" t="str">
        <f t="shared" si="135"/>
        <v/>
      </c>
      <c r="K1098" t="str">
        <f t="shared" si="140"/>
        <v/>
      </c>
      <c r="L1098" s="69"/>
      <c r="M1098">
        <f>'TMIS US'!A1089</f>
        <v>0</v>
      </c>
      <c r="N1098" t="str">
        <f>T('TMIS US'!B1089)</f>
        <v/>
      </c>
      <c r="O1098" t="s">
        <v>4290</v>
      </c>
      <c r="P1098" t="str">
        <f t="shared" si="136"/>
        <v/>
      </c>
      <c r="Q1098" t="str">
        <f t="shared" si="137"/>
        <v/>
      </c>
      <c r="R1098" s="69"/>
      <c r="S1098">
        <f>'TMIS CA'!A1089</f>
        <v>0</v>
      </c>
      <c r="T1098" t="str">
        <f>T('TMIS CA'!B1089)</f>
        <v/>
      </c>
      <c r="U1098" t="s">
        <v>4290</v>
      </c>
      <c r="V1098" t="str">
        <f t="shared" si="139"/>
        <v/>
      </c>
      <c r="W1098" t="str">
        <f t="shared" si="138"/>
        <v/>
      </c>
    </row>
    <row r="1099" spans="1:23">
      <c r="A1099">
        <f>'IPTV US'!A1090</f>
        <v>0</v>
      </c>
      <c r="B1099" t="str">
        <f>T('IPTV US'!B1090)</f>
        <v/>
      </c>
      <c r="C1099" t="s">
        <v>4290</v>
      </c>
      <c r="D1099" t="str">
        <f t="shared" ref="D1099:D1162" si="141">IF(C1099="Active",IF(B1099="","Please Notify - Channel Removed",""),"")</f>
        <v/>
      </c>
      <c r="E1099" t="str">
        <f t="shared" ref="E1099:E1162" si="142">IF(C1099="Vacant",IF(B1099="","","Please Notify - Channel Added"),"")</f>
        <v/>
      </c>
      <c r="F1099" s="68" t="s">
        <v>4289</v>
      </c>
      <c r="G1099">
        <f>'IPTV CA'!A1090</f>
        <v>0</v>
      </c>
      <c r="H1099" t="str">
        <f>T('IPTV CA'!B1090)</f>
        <v/>
      </c>
      <c r="I1099" t="s">
        <v>4290</v>
      </c>
      <c r="J1099" t="str">
        <f t="shared" ref="J1099:J1162" si="143">IF(I1099="Active",IF(H1099="","Please Notify - Channel Removed",""),"")</f>
        <v/>
      </c>
      <c r="K1099" t="str">
        <f t="shared" si="140"/>
        <v/>
      </c>
      <c r="L1099" s="69"/>
      <c r="M1099">
        <f>'TMIS US'!A1090</f>
        <v>0</v>
      </c>
      <c r="N1099" t="str">
        <f>T('TMIS US'!B1090)</f>
        <v/>
      </c>
      <c r="O1099" t="s">
        <v>4290</v>
      </c>
      <c r="P1099" t="str">
        <f t="shared" ref="P1099:P1162" si="144">IF(O1099="Active",IF(N1099="","Please Notify - Channel Removed",""),"")</f>
        <v/>
      </c>
      <c r="Q1099" t="str">
        <f t="shared" si="137"/>
        <v/>
      </c>
      <c r="R1099" s="69"/>
      <c r="S1099">
        <f>'TMIS CA'!A1090</f>
        <v>0</v>
      </c>
      <c r="T1099" t="str">
        <f>T('TMIS CA'!B1090)</f>
        <v/>
      </c>
      <c r="U1099" t="s">
        <v>4290</v>
      </c>
      <c r="V1099" t="str">
        <f t="shared" si="139"/>
        <v/>
      </c>
      <c r="W1099" t="str">
        <f t="shared" si="138"/>
        <v/>
      </c>
    </row>
    <row r="1100" spans="1:23">
      <c r="A1100">
        <f>'IPTV US'!A1091</f>
        <v>0</v>
      </c>
      <c r="B1100" t="str">
        <f>T('IPTV US'!B1091)</f>
        <v/>
      </c>
      <c r="C1100" t="s">
        <v>4290</v>
      </c>
      <c r="D1100" t="str">
        <f t="shared" si="141"/>
        <v/>
      </c>
      <c r="E1100" t="str">
        <f t="shared" si="142"/>
        <v/>
      </c>
      <c r="F1100" s="68" t="s">
        <v>4289</v>
      </c>
      <c r="G1100">
        <f>'IPTV CA'!A1091</f>
        <v>0</v>
      </c>
      <c r="H1100" t="str">
        <f>T('IPTV CA'!B1091)</f>
        <v/>
      </c>
      <c r="I1100" t="s">
        <v>4290</v>
      </c>
      <c r="J1100" t="str">
        <f t="shared" si="143"/>
        <v/>
      </c>
      <c r="K1100" t="str">
        <f t="shared" si="140"/>
        <v/>
      </c>
      <c r="L1100" s="69"/>
      <c r="M1100">
        <f>'TMIS US'!A1091</f>
        <v>0</v>
      </c>
      <c r="N1100" t="str">
        <f>T('TMIS US'!B1091)</f>
        <v/>
      </c>
      <c r="O1100" t="s">
        <v>4290</v>
      </c>
      <c r="P1100" t="str">
        <f t="shared" si="144"/>
        <v/>
      </c>
      <c r="Q1100" t="str">
        <f t="shared" ref="Q1100:Q1163" si="145">IF(O1100="Vacant",IF(N1100="","","Please Notify - Channel Added"),"")</f>
        <v/>
      </c>
      <c r="R1100" s="69"/>
      <c r="S1100">
        <f>'TMIS CA'!A1091</f>
        <v>0</v>
      </c>
      <c r="T1100" t="str">
        <f>T('TMIS CA'!B1091)</f>
        <v/>
      </c>
      <c r="U1100" t="s">
        <v>4290</v>
      </c>
      <c r="V1100" t="str">
        <f t="shared" si="139"/>
        <v/>
      </c>
      <c r="W1100" t="str">
        <f t="shared" ref="W1100:W1163" si="146">IF(U1100="Vacant",IF(T1100="","","Please Notify - Channel Added"),"")</f>
        <v/>
      </c>
    </row>
    <row r="1101" spans="1:23">
      <c r="A1101">
        <f>'IPTV US'!A1092</f>
        <v>0</v>
      </c>
      <c r="B1101" t="str">
        <f>T('IPTV US'!B1092)</f>
        <v/>
      </c>
      <c r="C1101" t="s">
        <v>4290</v>
      </c>
      <c r="D1101" t="str">
        <f t="shared" si="141"/>
        <v/>
      </c>
      <c r="E1101" t="str">
        <f t="shared" si="142"/>
        <v/>
      </c>
      <c r="F1101" s="68" t="s">
        <v>4289</v>
      </c>
      <c r="G1101">
        <f>'IPTV CA'!A1092</f>
        <v>0</v>
      </c>
      <c r="H1101" t="str">
        <f>T('IPTV CA'!B1092)</f>
        <v/>
      </c>
      <c r="I1101" t="s">
        <v>4290</v>
      </c>
      <c r="J1101" t="str">
        <f t="shared" si="143"/>
        <v/>
      </c>
      <c r="K1101" t="str">
        <f t="shared" si="140"/>
        <v/>
      </c>
      <c r="L1101" s="69"/>
      <c r="M1101">
        <f>'TMIS US'!A1092</f>
        <v>0</v>
      </c>
      <c r="N1101" t="str">
        <f>T('TMIS US'!B1092)</f>
        <v/>
      </c>
      <c r="O1101" t="s">
        <v>4290</v>
      </c>
      <c r="P1101" t="str">
        <f t="shared" si="144"/>
        <v/>
      </c>
      <c r="Q1101" t="str">
        <f t="shared" si="145"/>
        <v/>
      </c>
      <c r="R1101" s="69"/>
      <c r="S1101">
        <f>'TMIS CA'!A1092</f>
        <v>0</v>
      </c>
      <c r="T1101" t="str">
        <f>T('TMIS CA'!B1092)</f>
        <v/>
      </c>
      <c r="U1101" t="s">
        <v>4290</v>
      </c>
      <c r="V1101" t="str">
        <f t="shared" si="139"/>
        <v/>
      </c>
      <c r="W1101" t="str">
        <f t="shared" si="146"/>
        <v/>
      </c>
    </row>
    <row r="1102" spans="1:23">
      <c r="A1102">
        <f>'IPTV US'!A1093</f>
        <v>0</v>
      </c>
      <c r="B1102" t="str">
        <f>T('IPTV US'!B1093)</f>
        <v/>
      </c>
      <c r="C1102" t="s">
        <v>4290</v>
      </c>
      <c r="D1102" t="str">
        <f t="shared" si="141"/>
        <v/>
      </c>
      <c r="E1102" t="str">
        <f t="shared" si="142"/>
        <v/>
      </c>
      <c r="F1102" s="68" t="s">
        <v>4289</v>
      </c>
      <c r="G1102">
        <f>'IPTV CA'!A1093</f>
        <v>0</v>
      </c>
      <c r="H1102" t="str">
        <f>T('IPTV CA'!B1093)</f>
        <v/>
      </c>
      <c r="I1102" t="s">
        <v>4290</v>
      </c>
      <c r="J1102" t="str">
        <f t="shared" si="143"/>
        <v/>
      </c>
      <c r="K1102" t="str">
        <f t="shared" si="140"/>
        <v/>
      </c>
      <c r="L1102" s="69"/>
      <c r="M1102">
        <f>'TMIS US'!A1093</f>
        <v>0</v>
      </c>
      <c r="N1102" t="str">
        <f>T('TMIS US'!B1093)</f>
        <v/>
      </c>
      <c r="O1102" t="s">
        <v>4290</v>
      </c>
      <c r="P1102" t="str">
        <f t="shared" si="144"/>
        <v/>
      </c>
      <c r="Q1102" t="str">
        <f t="shared" si="145"/>
        <v/>
      </c>
      <c r="R1102" s="69"/>
      <c r="S1102">
        <f>'TMIS CA'!A1093</f>
        <v>0</v>
      </c>
      <c r="T1102" t="str">
        <f>T('TMIS CA'!B1093)</f>
        <v/>
      </c>
      <c r="U1102" t="s">
        <v>4290</v>
      </c>
      <c r="V1102" t="str">
        <f t="shared" ref="V1102:V1165" si="147">IF(U1102="Active",IF(T1102="","Please Notify - Channel Removed",""),"")</f>
        <v/>
      </c>
      <c r="W1102" t="str">
        <f t="shared" si="146"/>
        <v/>
      </c>
    </row>
    <row r="1103" spans="1:23">
      <c r="A1103">
        <f>'IPTV US'!A1094</f>
        <v>0</v>
      </c>
      <c r="B1103" t="str">
        <f>T('IPTV US'!B1094)</f>
        <v/>
      </c>
      <c r="C1103" t="s">
        <v>4290</v>
      </c>
      <c r="D1103" t="str">
        <f t="shared" si="141"/>
        <v/>
      </c>
      <c r="E1103" t="str">
        <f t="shared" si="142"/>
        <v/>
      </c>
      <c r="F1103" s="68" t="s">
        <v>4289</v>
      </c>
      <c r="G1103">
        <f>'IPTV CA'!A1094</f>
        <v>0</v>
      </c>
      <c r="H1103" t="str">
        <f>T('IPTV CA'!B1094)</f>
        <v/>
      </c>
      <c r="I1103" t="s">
        <v>4290</v>
      </c>
      <c r="J1103" t="str">
        <f t="shared" si="143"/>
        <v/>
      </c>
      <c r="K1103" t="str">
        <f t="shared" si="140"/>
        <v/>
      </c>
      <c r="L1103" s="69"/>
      <c r="M1103">
        <f>'TMIS US'!A1094</f>
        <v>0</v>
      </c>
      <c r="N1103" t="str">
        <f>T('TMIS US'!B1094)</f>
        <v/>
      </c>
      <c r="O1103" t="s">
        <v>4290</v>
      </c>
      <c r="P1103" t="str">
        <f t="shared" si="144"/>
        <v/>
      </c>
      <c r="Q1103" t="str">
        <f t="shared" si="145"/>
        <v/>
      </c>
      <c r="R1103" s="69"/>
      <c r="S1103">
        <f>'TMIS CA'!A1094</f>
        <v>0</v>
      </c>
      <c r="T1103" t="str">
        <f>T('TMIS CA'!B1094)</f>
        <v/>
      </c>
      <c r="U1103" t="s">
        <v>4290</v>
      </c>
      <c r="V1103" t="str">
        <f t="shared" si="147"/>
        <v/>
      </c>
      <c r="W1103" t="str">
        <f t="shared" si="146"/>
        <v/>
      </c>
    </row>
    <row r="1104" spans="1:23">
      <c r="A1104">
        <f>'IPTV US'!A1095</f>
        <v>0</v>
      </c>
      <c r="B1104" t="str">
        <f>T('IPTV US'!B1095)</f>
        <v/>
      </c>
      <c r="C1104" t="s">
        <v>4290</v>
      </c>
      <c r="D1104" t="str">
        <f t="shared" si="141"/>
        <v/>
      </c>
      <c r="E1104" t="str">
        <f t="shared" si="142"/>
        <v/>
      </c>
      <c r="F1104" s="68" t="s">
        <v>4289</v>
      </c>
      <c r="G1104">
        <f>'IPTV CA'!A1095</f>
        <v>0</v>
      </c>
      <c r="H1104" t="str">
        <f>T('IPTV CA'!B1095)</f>
        <v/>
      </c>
      <c r="I1104" t="s">
        <v>4290</v>
      </c>
      <c r="J1104" t="str">
        <f t="shared" si="143"/>
        <v/>
      </c>
      <c r="K1104" t="str">
        <f t="shared" si="140"/>
        <v/>
      </c>
      <c r="L1104" s="69"/>
      <c r="M1104">
        <f>'TMIS US'!A1095</f>
        <v>0</v>
      </c>
      <c r="N1104" t="str">
        <f>T('TMIS US'!B1095)</f>
        <v/>
      </c>
      <c r="O1104" t="s">
        <v>4290</v>
      </c>
      <c r="P1104" t="str">
        <f t="shared" si="144"/>
        <v/>
      </c>
      <c r="Q1104" t="str">
        <f t="shared" si="145"/>
        <v/>
      </c>
      <c r="R1104" s="69"/>
      <c r="S1104">
        <f>'TMIS CA'!A1095</f>
        <v>0</v>
      </c>
      <c r="T1104" t="str">
        <f>T('TMIS CA'!B1095)</f>
        <v/>
      </c>
      <c r="U1104" t="s">
        <v>4290</v>
      </c>
      <c r="V1104" t="str">
        <f t="shared" si="147"/>
        <v/>
      </c>
      <c r="W1104" t="str">
        <f t="shared" si="146"/>
        <v/>
      </c>
    </row>
    <row r="1105" spans="1:23">
      <c r="A1105">
        <f>'IPTV US'!A1096</f>
        <v>0</v>
      </c>
      <c r="B1105" t="str">
        <f>T('IPTV US'!B1096)</f>
        <v/>
      </c>
      <c r="C1105" t="s">
        <v>4290</v>
      </c>
      <c r="D1105" t="str">
        <f t="shared" si="141"/>
        <v/>
      </c>
      <c r="E1105" t="str">
        <f t="shared" si="142"/>
        <v/>
      </c>
      <c r="F1105" s="68" t="s">
        <v>4289</v>
      </c>
      <c r="G1105">
        <f>'IPTV CA'!A1096</f>
        <v>0</v>
      </c>
      <c r="H1105" t="str">
        <f>T('IPTV CA'!B1096)</f>
        <v/>
      </c>
      <c r="I1105" t="s">
        <v>4290</v>
      </c>
      <c r="J1105" t="str">
        <f t="shared" si="143"/>
        <v/>
      </c>
      <c r="K1105" t="str">
        <f t="shared" si="140"/>
        <v/>
      </c>
      <c r="L1105" s="69"/>
      <c r="M1105">
        <f>'TMIS US'!A1096</f>
        <v>0</v>
      </c>
      <c r="N1105" t="str">
        <f>T('TMIS US'!B1096)</f>
        <v/>
      </c>
      <c r="O1105" t="s">
        <v>4290</v>
      </c>
      <c r="P1105" t="str">
        <f t="shared" si="144"/>
        <v/>
      </c>
      <c r="Q1105" t="str">
        <f t="shared" si="145"/>
        <v/>
      </c>
      <c r="R1105" s="69"/>
      <c r="S1105">
        <f>'TMIS CA'!A1096</f>
        <v>0</v>
      </c>
      <c r="T1105" t="str">
        <f>T('TMIS CA'!B1096)</f>
        <v/>
      </c>
      <c r="U1105" t="s">
        <v>4290</v>
      </c>
      <c r="V1105" t="str">
        <f t="shared" si="147"/>
        <v/>
      </c>
      <c r="W1105" t="str">
        <f t="shared" si="146"/>
        <v/>
      </c>
    </row>
    <row r="1106" spans="1:23">
      <c r="A1106">
        <f>'IPTV US'!A1097</f>
        <v>0</v>
      </c>
      <c r="B1106" t="str">
        <f>T('IPTV US'!B1097)</f>
        <v/>
      </c>
      <c r="C1106" t="s">
        <v>4290</v>
      </c>
      <c r="D1106" t="str">
        <f t="shared" si="141"/>
        <v/>
      </c>
      <c r="E1106" t="str">
        <f t="shared" si="142"/>
        <v/>
      </c>
      <c r="F1106" s="68" t="s">
        <v>4289</v>
      </c>
      <c r="G1106">
        <f>'IPTV CA'!A1097</f>
        <v>0</v>
      </c>
      <c r="H1106" t="str">
        <f>T('IPTV CA'!B1097)</f>
        <v/>
      </c>
      <c r="I1106" t="s">
        <v>4290</v>
      </c>
      <c r="J1106" t="str">
        <f t="shared" si="143"/>
        <v/>
      </c>
      <c r="K1106" t="str">
        <f t="shared" si="140"/>
        <v/>
      </c>
      <c r="L1106" s="69"/>
      <c r="M1106">
        <f>'TMIS US'!A1097</f>
        <v>0</v>
      </c>
      <c r="N1106" t="str">
        <f>T('TMIS US'!B1097)</f>
        <v/>
      </c>
      <c r="O1106" t="s">
        <v>4290</v>
      </c>
      <c r="P1106" t="str">
        <f t="shared" si="144"/>
        <v/>
      </c>
      <c r="Q1106" t="str">
        <f t="shared" si="145"/>
        <v/>
      </c>
      <c r="R1106" s="69"/>
      <c r="S1106">
        <f>'TMIS CA'!A1097</f>
        <v>0</v>
      </c>
      <c r="T1106" t="str">
        <f>T('TMIS CA'!B1097)</f>
        <v/>
      </c>
      <c r="U1106" t="s">
        <v>4290</v>
      </c>
      <c r="V1106" t="str">
        <f t="shared" si="147"/>
        <v/>
      </c>
      <c r="W1106" t="str">
        <f t="shared" si="146"/>
        <v/>
      </c>
    </row>
    <row r="1107" spans="1:23">
      <c r="A1107">
        <f>'IPTV US'!A1098</f>
        <v>0</v>
      </c>
      <c r="B1107" t="str">
        <f>T('IPTV US'!B1098)</f>
        <v/>
      </c>
      <c r="C1107" t="s">
        <v>4290</v>
      </c>
      <c r="D1107" t="str">
        <f t="shared" si="141"/>
        <v/>
      </c>
      <c r="E1107" t="str">
        <f t="shared" si="142"/>
        <v/>
      </c>
      <c r="F1107" s="68" t="s">
        <v>4289</v>
      </c>
      <c r="G1107">
        <f>'IPTV CA'!A1098</f>
        <v>0</v>
      </c>
      <c r="H1107" t="str">
        <f>T('IPTV CA'!B1098)</f>
        <v/>
      </c>
      <c r="I1107" t="s">
        <v>4290</v>
      </c>
      <c r="J1107" t="str">
        <f t="shared" si="143"/>
        <v/>
      </c>
      <c r="K1107" t="str">
        <f t="shared" si="140"/>
        <v/>
      </c>
      <c r="L1107" s="69"/>
      <c r="M1107">
        <f>'TMIS US'!A1098</f>
        <v>0</v>
      </c>
      <c r="N1107" t="str">
        <f>T('TMIS US'!B1098)</f>
        <v/>
      </c>
      <c r="O1107" t="s">
        <v>4290</v>
      </c>
      <c r="P1107" t="str">
        <f t="shared" si="144"/>
        <v/>
      </c>
      <c r="Q1107" t="str">
        <f t="shared" si="145"/>
        <v/>
      </c>
      <c r="R1107" s="69"/>
      <c r="S1107">
        <f>'TMIS CA'!A1098</f>
        <v>0</v>
      </c>
      <c r="T1107" t="str">
        <f>T('TMIS CA'!B1098)</f>
        <v/>
      </c>
      <c r="U1107" t="s">
        <v>4290</v>
      </c>
      <c r="V1107" t="str">
        <f t="shared" si="147"/>
        <v/>
      </c>
      <c r="W1107" t="str">
        <f t="shared" si="146"/>
        <v/>
      </c>
    </row>
    <row r="1108" spans="1:23">
      <c r="A1108">
        <f>'IPTV US'!A1099</f>
        <v>0</v>
      </c>
      <c r="B1108" t="str">
        <f>T('IPTV US'!B1099)</f>
        <v/>
      </c>
      <c r="C1108" t="s">
        <v>4290</v>
      </c>
      <c r="D1108" t="str">
        <f t="shared" si="141"/>
        <v/>
      </c>
      <c r="E1108" t="str">
        <f t="shared" si="142"/>
        <v/>
      </c>
      <c r="F1108" s="68" t="s">
        <v>4289</v>
      </c>
      <c r="G1108">
        <f>'IPTV CA'!A1099</f>
        <v>0</v>
      </c>
      <c r="H1108" t="str">
        <f>T('IPTV CA'!B1099)</f>
        <v/>
      </c>
      <c r="I1108" t="s">
        <v>4290</v>
      </c>
      <c r="J1108" t="str">
        <f t="shared" si="143"/>
        <v/>
      </c>
      <c r="K1108" t="str">
        <f t="shared" si="140"/>
        <v/>
      </c>
      <c r="L1108" s="69"/>
      <c r="M1108">
        <f>'TMIS US'!A1099</f>
        <v>0</v>
      </c>
      <c r="N1108" t="str">
        <f>T('TMIS US'!B1099)</f>
        <v/>
      </c>
      <c r="O1108" t="s">
        <v>4290</v>
      </c>
      <c r="P1108" t="str">
        <f t="shared" si="144"/>
        <v/>
      </c>
      <c r="Q1108" t="str">
        <f t="shared" si="145"/>
        <v/>
      </c>
      <c r="R1108" s="69"/>
      <c r="S1108">
        <f>'TMIS CA'!A1099</f>
        <v>0</v>
      </c>
      <c r="T1108" t="str">
        <f>T('TMIS CA'!B1099)</f>
        <v/>
      </c>
      <c r="U1108" t="s">
        <v>4290</v>
      </c>
      <c r="V1108" t="str">
        <f t="shared" si="147"/>
        <v/>
      </c>
      <c r="W1108" t="str">
        <f t="shared" si="146"/>
        <v/>
      </c>
    </row>
    <row r="1109" spans="1:23">
      <c r="A1109">
        <f>'IPTV US'!A1100</f>
        <v>0</v>
      </c>
      <c r="B1109" t="str">
        <f>T('IPTV US'!B1100)</f>
        <v/>
      </c>
      <c r="C1109" t="s">
        <v>4290</v>
      </c>
      <c r="D1109" t="str">
        <f t="shared" si="141"/>
        <v/>
      </c>
      <c r="E1109" t="str">
        <f t="shared" si="142"/>
        <v/>
      </c>
      <c r="F1109" s="68" t="s">
        <v>4289</v>
      </c>
      <c r="G1109">
        <f>'IPTV CA'!A1100</f>
        <v>0</v>
      </c>
      <c r="H1109" t="str">
        <f>T('IPTV CA'!B1100)</f>
        <v/>
      </c>
      <c r="I1109" t="s">
        <v>4290</v>
      </c>
      <c r="J1109" t="str">
        <f t="shared" si="143"/>
        <v/>
      </c>
      <c r="K1109" t="str">
        <f t="shared" si="140"/>
        <v/>
      </c>
      <c r="L1109" s="69"/>
      <c r="M1109">
        <f>'TMIS US'!A1100</f>
        <v>0</v>
      </c>
      <c r="N1109" t="str">
        <f>T('TMIS US'!B1100)</f>
        <v/>
      </c>
      <c r="O1109" t="s">
        <v>4290</v>
      </c>
      <c r="P1109" t="str">
        <f t="shared" si="144"/>
        <v/>
      </c>
      <c r="Q1109" t="str">
        <f t="shared" si="145"/>
        <v/>
      </c>
      <c r="R1109" s="69"/>
      <c r="S1109">
        <f>'TMIS CA'!A1100</f>
        <v>0</v>
      </c>
      <c r="T1109" t="str">
        <f>T('TMIS CA'!B1100)</f>
        <v/>
      </c>
      <c r="U1109" t="s">
        <v>4290</v>
      </c>
      <c r="V1109" t="str">
        <f t="shared" si="147"/>
        <v/>
      </c>
      <c r="W1109" t="str">
        <f t="shared" si="146"/>
        <v/>
      </c>
    </row>
    <row r="1110" spans="1:23">
      <c r="A1110">
        <f>'IPTV US'!A1101</f>
        <v>0</v>
      </c>
      <c r="B1110" t="str">
        <f>T('IPTV US'!B1101)</f>
        <v/>
      </c>
      <c r="C1110" t="s">
        <v>4290</v>
      </c>
      <c r="D1110" t="str">
        <f t="shared" si="141"/>
        <v/>
      </c>
      <c r="E1110" t="str">
        <f t="shared" si="142"/>
        <v/>
      </c>
      <c r="F1110" s="68" t="s">
        <v>4289</v>
      </c>
      <c r="G1110">
        <f>'IPTV CA'!A1101</f>
        <v>0</v>
      </c>
      <c r="H1110" t="str">
        <f>T('IPTV CA'!B1101)</f>
        <v/>
      </c>
      <c r="I1110" t="s">
        <v>4290</v>
      </c>
      <c r="J1110" t="str">
        <f t="shared" si="143"/>
        <v/>
      </c>
      <c r="K1110" t="str">
        <f t="shared" si="140"/>
        <v/>
      </c>
      <c r="L1110" s="69"/>
      <c r="M1110">
        <f>'TMIS US'!A1101</f>
        <v>0</v>
      </c>
      <c r="N1110" t="str">
        <f>T('TMIS US'!B1101)</f>
        <v/>
      </c>
      <c r="O1110" t="s">
        <v>4290</v>
      </c>
      <c r="P1110" t="str">
        <f t="shared" si="144"/>
        <v/>
      </c>
      <c r="Q1110" t="str">
        <f t="shared" si="145"/>
        <v/>
      </c>
      <c r="R1110" s="69"/>
      <c r="S1110">
        <f>'TMIS CA'!A1101</f>
        <v>0</v>
      </c>
      <c r="T1110" t="str">
        <f>T('TMIS CA'!B1101)</f>
        <v/>
      </c>
      <c r="U1110" t="s">
        <v>4290</v>
      </c>
      <c r="V1110" t="str">
        <f t="shared" si="147"/>
        <v/>
      </c>
      <c r="W1110" t="str">
        <f t="shared" si="146"/>
        <v/>
      </c>
    </row>
    <row r="1111" spans="1:23">
      <c r="A1111">
        <f>'IPTV US'!A1102</f>
        <v>0</v>
      </c>
      <c r="B1111" t="str">
        <f>T('IPTV US'!B1102)</f>
        <v/>
      </c>
      <c r="C1111" t="s">
        <v>4290</v>
      </c>
      <c r="D1111" t="str">
        <f t="shared" si="141"/>
        <v/>
      </c>
      <c r="E1111" t="str">
        <f t="shared" si="142"/>
        <v/>
      </c>
      <c r="F1111" s="68" t="s">
        <v>4289</v>
      </c>
      <c r="G1111">
        <f>'IPTV CA'!A1102</f>
        <v>0</v>
      </c>
      <c r="H1111" t="str">
        <f>T('IPTV CA'!B1102)</f>
        <v/>
      </c>
      <c r="I1111" t="s">
        <v>4290</v>
      </c>
      <c r="J1111" t="str">
        <f t="shared" si="143"/>
        <v/>
      </c>
      <c r="K1111" t="str">
        <f t="shared" si="140"/>
        <v/>
      </c>
      <c r="L1111" s="69"/>
      <c r="M1111">
        <f>'TMIS US'!A1102</f>
        <v>0</v>
      </c>
      <c r="N1111" t="str">
        <f>T('TMIS US'!B1102)</f>
        <v/>
      </c>
      <c r="O1111" t="s">
        <v>4290</v>
      </c>
      <c r="P1111" t="str">
        <f t="shared" si="144"/>
        <v/>
      </c>
      <c r="Q1111" t="str">
        <f t="shared" si="145"/>
        <v/>
      </c>
      <c r="R1111" s="69"/>
      <c r="S1111">
        <f>'TMIS CA'!A1102</f>
        <v>0</v>
      </c>
      <c r="T1111" t="str">
        <f>T('TMIS CA'!B1102)</f>
        <v/>
      </c>
      <c r="U1111" t="s">
        <v>4290</v>
      </c>
      <c r="V1111" t="str">
        <f t="shared" si="147"/>
        <v/>
      </c>
      <c r="W1111" t="str">
        <f t="shared" si="146"/>
        <v/>
      </c>
    </row>
    <row r="1112" spans="1:23">
      <c r="A1112">
        <f>'IPTV US'!A1103</f>
        <v>0</v>
      </c>
      <c r="B1112" t="str">
        <f>T('IPTV US'!B1103)</f>
        <v/>
      </c>
      <c r="C1112" t="s">
        <v>4290</v>
      </c>
      <c r="D1112" t="str">
        <f t="shared" si="141"/>
        <v/>
      </c>
      <c r="E1112" t="str">
        <f t="shared" si="142"/>
        <v/>
      </c>
      <c r="F1112" s="68" t="s">
        <v>4289</v>
      </c>
      <c r="G1112">
        <f>'IPTV CA'!A1103</f>
        <v>0</v>
      </c>
      <c r="H1112" t="str">
        <f>T('IPTV CA'!B1103)</f>
        <v/>
      </c>
      <c r="I1112" t="s">
        <v>4290</v>
      </c>
      <c r="J1112" t="str">
        <f t="shared" si="143"/>
        <v/>
      </c>
      <c r="K1112" t="str">
        <f t="shared" si="140"/>
        <v/>
      </c>
      <c r="L1112" s="69"/>
      <c r="M1112">
        <f>'TMIS US'!A1103</f>
        <v>0</v>
      </c>
      <c r="N1112" t="str">
        <f>T('TMIS US'!B1103)</f>
        <v/>
      </c>
      <c r="O1112" t="s">
        <v>4290</v>
      </c>
      <c r="P1112" t="str">
        <f t="shared" si="144"/>
        <v/>
      </c>
      <c r="Q1112" t="str">
        <f t="shared" si="145"/>
        <v/>
      </c>
      <c r="R1112" s="69"/>
      <c r="S1112">
        <f>'TMIS CA'!A1103</f>
        <v>0</v>
      </c>
      <c r="T1112" t="str">
        <f>T('TMIS CA'!B1103)</f>
        <v/>
      </c>
      <c r="U1112" t="s">
        <v>4290</v>
      </c>
      <c r="V1112" t="str">
        <f t="shared" si="147"/>
        <v/>
      </c>
      <c r="W1112" t="str">
        <f t="shared" si="146"/>
        <v/>
      </c>
    </row>
    <row r="1113" spans="1:23">
      <c r="A1113">
        <f>'IPTV US'!A1104</f>
        <v>0</v>
      </c>
      <c r="B1113" t="str">
        <f>T('IPTV US'!B1104)</f>
        <v/>
      </c>
      <c r="C1113" t="s">
        <v>4290</v>
      </c>
      <c r="D1113" t="str">
        <f t="shared" si="141"/>
        <v/>
      </c>
      <c r="E1113" t="str">
        <f t="shared" si="142"/>
        <v/>
      </c>
      <c r="F1113" s="68" t="s">
        <v>4289</v>
      </c>
      <c r="G1113">
        <f>'IPTV CA'!A1104</f>
        <v>0</v>
      </c>
      <c r="H1113" t="str">
        <f>T('IPTV CA'!B1104)</f>
        <v/>
      </c>
      <c r="I1113" t="s">
        <v>4290</v>
      </c>
      <c r="J1113" t="str">
        <f t="shared" si="143"/>
        <v/>
      </c>
      <c r="K1113" t="str">
        <f t="shared" si="140"/>
        <v/>
      </c>
      <c r="L1113" s="69"/>
      <c r="M1113">
        <f>'TMIS US'!A1104</f>
        <v>0</v>
      </c>
      <c r="N1113" t="str">
        <f>T('TMIS US'!B1104)</f>
        <v/>
      </c>
      <c r="O1113" t="s">
        <v>4290</v>
      </c>
      <c r="P1113" t="str">
        <f t="shared" si="144"/>
        <v/>
      </c>
      <c r="Q1113" t="str">
        <f t="shared" si="145"/>
        <v/>
      </c>
      <c r="R1113" s="69"/>
      <c r="S1113">
        <f>'TMIS CA'!A1104</f>
        <v>0</v>
      </c>
      <c r="T1113" t="str">
        <f>T('TMIS CA'!B1104)</f>
        <v/>
      </c>
      <c r="U1113" t="s">
        <v>4290</v>
      </c>
      <c r="V1113" t="str">
        <f t="shared" si="147"/>
        <v/>
      </c>
      <c r="W1113" t="str">
        <f t="shared" si="146"/>
        <v/>
      </c>
    </row>
    <row r="1114" spans="1:23">
      <c r="A1114">
        <f>'IPTV US'!A1105</f>
        <v>0</v>
      </c>
      <c r="B1114" t="str">
        <f>T('IPTV US'!B1105)</f>
        <v/>
      </c>
      <c r="C1114" t="s">
        <v>4290</v>
      </c>
      <c r="D1114" t="str">
        <f t="shared" si="141"/>
        <v/>
      </c>
      <c r="E1114" t="str">
        <f t="shared" si="142"/>
        <v/>
      </c>
      <c r="F1114" s="68" t="s">
        <v>4289</v>
      </c>
      <c r="G1114">
        <f>'IPTV CA'!A1105</f>
        <v>0</v>
      </c>
      <c r="H1114" t="str">
        <f>T('IPTV CA'!B1105)</f>
        <v/>
      </c>
      <c r="I1114" t="s">
        <v>4290</v>
      </c>
      <c r="J1114" t="str">
        <f t="shared" si="143"/>
        <v/>
      </c>
      <c r="K1114" t="str">
        <f t="shared" si="140"/>
        <v/>
      </c>
      <c r="L1114" s="69"/>
      <c r="M1114">
        <f>'TMIS US'!A1105</f>
        <v>0</v>
      </c>
      <c r="N1114" t="str">
        <f>T('TMIS US'!B1105)</f>
        <v/>
      </c>
      <c r="O1114" t="s">
        <v>4290</v>
      </c>
      <c r="P1114" t="str">
        <f t="shared" si="144"/>
        <v/>
      </c>
      <c r="Q1114" t="str">
        <f t="shared" si="145"/>
        <v/>
      </c>
      <c r="R1114" s="69"/>
      <c r="S1114">
        <f>'TMIS CA'!A1105</f>
        <v>0</v>
      </c>
      <c r="T1114" t="str">
        <f>T('TMIS CA'!B1105)</f>
        <v/>
      </c>
      <c r="U1114" t="s">
        <v>4290</v>
      </c>
      <c r="V1114" t="str">
        <f t="shared" si="147"/>
        <v/>
      </c>
      <c r="W1114" t="str">
        <f t="shared" si="146"/>
        <v/>
      </c>
    </row>
    <row r="1115" spans="1:23">
      <c r="A1115">
        <f>'IPTV US'!A1106</f>
        <v>0</v>
      </c>
      <c r="B1115" t="str">
        <f>T('IPTV US'!B1106)</f>
        <v/>
      </c>
      <c r="C1115" t="s">
        <v>4290</v>
      </c>
      <c r="D1115" t="str">
        <f t="shared" si="141"/>
        <v/>
      </c>
      <c r="E1115" t="str">
        <f t="shared" si="142"/>
        <v/>
      </c>
      <c r="F1115" s="68" t="s">
        <v>4289</v>
      </c>
      <c r="G1115">
        <f>'IPTV CA'!A1106</f>
        <v>0</v>
      </c>
      <c r="H1115" t="str">
        <f>T('IPTV CA'!B1106)</f>
        <v/>
      </c>
      <c r="I1115" t="s">
        <v>4290</v>
      </c>
      <c r="J1115" t="str">
        <f t="shared" si="143"/>
        <v/>
      </c>
      <c r="K1115" t="str">
        <f t="shared" si="140"/>
        <v/>
      </c>
      <c r="L1115" s="69"/>
      <c r="M1115">
        <f>'TMIS US'!A1106</f>
        <v>0</v>
      </c>
      <c r="N1115" t="str">
        <f>T('TMIS US'!B1106)</f>
        <v/>
      </c>
      <c r="O1115" t="s">
        <v>4290</v>
      </c>
      <c r="P1115" t="str">
        <f t="shared" si="144"/>
        <v/>
      </c>
      <c r="Q1115" t="str">
        <f t="shared" si="145"/>
        <v/>
      </c>
      <c r="R1115" s="69"/>
      <c r="S1115">
        <f>'TMIS CA'!A1106</f>
        <v>0</v>
      </c>
      <c r="T1115" t="str">
        <f>T('TMIS CA'!B1106)</f>
        <v/>
      </c>
      <c r="U1115" t="s">
        <v>4290</v>
      </c>
      <c r="V1115" t="str">
        <f t="shared" si="147"/>
        <v/>
      </c>
      <c r="W1115" t="str">
        <f t="shared" si="146"/>
        <v/>
      </c>
    </row>
    <row r="1116" spans="1:23">
      <c r="A1116">
        <f>'IPTV US'!A1107</f>
        <v>0</v>
      </c>
      <c r="B1116" t="str">
        <f>T('IPTV US'!B1107)</f>
        <v/>
      </c>
      <c r="C1116" t="s">
        <v>4290</v>
      </c>
      <c r="D1116" t="str">
        <f t="shared" si="141"/>
        <v/>
      </c>
      <c r="E1116" t="str">
        <f t="shared" si="142"/>
        <v/>
      </c>
      <c r="F1116" s="68" t="s">
        <v>4289</v>
      </c>
      <c r="G1116">
        <f>'IPTV CA'!A1107</f>
        <v>0</v>
      </c>
      <c r="H1116" t="str">
        <f>T('IPTV CA'!B1107)</f>
        <v/>
      </c>
      <c r="I1116" t="s">
        <v>4290</v>
      </c>
      <c r="J1116" t="str">
        <f t="shared" si="143"/>
        <v/>
      </c>
      <c r="K1116" t="str">
        <f t="shared" si="140"/>
        <v/>
      </c>
      <c r="L1116" s="69"/>
      <c r="M1116">
        <f>'TMIS US'!A1107</f>
        <v>0</v>
      </c>
      <c r="N1116" t="str">
        <f>T('TMIS US'!B1107)</f>
        <v/>
      </c>
      <c r="O1116" t="s">
        <v>4290</v>
      </c>
      <c r="P1116" t="str">
        <f t="shared" si="144"/>
        <v/>
      </c>
      <c r="Q1116" t="str">
        <f t="shared" si="145"/>
        <v/>
      </c>
      <c r="R1116" s="69"/>
      <c r="S1116">
        <f>'TMIS CA'!A1107</f>
        <v>0</v>
      </c>
      <c r="T1116" t="str">
        <f>T('TMIS CA'!B1107)</f>
        <v/>
      </c>
      <c r="U1116" t="s">
        <v>4290</v>
      </c>
      <c r="V1116" t="str">
        <f t="shared" si="147"/>
        <v/>
      </c>
      <c r="W1116" t="str">
        <f t="shared" si="146"/>
        <v/>
      </c>
    </row>
    <row r="1117" spans="1:23">
      <c r="A1117">
        <f>'IPTV US'!A1108</f>
        <v>0</v>
      </c>
      <c r="B1117" t="str">
        <f>T('IPTV US'!B1108)</f>
        <v/>
      </c>
      <c r="C1117" t="s">
        <v>4290</v>
      </c>
      <c r="D1117" t="str">
        <f t="shared" si="141"/>
        <v/>
      </c>
      <c r="E1117" t="str">
        <f t="shared" si="142"/>
        <v/>
      </c>
      <c r="F1117" s="68" t="s">
        <v>4289</v>
      </c>
      <c r="G1117">
        <f>'IPTV CA'!A1108</f>
        <v>0</v>
      </c>
      <c r="H1117" t="str">
        <f>T('IPTV CA'!B1108)</f>
        <v/>
      </c>
      <c r="I1117" t="s">
        <v>4290</v>
      </c>
      <c r="J1117" t="str">
        <f t="shared" si="143"/>
        <v/>
      </c>
      <c r="K1117" t="str">
        <f t="shared" si="140"/>
        <v/>
      </c>
      <c r="L1117" s="69"/>
      <c r="M1117">
        <f>'TMIS US'!A1108</f>
        <v>0</v>
      </c>
      <c r="N1117" t="str">
        <f>T('TMIS US'!B1108)</f>
        <v/>
      </c>
      <c r="O1117" t="s">
        <v>4290</v>
      </c>
      <c r="P1117" t="str">
        <f t="shared" si="144"/>
        <v/>
      </c>
      <c r="Q1117" t="str">
        <f t="shared" si="145"/>
        <v/>
      </c>
      <c r="R1117" s="69"/>
      <c r="S1117">
        <f>'TMIS CA'!A1108</f>
        <v>0</v>
      </c>
      <c r="T1117" t="str">
        <f>T('TMIS CA'!B1108)</f>
        <v/>
      </c>
      <c r="U1117" t="s">
        <v>4290</v>
      </c>
      <c r="V1117" t="str">
        <f t="shared" si="147"/>
        <v/>
      </c>
      <c r="W1117" t="str">
        <f t="shared" si="146"/>
        <v/>
      </c>
    </row>
    <row r="1118" spans="1:23">
      <c r="A1118">
        <f>'IPTV US'!A1109</f>
        <v>0</v>
      </c>
      <c r="B1118" t="str">
        <f>T('IPTV US'!B1109)</f>
        <v/>
      </c>
      <c r="C1118" t="s">
        <v>4290</v>
      </c>
      <c r="D1118" t="str">
        <f t="shared" si="141"/>
        <v/>
      </c>
      <c r="E1118" t="str">
        <f t="shared" si="142"/>
        <v/>
      </c>
      <c r="F1118" s="68" t="s">
        <v>4289</v>
      </c>
      <c r="G1118">
        <f>'IPTV CA'!A1109</f>
        <v>0</v>
      </c>
      <c r="H1118" t="str">
        <f>T('IPTV CA'!B1109)</f>
        <v/>
      </c>
      <c r="I1118" t="s">
        <v>4290</v>
      </c>
      <c r="J1118" t="str">
        <f t="shared" si="143"/>
        <v/>
      </c>
      <c r="K1118" t="str">
        <f t="shared" si="140"/>
        <v/>
      </c>
      <c r="L1118" s="69"/>
      <c r="M1118">
        <f>'TMIS US'!A1109</f>
        <v>0</v>
      </c>
      <c r="N1118" t="str">
        <f>T('TMIS US'!B1109)</f>
        <v/>
      </c>
      <c r="O1118" t="s">
        <v>4290</v>
      </c>
      <c r="P1118" t="str">
        <f t="shared" si="144"/>
        <v/>
      </c>
      <c r="Q1118" t="str">
        <f t="shared" si="145"/>
        <v/>
      </c>
      <c r="R1118" s="69"/>
      <c r="S1118">
        <f>'TMIS CA'!A1109</f>
        <v>0</v>
      </c>
      <c r="T1118" t="str">
        <f>T('TMIS CA'!B1109)</f>
        <v/>
      </c>
      <c r="U1118" t="s">
        <v>4290</v>
      </c>
      <c r="V1118" t="str">
        <f t="shared" si="147"/>
        <v/>
      </c>
      <c r="W1118" t="str">
        <f t="shared" si="146"/>
        <v/>
      </c>
    </row>
    <row r="1119" spans="1:23">
      <c r="A1119">
        <f>'IPTV US'!A1110</f>
        <v>0</v>
      </c>
      <c r="B1119" t="str">
        <f>T('IPTV US'!B1110)</f>
        <v/>
      </c>
      <c r="C1119" t="s">
        <v>4290</v>
      </c>
      <c r="D1119" t="str">
        <f t="shared" si="141"/>
        <v/>
      </c>
      <c r="E1119" t="str">
        <f t="shared" si="142"/>
        <v/>
      </c>
      <c r="F1119" s="68" t="s">
        <v>4289</v>
      </c>
      <c r="G1119">
        <f>'IPTV CA'!A1110</f>
        <v>0</v>
      </c>
      <c r="H1119" t="str">
        <f>T('IPTV CA'!B1110)</f>
        <v/>
      </c>
      <c r="I1119" t="s">
        <v>4290</v>
      </c>
      <c r="J1119" t="str">
        <f t="shared" si="143"/>
        <v/>
      </c>
      <c r="K1119" t="str">
        <f t="shared" si="140"/>
        <v/>
      </c>
      <c r="L1119" s="69"/>
      <c r="M1119">
        <f>'TMIS US'!A1110</f>
        <v>0</v>
      </c>
      <c r="N1119" t="str">
        <f>T('TMIS US'!B1110)</f>
        <v/>
      </c>
      <c r="O1119" t="s">
        <v>4290</v>
      </c>
      <c r="P1119" t="str">
        <f t="shared" si="144"/>
        <v/>
      </c>
      <c r="Q1119" t="str">
        <f t="shared" si="145"/>
        <v/>
      </c>
      <c r="R1119" s="69"/>
      <c r="S1119">
        <f>'TMIS CA'!A1110</f>
        <v>0</v>
      </c>
      <c r="T1119" t="str">
        <f>T('TMIS CA'!B1110)</f>
        <v/>
      </c>
      <c r="U1119" t="s">
        <v>4290</v>
      </c>
      <c r="V1119" t="str">
        <f t="shared" si="147"/>
        <v/>
      </c>
      <c r="W1119" t="str">
        <f t="shared" si="146"/>
        <v/>
      </c>
    </row>
    <row r="1120" spans="1:23">
      <c r="A1120">
        <f>'IPTV US'!A1111</f>
        <v>0</v>
      </c>
      <c r="B1120" t="str">
        <f>T('IPTV US'!B1111)</f>
        <v/>
      </c>
      <c r="C1120" t="s">
        <v>4290</v>
      </c>
      <c r="D1120" t="str">
        <f t="shared" si="141"/>
        <v/>
      </c>
      <c r="E1120" t="str">
        <f t="shared" si="142"/>
        <v/>
      </c>
      <c r="F1120" s="68" t="s">
        <v>4289</v>
      </c>
      <c r="G1120">
        <f>'IPTV CA'!A1111</f>
        <v>0</v>
      </c>
      <c r="H1120" t="str">
        <f>T('IPTV CA'!B1111)</f>
        <v/>
      </c>
      <c r="I1120" t="s">
        <v>4290</v>
      </c>
      <c r="J1120" t="str">
        <f t="shared" si="143"/>
        <v/>
      </c>
      <c r="K1120" t="str">
        <f t="shared" si="140"/>
        <v/>
      </c>
      <c r="L1120" s="69"/>
      <c r="M1120">
        <f>'TMIS US'!A1111</f>
        <v>0</v>
      </c>
      <c r="N1120" t="str">
        <f>T('TMIS US'!B1111)</f>
        <v/>
      </c>
      <c r="O1120" t="s">
        <v>4290</v>
      </c>
      <c r="P1120" t="str">
        <f t="shared" si="144"/>
        <v/>
      </c>
      <c r="Q1120" t="str">
        <f t="shared" si="145"/>
        <v/>
      </c>
      <c r="R1120" s="69"/>
      <c r="S1120">
        <f>'TMIS CA'!A1111</f>
        <v>0</v>
      </c>
      <c r="T1120" t="str">
        <f>T('TMIS CA'!B1111)</f>
        <v/>
      </c>
      <c r="U1120" t="s">
        <v>4290</v>
      </c>
      <c r="V1120" t="str">
        <f t="shared" si="147"/>
        <v/>
      </c>
      <c r="W1120" t="str">
        <f t="shared" si="146"/>
        <v/>
      </c>
    </row>
    <row r="1121" spans="1:23">
      <c r="A1121">
        <f>'IPTV US'!A1112</f>
        <v>0</v>
      </c>
      <c r="B1121" t="str">
        <f>T('IPTV US'!B1112)</f>
        <v/>
      </c>
      <c r="C1121" t="s">
        <v>4290</v>
      </c>
      <c r="D1121" t="str">
        <f t="shared" si="141"/>
        <v/>
      </c>
      <c r="E1121" t="str">
        <f t="shared" si="142"/>
        <v/>
      </c>
      <c r="F1121" s="68" t="s">
        <v>4289</v>
      </c>
      <c r="G1121">
        <f>'IPTV CA'!A1112</f>
        <v>0</v>
      </c>
      <c r="H1121" t="str">
        <f>T('IPTV CA'!B1112)</f>
        <v/>
      </c>
      <c r="I1121" t="s">
        <v>4290</v>
      </c>
      <c r="J1121" t="str">
        <f t="shared" si="143"/>
        <v/>
      </c>
      <c r="K1121" t="str">
        <f t="shared" si="140"/>
        <v/>
      </c>
      <c r="L1121" s="69"/>
      <c r="M1121">
        <f>'TMIS US'!A1112</f>
        <v>0</v>
      </c>
      <c r="N1121" t="str">
        <f>T('TMIS US'!B1112)</f>
        <v/>
      </c>
      <c r="O1121" t="s">
        <v>4290</v>
      </c>
      <c r="P1121" t="str">
        <f t="shared" si="144"/>
        <v/>
      </c>
      <c r="Q1121" t="str">
        <f t="shared" si="145"/>
        <v/>
      </c>
      <c r="R1121" s="69"/>
      <c r="S1121">
        <f>'TMIS CA'!A1112</f>
        <v>0</v>
      </c>
      <c r="T1121" t="str">
        <f>T('TMIS CA'!B1112)</f>
        <v/>
      </c>
      <c r="U1121" t="s">
        <v>4290</v>
      </c>
      <c r="V1121" t="str">
        <f t="shared" si="147"/>
        <v/>
      </c>
      <c r="W1121" t="str">
        <f t="shared" si="146"/>
        <v/>
      </c>
    </row>
    <row r="1122" spans="1:23">
      <c r="A1122">
        <f>'IPTV US'!A1113</f>
        <v>0</v>
      </c>
      <c r="B1122" t="str">
        <f>T('IPTV US'!B1113)</f>
        <v/>
      </c>
      <c r="C1122" t="s">
        <v>4290</v>
      </c>
      <c r="D1122" t="str">
        <f t="shared" si="141"/>
        <v/>
      </c>
      <c r="E1122" t="str">
        <f t="shared" si="142"/>
        <v/>
      </c>
      <c r="F1122" s="68" t="s">
        <v>4289</v>
      </c>
      <c r="G1122">
        <f>'IPTV CA'!A1113</f>
        <v>0</v>
      </c>
      <c r="H1122" t="str">
        <f>T('IPTV CA'!B1113)</f>
        <v/>
      </c>
      <c r="I1122" t="s">
        <v>4290</v>
      </c>
      <c r="J1122" t="str">
        <f t="shared" si="143"/>
        <v/>
      </c>
      <c r="K1122" t="str">
        <f t="shared" si="140"/>
        <v/>
      </c>
      <c r="L1122" s="69"/>
      <c r="M1122">
        <f>'TMIS US'!A1113</f>
        <v>0</v>
      </c>
      <c r="N1122" t="str">
        <f>T('TMIS US'!B1113)</f>
        <v/>
      </c>
      <c r="O1122" t="s">
        <v>4290</v>
      </c>
      <c r="P1122" t="str">
        <f t="shared" si="144"/>
        <v/>
      </c>
      <c r="Q1122" t="str">
        <f t="shared" si="145"/>
        <v/>
      </c>
      <c r="R1122" s="69"/>
      <c r="S1122">
        <f>'TMIS CA'!A1113</f>
        <v>0</v>
      </c>
      <c r="T1122" t="str">
        <f>T('TMIS CA'!B1113)</f>
        <v/>
      </c>
      <c r="U1122" t="s">
        <v>4290</v>
      </c>
      <c r="V1122" t="str">
        <f t="shared" si="147"/>
        <v/>
      </c>
      <c r="W1122" t="str">
        <f t="shared" si="146"/>
        <v/>
      </c>
    </row>
    <row r="1123" spans="1:23">
      <c r="A1123">
        <f>'IPTV US'!A1114</f>
        <v>0</v>
      </c>
      <c r="B1123" t="str">
        <f>T('IPTV US'!B1114)</f>
        <v/>
      </c>
      <c r="C1123" t="s">
        <v>4290</v>
      </c>
      <c r="D1123" t="str">
        <f t="shared" si="141"/>
        <v/>
      </c>
      <c r="E1123" t="str">
        <f t="shared" si="142"/>
        <v/>
      </c>
      <c r="F1123" s="68" t="s">
        <v>4289</v>
      </c>
      <c r="G1123">
        <f>'IPTV CA'!A1114</f>
        <v>0</v>
      </c>
      <c r="H1123" t="str">
        <f>T('IPTV CA'!B1114)</f>
        <v/>
      </c>
      <c r="I1123" t="s">
        <v>4290</v>
      </c>
      <c r="J1123" t="str">
        <f t="shared" si="143"/>
        <v/>
      </c>
      <c r="K1123" t="str">
        <f t="shared" si="140"/>
        <v/>
      </c>
      <c r="L1123" s="69"/>
      <c r="M1123">
        <f>'TMIS US'!A1114</f>
        <v>0</v>
      </c>
      <c r="N1123" t="str">
        <f>T('TMIS US'!B1114)</f>
        <v/>
      </c>
      <c r="O1123" t="s">
        <v>4290</v>
      </c>
      <c r="P1123" t="str">
        <f t="shared" si="144"/>
        <v/>
      </c>
      <c r="Q1123" t="str">
        <f t="shared" si="145"/>
        <v/>
      </c>
      <c r="R1123" s="69"/>
      <c r="S1123">
        <f>'TMIS CA'!A1114</f>
        <v>0</v>
      </c>
      <c r="T1123" t="str">
        <f>T('TMIS CA'!B1114)</f>
        <v/>
      </c>
      <c r="U1123" t="s">
        <v>4290</v>
      </c>
      <c r="V1123" t="str">
        <f t="shared" si="147"/>
        <v/>
      </c>
      <c r="W1123" t="str">
        <f t="shared" si="146"/>
        <v/>
      </c>
    </row>
    <row r="1124" spans="1:23">
      <c r="A1124">
        <f>'IPTV US'!A1115</f>
        <v>0</v>
      </c>
      <c r="B1124" t="str">
        <f>T('IPTV US'!B1115)</f>
        <v/>
      </c>
      <c r="C1124" t="s">
        <v>4290</v>
      </c>
      <c r="D1124" t="str">
        <f t="shared" si="141"/>
        <v/>
      </c>
      <c r="E1124" t="str">
        <f t="shared" si="142"/>
        <v/>
      </c>
      <c r="F1124" s="68" t="s">
        <v>4289</v>
      </c>
      <c r="G1124">
        <f>'IPTV CA'!A1115</f>
        <v>0</v>
      </c>
      <c r="H1124" t="str">
        <f>T('IPTV CA'!B1115)</f>
        <v/>
      </c>
      <c r="I1124" t="s">
        <v>4290</v>
      </c>
      <c r="J1124" t="str">
        <f t="shared" si="143"/>
        <v/>
      </c>
      <c r="K1124" t="str">
        <f t="shared" si="140"/>
        <v/>
      </c>
      <c r="L1124" s="69"/>
      <c r="M1124">
        <f>'TMIS US'!A1115</f>
        <v>0</v>
      </c>
      <c r="N1124" t="str">
        <f>T('TMIS US'!B1115)</f>
        <v/>
      </c>
      <c r="O1124" t="s">
        <v>4290</v>
      </c>
      <c r="P1124" t="str">
        <f t="shared" si="144"/>
        <v/>
      </c>
      <c r="Q1124" t="str">
        <f t="shared" si="145"/>
        <v/>
      </c>
      <c r="R1124" s="69"/>
      <c r="S1124">
        <f>'TMIS CA'!A1115</f>
        <v>0</v>
      </c>
      <c r="T1124" t="str">
        <f>T('TMIS CA'!B1115)</f>
        <v/>
      </c>
      <c r="U1124" t="s">
        <v>4290</v>
      </c>
      <c r="V1124" t="str">
        <f t="shared" si="147"/>
        <v/>
      </c>
      <c r="W1124" t="str">
        <f t="shared" si="146"/>
        <v/>
      </c>
    </row>
    <row r="1125" spans="1:23">
      <c r="A1125">
        <f>'IPTV US'!A1116</f>
        <v>0</v>
      </c>
      <c r="B1125" t="str">
        <f>T('IPTV US'!B1116)</f>
        <v/>
      </c>
      <c r="C1125" t="s">
        <v>4290</v>
      </c>
      <c r="D1125" t="str">
        <f t="shared" si="141"/>
        <v/>
      </c>
      <c r="E1125" t="str">
        <f t="shared" si="142"/>
        <v/>
      </c>
      <c r="F1125" s="68" t="s">
        <v>4289</v>
      </c>
      <c r="G1125">
        <f>'IPTV CA'!A1116</f>
        <v>0</v>
      </c>
      <c r="H1125" t="str">
        <f>T('IPTV CA'!B1116)</f>
        <v/>
      </c>
      <c r="I1125" t="s">
        <v>4290</v>
      </c>
      <c r="J1125" t="str">
        <f t="shared" si="143"/>
        <v/>
      </c>
      <c r="K1125" t="str">
        <f t="shared" si="140"/>
        <v/>
      </c>
      <c r="L1125" s="69"/>
      <c r="M1125">
        <f>'TMIS US'!A1116</f>
        <v>0</v>
      </c>
      <c r="N1125" t="str">
        <f>T('TMIS US'!B1116)</f>
        <v/>
      </c>
      <c r="O1125" t="s">
        <v>4290</v>
      </c>
      <c r="P1125" t="str">
        <f t="shared" si="144"/>
        <v/>
      </c>
      <c r="Q1125" t="str">
        <f t="shared" si="145"/>
        <v/>
      </c>
      <c r="R1125" s="69"/>
      <c r="S1125">
        <f>'TMIS CA'!A1116</f>
        <v>0</v>
      </c>
      <c r="T1125" t="str">
        <f>T('TMIS CA'!B1116)</f>
        <v/>
      </c>
      <c r="U1125" t="s">
        <v>4290</v>
      </c>
      <c r="V1125" t="str">
        <f t="shared" si="147"/>
        <v/>
      </c>
      <c r="W1125" t="str">
        <f t="shared" si="146"/>
        <v/>
      </c>
    </row>
    <row r="1126" spans="1:23">
      <c r="A1126">
        <f>'IPTV US'!A1117</f>
        <v>0</v>
      </c>
      <c r="B1126" t="str">
        <f>T('IPTV US'!B1117)</f>
        <v/>
      </c>
      <c r="C1126" t="s">
        <v>4290</v>
      </c>
      <c r="D1126" t="str">
        <f t="shared" si="141"/>
        <v/>
      </c>
      <c r="E1126" t="str">
        <f t="shared" si="142"/>
        <v/>
      </c>
      <c r="F1126" s="68" t="s">
        <v>4289</v>
      </c>
      <c r="G1126">
        <f>'IPTV CA'!A1117</f>
        <v>0</v>
      </c>
      <c r="H1126" t="str">
        <f>T('IPTV CA'!B1117)</f>
        <v/>
      </c>
      <c r="I1126" t="s">
        <v>4290</v>
      </c>
      <c r="J1126" t="str">
        <f t="shared" si="143"/>
        <v/>
      </c>
      <c r="K1126" t="str">
        <f t="shared" si="140"/>
        <v/>
      </c>
      <c r="L1126" s="69"/>
      <c r="M1126">
        <f>'TMIS US'!A1117</f>
        <v>0</v>
      </c>
      <c r="N1126" t="str">
        <f>T('TMIS US'!B1117)</f>
        <v/>
      </c>
      <c r="O1126" t="s">
        <v>4290</v>
      </c>
      <c r="P1126" t="str">
        <f t="shared" si="144"/>
        <v/>
      </c>
      <c r="Q1126" t="str">
        <f t="shared" si="145"/>
        <v/>
      </c>
      <c r="R1126" s="69"/>
      <c r="S1126">
        <f>'TMIS CA'!A1117</f>
        <v>0</v>
      </c>
      <c r="T1126" t="str">
        <f>T('TMIS CA'!B1117)</f>
        <v/>
      </c>
      <c r="U1126" t="s">
        <v>4290</v>
      </c>
      <c r="V1126" t="str">
        <f t="shared" si="147"/>
        <v/>
      </c>
      <c r="W1126" t="str">
        <f t="shared" si="146"/>
        <v/>
      </c>
    </row>
    <row r="1127" spans="1:23">
      <c r="A1127">
        <f>'IPTV US'!A1118</f>
        <v>0</v>
      </c>
      <c r="B1127" t="str">
        <f>T('IPTV US'!B1118)</f>
        <v/>
      </c>
      <c r="C1127" t="s">
        <v>4290</v>
      </c>
      <c r="D1127" t="str">
        <f t="shared" si="141"/>
        <v/>
      </c>
      <c r="E1127" t="str">
        <f t="shared" si="142"/>
        <v/>
      </c>
      <c r="F1127" s="68" t="s">
        <v>4289</v>
      </c>
      <c r="G1127">
        <f>'IPTV CA'!A1118</f>
        <v>0</v>
      </c>
      <c r="H1127" t="str">
        <f>T('IPTV CA'!B1118)</f>
        <v/>
      </c>
      <c r="I1127" t="s">
        <v>4290</v>
      </c>
      <c r="J1127" t="str">
        <f t="shared" si="143"/>
        <v/>
      </c>
      <c r="K1127" t="str">
        <f t="shared" si="140"/>
        <v/>
      </c>
      <c r="L1127" s="69"/>
      <c r="M1127">
        <f>'TMIS US'!A1118</f>
        <v>0</v>
      </c>
      <c r="N1127" t="str">
        <f>T('TMIS US'!B1118)</f>
        <v/>
      </c>
      <c r="O1127" t="s">
        <v>4290</v>
      </c>
      <c r="P1127" t="str">
        <f t="shared" si="144"/>
        <v/>
      </c>
      <c r="Q1127" t="str">
        <f t="shared" si="145"/>
        <v/>
      </c>
      <c r="R1127" s="69"/>
      <c r="S1127">
        <f>'TMIS CA'!A1118</f>
        <v>0</v>
      </c>
      <c r="T1127" t="str">
        <f>T('TMIS CA'!B1118)</f>
        <v/>
      </c>
      <c r="U1127" t="s">
        <v>4290</v>
      </c>
      <c r="V1127" t="str">
        <f t="shared" si="147"/>
        <v/>
      </c>
      <c r="W1127" t="str">
        <f t="shared" si="146"/>
        <v/>
      </c>
    </row>
    <row r="1128" spans="1:23">
      <c r="A1128">
        <f>'IPTV US'!A1119</f>
        <v>0</v>
      </c>
      <c r="B1128" t="str">
        <f>T('IPTV US'!B1119)</f>
        <v/>
      </c>
      <c r="C1128" t="s">
        <v>4290</v>
      </c>
      <c r="D1128" t="str">
        <f t="shared" si="141"/>
        <v/>
      </c>
      <c r="E1128" t="str">
        <f t="shared" si="142"/>
        <v/>
      </c>
      <c r="F1128" s="68" t="s">
        <v>4289</v>
      </c>
      <c r="G1128">
        <f>'IPTV CA'!A1119</f>
        <v>0</v>
      </c>
      <c r="H1128" t="str">
        <f>T('IPTV CA'!B1119)</f>
        <v/>
      </c>
      <c r="I1128" t="s">
        <v>4290</v>
      </c>
      <c r="J1128" t="str">
        <f t="shared" si="143"/>
        <v/>
      </c>
      <c r="K1128" t="str">
        <f t="shared" si="140"/>
        <v/>
      </c>
      <c r="L1128" s="69"/>
      <c r="M1128">
        <f>'TMIS US'!A1119</f>
        <v>0</v>
      </c>
      <c r="N1128" t="str">
        <f>T('TMIS US'!B1119)</f>
        <v/>
      </c>
      <c r="O1128" t="s">
        <v>4290</v>
      </c>
      <c r="P1128" t="str">
        <f t="shared" si="144"/>
        <v/>
      </c>
      <c r="Q1128" t="str">
        <f t="shared" si="145"/>
        <v/>
      </c>
      <c r="R1128" s="69"/>
      <c r="S1128">
        <f>'TMIS CA'!A1119</f>
        <v>0</v>
      </c>
      <c r="T1128" t="str">
        <f>T('TMIS CA'!B1119)</f>
        <v/>
      </c>
      <c r="U1128" t="s">
        <v>4290</v>
      </c>
      <c r="V1128" t="str">
        <f t="shared" si="147"/>
        <v/>
      </c>
      <c r="W1128" t="str">
        <f t="shared" si="146"/>
        <v/>
      </c>
    </row>
    <row r="1129" spans="1:23">
      <c r="A1129">
        <f>'IPTV US'!A1120</f>
        <v>0</v>
      </c>
      <c r="B1129" t="str">
        <f>T('IPTV US'!B1120)</f>
        <v/>
      </c>
      <c r="C1129" t="s">
        <v>4290</v>
      </c>
      <c r="D1129" t="str">
        <f t="shared" si="141"/>
        <v/>
      </c>
      <c r="E1129" t="str">
        <f t="shared" si="142"/>
        <v/>
      </c>
      <c r="F1129" s="68" t="s">
        <v>4289</v>
      </c>
      <c r="G1129">
        <f>'IPTV CA'!A1120</f>
        <v>0</v>
      </c>
      <c r="H1129" t="str">
        <f>T('IPTV CA'!B1120)</f>
        <v/>
      </c>
      <c r="I1129" t="s">
        <v>4290</v>
      </c>
      <c r="J1129" t="str">
        <f t="shared" si="143"/>
        <v/>
      </c>
      <c r="K1129" t="str">
        <f t="shared" si="140"/>
        <v/>
      </c>
      <c r="L1129" s="69"/>
      <c r="M1129">
        <f>'TMIS US'!A1120</f>
        <v>0</v>
      </c>
      <c r="N1129" t="str">
        <f>T('TMIS US'!B1120)</f>
        <v/>
      </c>
      <c r="O1129" t="s">
        <v>4290</v>
      </c>
      <c r="P1129" t="str">
        <f t="shared" si="144"/>
        <v/>
      </c>
      <c r="Q1129" t="str">
        <f t="shared" si="145"/>
        <v/>
      </c>
      <c r="R1129" s="69"/>
      <c r="S1129">
        <f>'TMIS CA'!A1120</f>
        <v>0</v>
      </c>
      <c r="T1129" t="str">
        <f>T('TMIS CA'!B1120)</f>
        <v/>
      </c>
      <c r="U1129" t="s">
        <v>4290</v>
      </c>
      <c r="V1129" t="str">
        <f t="shared" si="147"/>
        <v/>
      </c>
      <c r="W1129" t="str">
        <f t="shared" si="146"/>
        <v/>
      </c>
    </row>
    <row r="1130" spans="1:23">
      <c r="A1130">
        <f>'IPTV US'!A1121</f>
        <v>0</v>
      </c>
      <c r="B1130" t="str">
        <f>T('IPTV US'!B1121)</f>
        <v/>
      </c>
      <c r="C1130" t="s">
        <v>4290</v>
      </c>
      <c r="D1130" t="str">
        <f t="shared" si="141"/>
        <v/>
      </c>
      <c r="E1130" t="str">
        <f t="shared" si="142"/>
        <v/>
      </c>
      <c r="F1130" s="68" t="s">
        <v>4289</v>
      </c>
      <c r="G1130">
        <f>'IPTV CA'!A1121</f>
        <v>0</v>
      </c>
      <c r="H1130" t="str">
        <f>T('IPTV CA'!B1121)</f>
        <v/>
      </c>
      <c r="I1130" t="s">
        <v>4290</v>
      </c>
      <c r="J1130" t="str">
        <f t="shared" si="143"/>
        <v/>
      </c>
      <c r="K1130" t="str">
        <f t="shared" si="140"/>
        <v/>
      </c>
      <c r="L1130" s="69"/>
      <c r="M1130">
        <f>'TMIS US'!A1121</f>
        <v>0</v>
      </c>
      <c r="N1130" t="str">
        <f>T('TMIS US'!B1121)</f>
        <v/>
      </c>
      <c r="O1130" t="s">
        <v>4290</v>
      </c>
      <c r="P1130" t="str">
        <f t="shared" si="144"/>
        <v/>
      </c>
      <c r="Q1130" t="str">
        <f t="shared" si="145"/>
        <v/>
      </c>
      <c r="R1130" s="69"/>
      <c r="S1130">
        <f>'TMIS CA'!A1121</f>
        <v>0</v>
      </c>
      <c r="T1130" t="str">
        <f>T('TMIS CA'!B1121)</f>
        <v/>
      </c>
      <c r="U1130" t="s">
        <v>4290</v>
      </c>
      <c r="V1130" t="str">
        <f t="shared" si="147"/>
        <v/>
      </c>
      <c r="W1130" t="str">
        <f t="shared" si="146"/>
        <v/>
      </c>
    </row>
    <row r="1131" spans="1:23">
      <c r="A1131">
        <f>'IPTV US'!A1122</f>
        <v>0</v>
      </c>
      <c r="B1131" t="str">
        <f>T('IPTV US'!B1122)</f>
        <v/>
      </c>
      <c r="C1131" t="s">
        <v>4290</v>
      </c>
      <c r="D1131" t="str">
        <f t="shared" si="141"/>
        <v/>
      </c>
      <c r="E1131" t="str">
        <f t="shared" si="142"/>
        <v/>
      </c>
      <c r="F1131" s="68" t="s">
        <v>4289</v>
      </c>
      <c r="G1131">
        <f>'IPTV CA'!A1122</f>
        <v>0</v>
      </c>
      <c r="H1131" t="str">
        <f>T('IPTV CA'!B1122)</f>
        <v/>
      </c>
      <c r="I1131" t="s">
        <v>4290</v>
      </c>
      <c r="J1131" t="str">
        <f t="shared" si="143"/>
        <v/>
      </c>
      <c r="K1131" t="str">
        <f t="shared" si="140"/>
        <v/>
      </c>
      <c r="L1131" s="69"/>
      <c r="M1131">
        <f>'TMIS US'!A1122</f>
        <v>0</v>
      </c>
      <c r="N1131" t="str">
        <f>T('TMIS US'!B1122)</f>
        <v/>
      </c>
      <c r="O1131" t="s">
        <v>4290</v>
      </c>
      <c r="P1131" t="str">
        <f t="shared" si="144"/>
        <v/>
      </c>
      <c r="Q1131" t="str">
        <f t="shared" si="145"/>
        <v/>
      </c>
      <c r="R1131" s="69"/>
      <c r="S1131">
        <f>'TMIS CA'!A1122</f>
        <v>0</v>
      </c>
      <c r="T1131" t="str">
        <f>T('TMIS CA'!B1122)</f>
        <v/>
      </c>
      <c r="U1131" t="s">
        <v>4290</v>
      </c>
      <c r="V1131" t="str">
        <f t="shared" si="147"/>
        <v/>
      </c>
      <c r="W1131" t="str">
        <f t="shared" si="146"/>
        <v/>
      </c>
    </row>
    <row r="1132" spans="1:23">
      <c r="A1132">
        <f>'IPTV US'!A1123</f>
        <v>0</v>
      </c>
      <c r="B1132" t="str">
        <f>T('IPTV US'!B1123)</f>
        <v/>
      </c>
      <c r="C1132" t="s">
        <v>4290</v>
      </c>
      <c r="D1132" t="str">
        <f t="shared" si="141"/>
        <v/>
      </c>
      <c r="E1132" t="str">
        <f t="shared" si="142"/>
        <v/>
      </c>
      <c r="F1132" s="68" t="s">
        <v>4289</v>
      </c>
      <c r="G1132">
        <f>'IPTV CA'!A1123</f>
        <v>0</v>
      </c>
      <c r="H1132" t="str">
        <f>T('IPTV CA'!B1123)</f>
        <v/>
      </c>
      <c r="I1132" t="s">
        <v>4290</v>
      </c>
      <c r="J1132" t="str">
        <f t="shared" si="143"/>
        <v/>
      </c>
      <c r="K1132" t="str">
        <f t="shared" si="140"/>
        <v/>
      </c>
      <c r="L1132" s="69"/>
      <c r="M1132">
        <f>'TMIS US'!A1123</f>
        <v>0</v>
      </c>
      <c r="N1132" t="str">
        <f>T('TMIS US'!B1123)</f>
        <v/>
      </c>
      <c r="O1132" t="s">
        <v>4290</v>
      </c>
      <c r="P1132" t="str">
        <f t="shared" si="144"/>
        <v/>
      </c>
      <c r="Q1132" t="str">
        <f t="shared" si="145"/>
        <v/>
      </c>
      <c r="R1132" s="69"/>
      <c r="S1132">
        <f>'TMIS CA'!A1123</f>
        <v>0</v>
      </c>
      <c r="T1132" t="str">
        <f>T('TMIS CA'!B1123)</f>
        <v/>
      </c>
      <c r="U1132" t="s">
        <v>4290</v>
      </c>
      <c r="V1132" t="str">
        <f t="shared" si="147"/>
        <v/>
      </c>
      <c r="W1132" t="str">
        <f t="shared" si="146"/>
        <v/>
      </c>
    </row>
    <row r="1133" spans="1:23">
      <c r="A1133">
        <f>'IPTV US'!A1124</f>
        <v>0</v>
      </c>
      <c r="B1133" t="str">
        <f>T('IPTV US'!B1124)</f>
        <v/>
      </c>
      <c r="C1133" t="s">
        <v>4290</v>
      </c>
      <c r="D1133" t="str">
        <f t="shared" si="141"/>
        <v/>
      </c>
      <c r="E1133" t="str">
        <f t="shared" si="142"/>
        <v/>
      </c>
      <c r="F1133" s="68" t="s">
        <v>4289</v>
      </c>
      <c r="G1133">
        <f>'IPTV CA'!A1124</f>
        <v>0</v>
      </c>
      <c r="H1133" t="str">
        <f>T('IPTV CA'!B1124)</f>
        <v/>
      </c>
      <c r="I1133" t="s">
        <v>4290</v>
      </c>
      <c r="J1133" t="str">
        <f t="shared" si="143"/>
        <v/>
      </c>
      <c r="K1133" t="str">
        <f t="shared" ref="K1133:K1196" si="148">IF(I1133="Vacant",IF(H1133="","","Please Notify - Channel Added"),"")</f>
        <v/>
      </c>
      <c r="L1133" s="69"/>
      <c r="M1133">
        <f>'TMIS US'!A1124</f>
        <v>0</v>
      </c>
      <c r="N1133" t="str">
        <f>T('TMIS US'!B1124)</f>
        <v/>
      </c>
      <c r="O1133" t="s">
        <v>4290</v>
      </c>
      <c r="P1133" t="str">
        <f t="shared" si="144"/>
        <v/>
      </c>
      <c r="Q1133" t="str">
        <f t="shared" si="145"/>
        <v/>
      </c>
      <c r="R1133" s="69"/>
      <c r="S1133">
        <f>'TMIS CA'!A1124</f>
        <v>0</v>
      </c>
      <c r="T1133" t="str">
        <f>T('TMIS CA'!B1124)</f>
        <v/>
      </c>
      <c r="U1133" t="s">
        <v>4290</v>
      </c>
      <c r="V1133" t="str">
        <f t="shared" si="147"/>
        <v/>
      </c>
      <c r="W1133" t="str">
        <f t="shared" si="146"/>
        <v/>
      </c>
    </row>
    <row r="1134" spans="1:23">
      <c r="A1134">
        <f>'IPTV US'!A1125</f>
        <v>0</v>
      </c>
      <c r="B1134" t="str">
        <f>T('IPTV US'!B1125)</f>
        <v/>
      </c>
      <c r="C1134" t="s">
        <v>4290</v>
      </c>
      <c r="D1134" t="str">
        <f t="shared" si="141"/>
        <v/>
      </c>
      <c r="E1134" t="str">
        <f t="shared" si="142"/>
        <v/>
      </c>
      <c r="F1134" s="68" t="s">
        <v>4289</v>
      </c>
      <c r="G1134">
        <f>'IPTV CA'!A1125</f>
        <v>0</v>
      </c>
      <c r="H1134" t="str">
        <f>T('IPTV CA'!B1125)</f>
        <v/>
      </c>
      <c r="I1134" t="s">
        <v>4290</v>
      </c>
      <c r="J1134" t="str">
        <f t="shared" si="143"/>
        <v/>
      </c>
      <c r="K1134" t="str">
        <f t="shared" si="148"/>
        <v/>
      </c>
      <c r="L1134" s="69"/>
      <c r="M1134">
        <f>'TMIS US'!A1125</f>
        <v>0</v>
      </c>
      <c r="N1134" t="str">
        <f>T('TMIS US'!B1125)</f>
        <v/>
      </c>
      <c r="O1134" t="s">
        <v>4290</v>
      </c>
      <c r="P1134" t="str">
        <f t="shared" si="144"/>
        <v/>
      </c>
      <c r="Q1134" t="str">
        <f t="shared" si="145"/>
        <v/>
      </c>
      <c r="R1134" s="69"/>
      <c r="S1134">
        <f>'TMIS CA'!A1125</f>
        <v>0</v>
      </c>
      <c r="T1134" t="str">
        <f>T('TMIS CA'!B1125)</f>
        <v/>
      </c>
      <c r="U1134" t="s">
        <v>4290</v>
      </c>
      <c r="V1134" t="str">
        <f t="shared" si="147"/>
        <v/>
      </c>
      <c r="W1134" t="str">
        <f t="shared" si="146"/>
        <v/>
      </c>
    </row>
    <row r="1135" spans="1:23">
      <c r="A1135">
        <f>'IPTV US'!A1126</f>
        <v>0</v>
      </c>
      <c r="B1135" t="str">
        <f>T('IPTV US'!B1126)</f>
        <v/>
      </c>
      <c r="C1135" t="s">
        <v>4290</v>
      </c>
      <c r="D1135" t="str">
        <f t="shared" si="141"/>
        <v/>
      </c>
      <c r="E1135" t="str">
        <f t="shared" si="142"/>
        <v/>
      </c>
      <c r="F1135" s="68" t="s">
        <v>4289</v>
      </c>
      <c r="G1135">
        <f>'IPTV CA'!A1126</f>
        <v>0</v>
      </c>
      <c r="H1135" t="str">
        <f>T('IPTV CA'!B1126)</f>
        <v/>
      </c>
      <c r="I1135" t="s">
        <v>4290</v>
      </c>
      <c r="J1135" t="str">
        <f t="shared" si="143"/>
        <v/>
      </c>
      <c r="K1135" t="str">
        <f t="shared" si="148"/>
        <v/>
      </c>
      <c r="L1135" s="69"/>
      <c r="M1135">
        <f>'TMIS US'!A1126</f>
        <v>0</v>
      </c>
      <c r="N1135" t="str">
        <f>T('TMIS US'!B1126)</f>
        <v/>
      </c>
      <c r="O1135" t="s">
        <v>4290</v>
      </c>
      <c r="P1135" t="str">
        <f t="shared" si="144"/>
        <v/>
      </c>
      <c r="Q1135" t="str">
        <f t="shared" si="145"/>
        <v/>
      </c>
      <c r="R1135" s="69"/>
      <c r="S1135">
        <f>'TMIS CA'!A1126</f>
        <v>0</v>
      </c>
      <c r="T1135" t="str">
        <f>T('TMIS CA'!B1126)</f>
        <v/>
      </c>
      <c r="U1135" t="s">
        <v>4290</v>
      </c>
      <c r="V1135" t="str">
        <f t="shared" si="147"/>
        <v/>
      </c>
      <c r="W1135" t="str">
        <f t="shared" si="146"/>
        <v/>
      </c>
    </row>
    <row r="1136" spans="1:23">
      <c r="A1136">
        <f>'IPTV US'!A1127</f>
        <v>0</v>
      </c>
      <c r="B1136" t="str">
        <f>T('IPTV US'!B1127)</f>
        <v/>
      </c>
      <c r="C1136" t="s">
        <v>4290</v>
      </c>
      <c r="D1136" t="str">
        <f t="shared" si="141"/>
        <v/>
      </c>
      <c r="E1136" t="str">
        <f t="shared" si="142"/>
        <v/>
      </c>
      <c r="F1136" s="68" t="s">
        <v>4289</v>
      </c>
      <c r="G1136">
        <f>'IPTV CA'!A1127</f>
        <v>0</v>
      </c>
      <c r="H1136" t="str">
        <f>T('IPTV CA'!B1127)</f>
        <v/>
      </c>
      <c r="I1136" t="s">
        <v>4290</v>
      </c>
      <c r="J1136" t="str">
        <f t="shared" si="143"/>
        <v/>
      </c>
      <c r="K1136" t="str">
        <f t="shared" si="148"/>
        <v/>
      </c>
      <c r="L1136" s="69"/>
      <c r="M1136">
        <f>'TMIS US'!A1127</f>
        <v>0</v>
      </c>
      <c r="N1136" t="str">
        <f>T('TMIS US'!B1127)</f>
        <v/>
      </c>
      <c r="O1136" t="s">
        <v>4290</v>
      </c>
      <c r="P1136" t="str">
        <f t="shared" si="144"/>
        <v/>
      </c>
      <c r="Q1136" t="str">
        <f t="shared" si="145"/>
        <v/>
      </c>
      <c r="R1136" s="69"/>
      <c r="S1136">
        <f>'TMIS CA'!A1127</f>
        <v>0</v>
      </c>
      <c r="T1136" t="str">
        <f>T('TMIS CA'!B1127)</f>
        <v/>
      </c>
      <c r="U1136" t="s">
        <v>4290</v>
      </c>
      <c r="V1136" t="str">
        <f t="shared" si="147"/>
        <v/>
      </c>
      <c r="W1136" t="str">
        <f t="shared" si="146"/>
        <v/>
      </c>
    </row>
    <row r="1137" spans="1:23">
      <c r="A1137">
        <f>'IPTV US'!A1128</f>
        <v>0</v>
      </c>
      <c r="B1137" t="str">
        <f>T('IPTV US'!B1128)</f>
        <v/>
      </c>
      <c r="C1137" t="s">
        <v>4290</v>
      </c>
      <c r="D1137" t="str">
        <f t="shared" si="141"/>
        <v/>
      </c>
      <c r="E1137" t="str">
        <f t="shared" si="142"/>
        <v/>
      </c>
      <c r="F1137" s="68" t="s">
        <v>4289</v>
      </c>
      <c r="G1137">
        <f>'IPTV CA'!A1128</f>
        <v>0</v>
      </c>
      <c r="H1137" t="str">
        <f>T('IPTV CA'!B1128)</f>
        <v/>
      </c>
      <c r="I1137" t="s">
        <v>4290</v>
      </c>
      <c r="J1137" t="str">
        <f t="shared" si="143"/>
        <v/>
      </c>
      <c r="K1137" t="str">
        <f t="shared" si="148"/>
        <v/>
      </c>
      <c r="L1137" s="69"/>
      <c r="M1137">
        <f>'TMIS US'!A1128</f>
        <v>0</v>
      </c>
      <c r="N1137" t="str">
        <f>T('TMIS US'!B1128)</f>
        <v/>
      </c>
      <c r="O1137" t="s">
        <v>4290</v>
      </c>
      <c r="P1137" t="str">
        <f t="shared" si="144"/>
        <v/>
      </c>
      <c r="Q1137" t="str">
        <f t="shared" si="145"/>
        <v/>
      </c>
      <c r="R1137" s="69"/>
      <c r="S1137">
        <f>'TMIS CA'!A1128</f>
        <v>0</v>
      </c>
      <c r="T1137" t="str">
        <f>T('TMIS CA'!B1128)</f>
        <v/>
      </c>
      <c r="U1137" t="s">
        <v>4290</v>
      </c>
      <c r="V1137" t="str">
        <f t="shared" si="147"/>
        <v/>
      </c>
      <c r="W1137" t="str">
        <f t="shared" si="146"/>
        <v/>
      </c>
    </row>
    <row r="1138" spans="1:23">
      <c r="A1138">
        <f>'IPTV US'!A1129</f>
        <v>0</v>
      </c>
      <c r="B1138" t="str">
        <f>T('IPTV US'!B1129)</f>
        <v/>
      </c>
      <c r="C1138" t="s">
        <v>4290</v>
      </c>
      <c r="D1138" t="str">
        <f t="shared" si="141"/>
        <v/>
      </c>
      <c r="E1138" t="str">
        <f t="shared" si="142"/>
        <v/>
      </c>
      <c r="F1138" s="68" t="s">
        <v>4289</v>
      </c>
      <c r="G1138">
        <f>'IPTV CA'!A1129</f>
        <v>0</v>
      </c>
      <c r="H1138" t="str">
        <f>T('IPTV CA'!B1129)</f>
        <v/>
      </c>
      <c r="I1138" t="s">
        <v>4290</v>
      </c>
      <c r="J1138" t="str">
        <f t="shared" si="143"/>
        <v/>
      </c>
      <c r="K1138" t="str">
        <f t="shared" si="148"/>
        <v/>
      </c>
      <c r="L1138" s="69"/>
      <c r="M1138">
        <f>'TMIS US'!A1129</f>
        <v>0</v>
      </c>
      <c r="N1138" t="str">
        <f>T('TMIS US'!B1129)</f>
        <v/>
      </c>
      <c r="O1138" t="s">
        <v>4290</v>
      </c>
      <c r="P1138" t="str">
        <f t="shared" si="144"/>
        <v/>
      </c>
      <c r="Q1138" t="str">
        <f t="shared" si="145"/>
        <v/>
      </c>
      <c r="R1138" s="69"/>
      <c r="S1138">
        <f>'TMIS CA'!A1129</f>
        <v>0</v>
      </c>
      <c r="T1138" t="str">
        <f>T('TMIS CA'!B1129)</f>
        <v/>
      </c>
      <c r="U1138" t="s">
        <v>4290</v>
      </c>
      <c r="V1138" t="str">
        <f t="shared" si="147"/>
        <v/>
      </c>
      <c r="W1138" t="str">
        <f t="shared" si="146"/>
        <v/>
      </c>
    </row>
    <row r="1139" spans="1:23">
      <c r="A1139">
        <f>'IPTV US'!A1130</f>
        <v>0</v>
      </c>
      <c r="B1139" t="str">
        <f>T('IPTV US'!B1130)</f>
        <v/>
      </c>
      <c r="C1139" t="s">
        <v>4290</v>
      </c>
      <c r="D1139" t="str">
        <f t="shared" si="141"/>
        <v/>
      </c>
      <c r="E1139" t="str">
        <f t="shared" si="142"/>
        <v/>
      </c>
      <c r="F1139" s="68" t="s">
        <v>4289</v>
      </c>
      <c r="G1139">
        <f>'IPTV CA'!A1130</f>
        <v>0</v>
      </c>
      <c r="H1139" t="str">
        <f>T('IPTV CA'!B1130)</f>
        <v/>
      </c>
      <c r="I1139" t="s">
        <v>4290</v>
      </c>
      <c r="J1139" t="str">
        <f t="shared" si="143"/>
        <v/>
      </c>
      <c r="K1139" t="str">
        <f t="shared" si="148"/>
        <v/>
      </c>
      <c r="L1139" s="69"/>
      <c r="M1139">
        <f>'TMIS US'!A1130</f>
        <v>0</v>
      </c>
      <c r="N1139" t="str">
        <f>T('TMIS US'!B1130)</f>
        <v/>
      </c>
      <c r="O1139" t="s">
        <v>4290</v>
      </c>
      <c r="P1139" t="str">
        <f t="shared" si="144"/>
        <v/>
      </c>
      <c r="Q1139" t="str">
        <f t="shared" si="145"/>
        <v/>
      </c>
      <c r="R1139" s="69"/>
      <c r="S1139">
        <f>'TMIS CA'!A1130</f>
        <v>0</v>
      </c>
      <c r="T1139" t="str">
        <f>T('TMIS CA'!B1130)</f>
        <v/>
      </c>
      <c r="U1139" t="s">
        <v>4290</v>
      </c>
      <c r="V1139" t="str">
        <f t="shared" si="147"/>
        <v/>
      </c>
      <c r="W1139" t="str">
        <f t="shared" si="146"/>
        <v/>
      </c>
    </row>
    <row r="1140" spans="1:23">
      <c r="A1140">
        <f>'IPTV US'!A1131</f>
        <v>0</v>
      </c>
      <c r="B1140" t="str">
        <f>T('IPTV US'!B1131)</f>
        <v/>
      </c>
      <c r="C1140" t="s">
        <v>4290</v>
      </c>
      <c r="D1140" t="str">
        <f t="shared" si="141"/>
        <v/>
      </c>
      <c r="E1140" t="str">
        <f t="shared" si="142"/>
        <v/>
      </c>
      <c r="F1140" s="68" t="s">
        <v>4289</v>
      </c>
      <c r="G1140">
        <f>'IPTV CA'!A1131</f>
        <v>0</v>
      </c>
      <c r="H1140" t="str">
        <f>T('IPTV CA'!B1131)</f>
        <v/>
      </c>
      <c r="I1140" t="s">
        <v>4290</v>
      </c>
      <c r="J1140" t="str">
        <f t="shared" si="143"/>
        <v/>
      </c>
      <c r="K1140" t="str">
        <f t="shared" si="148"/>
        <v/>
      </c>
      <c r="L1140" s="69"/>
      <c r="M1140">
        <f>'TMIS US'!A1131</f>
        <v>0</v>
      </c>
      <c r="N1140" t="str">
        <f>T('TMIS US'!B1131)</f>
        <v/>
      </c>
      <c r="O1140" t="s">
        <v>4290</v>
      </c>
      <c r="P1140" t="str">
        <f t="shared" si="144"/>
        <v/>
      </c>
      <c r="Q1140" t="str">
        <f t="shared" si="145"/>
        <v/>
      </c>
      <c r="R1140" s="69"/>
      <c r="S1140">
        <f>'TMIS CA'!A1131</f>
        <v>0</v>
      </c>
      <c r="T1140" t="str">
        <f>T('TMIS CA'!B1131)</f>
        <v/>
      </c>
      <c r="U1140" t="s">
        <v>4290</v>
      </c>
      <c r="V1140" t="str">
        <f t="shared" si="147"/>
        <v/>
      </c>
      <c r="W1140" t="str">
        <f t="shared" si="146"/>
        <v/>
      </c>
    </row>
    <row r="1141" spans="1:23">
      <c r="A1141">
        <f>'IPTV US'!A1132</f>
        <v>0</v>
      </c>
      <c r="B1141" t="str">
        <f>T('IPTV US'!B1132)</f>
        <v/>
      </c>
      <c r="C1141" t="s">
        <v>4290</v>
      </c>
      <c r="D1141" t="str">
        <f t="shared" si="141"/>
        <v/>
      </c>
      <c r="E1141" t="str">
        <f t="shared" si="142"/>
        <v/>
      </c>
      <c r="F1141" s="68" t="s">
        <v>4289</v>
      </c>
      <c r="G1141">
        <f>'IPTV CA'!A1132</f>
        <v>0</v>
      </c>
      <c r="H1141" t="str">
        <f>T('IPTV CA'!B1132)</f>
        <v/>
      </c>
      <c r="I1141" t="s">
        <v>4290</v>
      </c>
      <c r="J1141" t="str">
        <f t="shared" si="143"/>
        <v/>
      </c>
      <c r="K1141" t="str">
        <f t="shared" si="148"/>
        <v/>
      </c>
      <c r="L1141" s="69"/>
      <c r="M1141">
        <f>'TMIS US'!A1132</f>
        <v>0</v>
      </c>
      <c r="N1141" t="str">
        <f>T('TMIS US'!B1132)</f>
        <v/>
      </c>
      <c r="O1141" t="s">
        <v>4290</v>
      </c>
      <c r="P1141" t="str">
        <f t="shared" si="144"/>
        <v/>
      </c>
      <c r="Q1141" t="str">
        <f t="shared" si="145"/>
        <v/>
      </c>
      <c r="R1141" s="69"/>
      <c r="S1141">
        <f>'TMIS CA'!A1132</f>
        <v>0</v>
      </c>
      <c r="T1141" t="str">
        <f>T('TMIS CA'!B1132)</f>
        <v/>
      </c>
      <c r="U1141" t="s">
        <v>4290</v>
      </c>
      <c r="V1141" t="str">
        <f t="shared" si="147"/>
        <v/>
      </c>
      <c r="W1141" t="str">
        <f t="shared" si="146"/>
        <v/>
      </c>
    </row>
    <row r="1142" spans="1:23">
      <c r="A1142">
        <f>'IPTV US'!A1133</f>
        <v>0</v>
      </c>
      <c r="B1142" t="str">
        <f>T('IPTV US'!B1133)</f>
        <v/>
      </c>
      <c r="C1142" t="s">
        <v>4290</v>
      </c>
      <c r="D1142" t="str">
        <f t="shared" si="141"/>
        <v/>
      </c>
      <c r="E1142" t="str">
        <f t="shared" si="142"/>
        <v/>
      </c>
      <c r="F1142" s="68" t="s">
        <v>4289</v>
      </c>
      <c r="G1142">
        <f>'IPTV CA'!A1133</f>
        <v>0</v>
      </c>
      <c r="H1142" t="str">
        <f>T('IPTV CA'!B1133)</f>
        <v/>
      </c>
      <c r="I1142" t="s">
        <v>4290</v>
      </c>
      <c r="J1142" t="str">
        <f t="shared" si="143"/>
        <v/>
      </c>
      <c r="K1142" t="str">
        <f t="shared" si="148"/>
        <v/>
      </c>
      <c r="L1142" s="69"/>
      <c r="M1142">
        <f>'TMIS US'!A1133</f>
        <v>0</v>
      </c>
      <c r="N1142" t="str">
        <f>T('TMIS US'!B1133)</f>
        <v/>
      </c>
      <c r="O1142" t="s">
        <v>4290</v>
      </c>
      <c r="P1142" t="str">
        <f t="shared" si="144"/>
        <v/>
      </c>
      <c r="Q1142" t="str">
        <f t="shared" si="145"/>
        <v/>
      </c>
      <c r="R1142" s="69"/>
      <c r="S1142">
        <f>'TMIS CA'!A1133</f>
        <v>0</v>
      </c>
      <c r="T1142" t="str">
        <f>T('TMIS CA'!B1133)</f>
        <v/>
      </c>
      <c r="U1142" t="s">
        <v>4290</v>
      </c>
      <c r="V1142" t="str">
        <f t="shared" si="147"/>
        <v/>
      </c>
      <c r="W1142" t="str">
        <f t="shared" si="146"/>
        <v/>
      </c>
    </row>
    <row r="1143" spans="1:23">
      <c r="A1143">
        <f>'IPTV US'!A1134</f>
        <v>0</v>
      </c>
      <c r="B1143" t="str">
        <f>T('IPTV US'!B1134)</f>
        <v/>
      </c>
      <c r="C1143" t="s">
        <v>4290</v>
      </c>
      <c r="D1143" t="str">
        <f t="shared" si="141"/>
        <v/>
      </c>
      <c r="E1143" t="str">
        <f t="shared" si="142"/>
        <v/>
      </c>
      <c r="F1143" s="68" t="s">
        <v>4289</v>
      </c>
      <c r="G1143">
        <f>'IPTV CA'!A1134</f>
        <v>0</v>
      </c>
      <c r="H1143" t="str">
        <f>T('IPTV CA'!B1134)</f>
        <v/>
      </c>
      <c r="I1143" t="s">
        <v>4290</v>
      </c>
      <c r="J1143" t="str">
        <f t="shared" si="143"/>
        <v/>
      </c>
      <c r="K1143" t="str">
        <f t="shared" si="148"/>
        <v/>
      </c>
      <c r="L1143" s="69"/>
      <c r="M1143">
        <f>'TMIS US'!A1134</f>
        <v>0</v>
      </c>
      <c r="N1143" t="str">
        <f>T('TMIS US'!B1134)</f>
        <v/>
      </c>
      <c r="O1143" t="s">
        <v>4290</v>
      </c>
      <c r="P1143" t="str">
        <f t="shared" si="144"/>
        <v/>
      </c>
      <c r="Q1143" t="str">
        <f t="shared" si="145"/>
        <v/>
      </c>
      <c r="R1143" s="69"/>
      <c r="S1143">
        <f>'TMIS CA'!A1134</f>
        <v>0</v>
      </c>
      <c r="T1143" t="str">
        <f>T('TMIS CA'!B1134)</f>
        <v/>
      </c>
      <c r="U1143" t="s">
        <v>4290</v>
      </c>
      <c r="V1143" t="str">
        <f t="shared" si="147"/>
        <v/>
      </c>
      <c r="W1143" t="str">
        <f t="shared" si="146"/>
        <v/>
      </c>
    </row>
    <row r="1144" spans="1:23">
      <c r="A1144">
        <f>'IPTV US'!A1135</f>
        <v>0</v>
      </c>
      <c r="B1144" t="str">
        <f>T('IPTV US'!B1135)</f>
        <v/>
      </c>
      <c r="C1144" t="s">
        <v>4290</v>
      </c>
      <c r="D1144" t="str">
        <f t="shared" si="141"/>
        <v/>
      </c>
      <c r="E1144" t="str">
        <f t="shared" si="142"/>
        <v/>
      </c>
      <c r="F1144" s="68" t="s">
        <v>4289</v>
      </c>
      <c r="G1144">
        <f>'IPTV CA'!A1135</f>
        <v>0</v>
      </c>
      <c r="H1144" t="str">
        <f>T('IPTV CA'!B1135)</f>
        <v/>
      </c>
      <c r="I1144" t="s">
        <v>4290</v>
      </c>
      <c r="J1144" t="str">
        <f t="shared" si="143"/>
        <v/>
      </c>
      <c r="K1144" t="str">
        <f t="shared" si="148"/>
        <v/>
      </c>
      <c r="L1144" s="69"/>
      <c r="M1144">
        <f>'TMIS US'!A1135</f>
        <v>0</v>
      </c>
      <c r="N1144" t="str">
        <f>T('TMIS US'!B1135)</f>
        <v/>
      </c>
      <c r="O1144" t="s">
        <v>4290</v>
      </c>
      <c r="P1144" t="str">
        <f t="shared" si="144"/>
        <v/>
      </c>
      <c r="Q1144" t="str">
        <f t="shared" si="145"/>
        <v/>
      </c>
      <c r="R1144" s="69"/>
      <c r="S1144">
        <f>'TMIS CA'!A1135</f>
        <v>0</v>
      </c>
      <c r="T1144" t="str">
        <f>T('TMIS CA'!B1135)</f>
        <v/>
      </c>
      <c r="U1144" t="s">
        <v>4290</v>
      </c>
      <c r="V1144" t="str">
        <f t="shared" si="147"/>
        <v/>
      </c>
      <c r="W1144" t="str">
        <f t="shared" si="146"/>
        <v/>
      </c>
    </row>
    <row r="1145" spans="1:23">
      <c r="A1145">
        <f>'IPTV US'!A1136</f>
        <v>0</v>
      </c>
      <c r="B1145" t="str">
        <f>T('IPTV US'!B1136)</f>
        <v/>
      </c>
      <c r="C1145" t="s">
        <v>4290</v>
      </c>
      <c r="D1145" t="str">
        <f t="shared" si="141"/>
        <v/>
      </c>
      <c r="E1145" t="str">
        <f t="shared" si="142"/>
        <v/>
      </c>
      <c r="F1145" s="68" t="s">
        <v>4289</v>
      </c>
      <c r="G1145">
        <f>'IPTV CA'!A1136</f>
        <v>0</v>
      </c>
      <c r="H1145" t="str">
        <f>T('IPTV CA'!B1136)</f>
        <v/>
      </c>
      <c r="I1145" t="s">
        <v>4290</v>
      </c>
      <c r="J1145" t="str">
        <f t="shared" si="143"/>
        <v/>
      </c>
      <c r="K1145" t="str">
        <f t="shared" si="148"/>
        <v/>
      </c>
      <c r="L1145" s="69"/>
      <c r="M1145">
        <f>'TMIS US'!A1136</f>
        <v>0</v>
      </c>
      <c r="N1145" t="str">
        <f>T('TMIS US'!B1136)</f>
        <v/>
      </c>
      <c r="O1145" t="s">
        <v>4290</v>
      </c>
      <c r="P1145" t="str">
        <f t="shared" si="144"/>
        <v/>
      </c>
      <c r="Q1145" t="str">
        <f t="shared" si="145"/>
        <v/>
      </c>
      <c r="R1145" s="69"/>
      <c r="S1145">
        <f>'TMIS CA'!A1136</f>
        <v>0</v>
      </c>
      <c r="T1145" t="str">
        <f>T('TMIS CA'!B1136)</f>
        <v/>
      </c>
      <c r="U1145" t="s">
        <v>4290</v>
      </c>
      <c r="V1145" t="str">
        <f t="shared" si="147"/>
        <v/>
      </c>
      <c r="W1145" t="str">
        <f t="shared" si="146"/>
        <v/>
      </c>
    </row>
    <row r="1146" spans="1:23">
      <c r="A1146">
        <f>'IPTV US'!A1137</f>
        <v>0</v>
      </c>
      <c r="B1146" t="str">
        <f>T('IPTV US'!B1137)</f>
        <v/>
      </c>
      <c r="C1146" t="s">
        <v>4290</v>
      </c>
      <c r="D1146" t="str">
        <f t="shared" si="141"/>
        <v/>
      </c>
      <c r="E1146" t="str">
        <f t="shared" si="142"/>
        <v/>
      </c>
      <c r="F1146" s="68" t="s">
        <v>4289</v>
      </c>
      <c r="G1146">
        <f>'IPTV CA'!A1137</f>
        <v>0</v>
      </c>
      <c r="H1146" t="str">
        <f>T('IPTV CA'!B1137)</f>
        <v/>
      </c>
      <c r="I1146" t="s">
        <v>4290</v>
      </c>
      <c r="J1146" t="str">
        <f t="shared" si="143"/>
        <v/>
      </c>
      <c r="K1146" t="str">
        <f t="shared" si="148"/>
        <v/>
      </c>
      <c r="L1146" s="69"/>
      <c r="M1146">
        <f>'TMIS US'!A1137</f>
        <v>0</v>
      </c>
      <c r="N1146" t="str">
        <f>T('TMIS US'!B1137)</f>
        <v/>
      </c>
      <c r="O1146" t="s">
        <v>4290</v>
      </c>
      <c r="P1146" t="str">
        <f t="shared" si="144"/>
        <v/>
      </c>
      <c r="Q1146" t="str">
        <f t="shared" si="145"/>
        <v/>
      </c>
      <c r="R1146" s="69"/>
      <c r="S1146">
        <f>'TMIS CA'!A1137</f>
        <v>0</v>
      </c>
      <c r="T1146" t="str">
        <f>T('TMIS CA'!B1137)</f>
        <v/>
      </c>
      <c r="U1146" t="s">
        <v>4290</v>
      </c>
      <c r="V1146" t="str">
        <f t="shared" si="147"/>
        <v/>
      </c>
      <c r="W1146" t="str">
        <f t="shared" si="146"/>
        <v/>
      </c>
    </row>
    <row r="1147" spans="1:23">
      <c r="A1147">
        <f>'IPTV US'!A1138</f>
        <v>0</v>
      </c>
      <c r="B1147" t="str">
        <f>T('IPTV US'!B1138)</f>
        <v/>
      </c>
      <c r="C1147" t="s">
        <v>4290</v>
      </c>
      <c r="D1147" t="str">
        <f t="shared" si="141"/>
        <v/>
      </c>
      <c r="E1147" t="str">
        <f t="shared" si="142"/>
        <v/>
      </c>
      <c r="F1147" s="68" t="s">
        <v>4289</v>
      </c>
      <c r="G1147">
        <f>'IPTV CA'!A1138</f>
        <v>0</v>
      </c>
      <c r="H1147" t="str">
        <f>T('IPTV CA'!B1138)</f>
        <v/>
      </c>
      <c r="I1147" t="s">
        <v>4290</v>
      </c>
      <c r="J1147" t="str">
        <f t="shared" si="143"/>
        <v/>
      </c>
      <c r="K1147" t="str">
        <f t="shared" si="148"/>
        <v/>
      </c>
      <c r="L1147" s="69"/>
      <c r="M1147">
        <f>'TMIS US'!A1138</f>
        <v>0</v>
      </c>
      <c r="N1147" t="str">
        <f>T('TMIS US'!B1138)</f>
        <v/>
      </c>
      <c r="O1147" t="s">
        <v>4290</v>
      </c>
      <c r="P1147" t="str">
        <f t="shared" si="144"/>
        <v/>
      </c>
      <c r="Q1147" t="str">
        <f t="shared" si="145"/>
        <v/>
      </c>
      <c r="R1147" s="69"/>
      <c r="S1147">
        <f>'TMIS CA'!A1138</f>
        <v>0</v>
      </c>
      <c r="T1147" t="str">
        <f>T('TMIS CA'!B1138)</f>
        <v/>
      </c>
      <c r="U1147" t="s">
        <v>4290</v>
      </c>
      <c r="V1147" t="str">
        <f t="shared" si="147"/>
        <v/>
      </c>
      <c r="W1147" t="str">
        <f t="shared" si="146"/>
        <v/>
      </c>
    </row>
    <row r="1148" spans="1:23">
      <c r="A1148">
        <f>'IPTV US'!A1139</f>
        <v>0</v>
      </c>
      <c r="B1148" t="str">
        <f>T('IPTV US'!B1139)</f>
        <v/>
      </c>
      <c r="C1148" t="s">
        <v>4290</v>
      </c>
      <c r="D1148" t="str">
        <f t="shared" si="141"/>
        <v/>
      </c>
      <c r="E1148" t="str">
        <f t="shared" si="142"/>
        <v/>
      </c>
      <c r="F1148" s="68" t="s">
        <v>4289</v>
      </c>
      <c r="G1148">
        <f>'IPTV CA'!A1139</f>
        <v>0</v>
      </c>
      <c r="H1148" t="str">
        <f>T('IPTV CA'!B1139)</f>
        <v/>
      </c>
      <c r="I1148" t="s">
        <v>4290</v>
      </c>
      <c r="J1148" t="str">
        <f t="shared" si="143"/>
        <v/>
      </c>
      <c r="K1148" t="str">
        <f t="shared" si="148"/>
        <v/>
      </c>
      <c r="L1148" s="69"/>
      <c r="M1148">
        <f>'TMIS US'!A1139</f>
        <v>0</v>
      </c>
      <c r="N1148" t="str">
        <f>T('TMIS US'!B1139)</f>
        <v/>
      </c>
      <c r="O1148" t="s">
        <v>4290</v>
      </c>
      <c r="P1148" t="str">
        <f t="shared" si="144"/>
        <v/>
      </c>
      <c r="Q1148" t="str">
        <f t="shared" si="145"/>
        <v/>
      </c>
      <c r="R1148" s="69"/>
      <c r="S1148">
        <f>'TMIS CA'!A1139</f>
        <v>0</v>
      </c>
      <c r="T1148" t="str">
        <f>T('TMIS CA'!B1139)</f>
        <v/>
      </c>
      <c r="U1148" t="s">
        <v>4290</v>
      </c>
      <c r="V1148" t="str">
        <f t="shared" si="147"/>
        <v/>
      </c>
      <c r="W1148" t="str">
        <f t="shared" si="146"/>
        <v/>
      </c>
    </row>
    <row r="1149" spans="1:23">
      <c r="A1149">
        <f>'IPTV US'!A1140</f>
        <v>0</v>
      </c>
      <c r="B1149" t="str">
        <f>T('IPTV US'!B1140)</f>
        <v/>
      </c>
      <c r="C1149" t="s">
        <v>4290</v>
      </c>
      <c r="D1149" t="str">
        <f t="shared" si="141"/>
        <v/>
      </c>
      <c r="E1149" t="str">
        <f t="shared" si="142"/>
        <v/>
      </c>
      <c r="F1149" s="68" t="s">
        <v>4289</v>
      </c>
      <c r="G1149">
        <f>'IPTV CA'!A1140</f>
        <v>0</v>
      </c>
      <c r="H1149" t="str">
        <f>T('IPTV CA'!B1140)</f>
        <v/>
      </c>
      <c r="I1149" t="s">
        <v>4290</v>
      </c>
      <c r="J1149" t="str">
        <f t="shared" si="143"/>
        <v/>
      </c>
      <c r="K1149" t="str">
        <f t="shared" si="148"/>
        <v/>
      </c>
      <c r="L1149" s="69"/>
      <c r="M1149">
        <f>'TMIS US'!A1140</f>
        <v>0</v>
      </c>
      <c r="N1149" t="str">
        <f>T('TMIS US'!B1140)</f>
        <v/>
      </c>
      <c r="O1149" t="s">
        <v>4290</v>
      </c>
      <c r="P1149" t="str">
        <f t="shared" si="144"/>
        <v/>
      </c>
      <c r="Q1149" t="str">
        <f t="shared" si="145"/>
        <v/>
      </c>
      <c r="R1149" s="69"/>
      <c r="S1149">
        <f>'TMIS CA'!A1140</f>
        <v>0</v>
      </c>
      <c r="T1149" t="str">
        <f>T('TMIS CA'!B1140)</f>
        <v/>
      </c>
      <c r="U1149" t="s">
        <v>4290</v>
      </c>
      <c r="V1149" t="str">
        <f t="shared" si="147"/>
        <v/>
      </c>
      <c r="W1149" t="str">
        <f t="shared" si="146"/>
        <v/>
      </c>
    </row>
    <row r="1150" spans="1:23">
      <c r="A1150">
        <f>'IPTV US'!A1141</f>
        <v>0</v>
      </c>
      <c r="B1150" t="str">
        <f>T('IPTV US'!B1141)</f>
        <v/>
      </c>
      <c r="C1150" t="s">
        <v>4290</v>
      </c>
      <c r="D1150" t="str">
        <f t="shared" si="141"/>
        <v/>
      </c>
      <c r="E1150" t="str">
        <f t="shared" si="142"/>
        <v/>
      </c>
      <c r="F1150" s="68" t="s">
        <v>4289</v>
      </c>
      <c r="G1150">
        <f>'IPTV CA'!A1141</f>
        <v>0</v>
      </c>
      <c r="H1150" t="str">
        <f>T('IPTV CA'!B1141)</f>
        <v/>
      </c>
      <c r="I1150" t="s">
        <v>4290</v>
      </c>
      <c r="J1150" t="str">
        <f t="shared" si="143"/>
        <v/>
      </c>
      <c r="K1150" t="str">
        <f t="shared" si="148"/>
        <v/>
      </c>
      <c r="L1150" s="69"/>
      <c r="M1150">
        <f>'TMIS US'!A1141</f>
        <v>0</v>
      </c>
      <c r="N1150" t="str">
        <f>T('TMIS US'!B1141)</f>
        <v/>
      </c>
      <c r="O1150" t="s">
        <v>4290</v>
      </c>
      <c r="P1150" t="str">
        <f t="shared" si="144"/>
        <v/>
      </c>
      <c r="Q1150" t="str">
        <f t="shared" si="145"/>
        <v/>
      </c>
      <c r="R1150" s="69"/>
      <c r="S1150">
        <f>'TMIS CA'!A1141</f>
        <v>0</v>
      </c>
      <c r="T1150" t="str">
        <f>T('TMIS CA'!B1141)</f>
        <v/>
      </c>
      <c r="U1150" t="s">
        <v>4290</v>
      </c>
      <c r="V1150" t="str">
        <f t="shared" si="147"/>
        <v/>
      </c>
      <c r="W1150" t="str">
        <f t="shared" si="146"/>
        <v/>
      </c>
    </row>
    <row r="1151" spans="1:23">
      <c r="A1151">
        <f>'IPTV US'!A1142</f>
        <v>0</v>
      </c>
      <c r="B1151" t="str">
        <f>T('IPTV US'!B1142)</f>
        <v/>
      </c>
      <c r="C1151" t="s">
        <v>4290</v>
      </c>
      <c r="D1151" t="str">
        <f t="shared" si="141"/>
        <v/>
      </c>
      <c r="E1151" t="str">
        <f t="shared" si="142"/>
        <v/>
      </c>
      <c r="F1151" s="68" t="s">
        <v>4289</v>
      </c>
      <c r="G1151">
        <f>'IPTV CA'!A1142</f>
        <v>0</v>
      </c>
      <c r="H1151" t="str">
        <f>T('IPTV CA'!B1142)</f>
        <v/>
      </c>
      <c r="I1151" t="s">
        <v>4290</v>
      </c>
      <c r="J1151" t="str">
        <f t="shared" si="143"/>
        <v/>
      </c>
      <c r="K1151" t="str">
        <f t="shared" si="148"/>
        <v/>
      </c>
      <c r="L1151" s="69"/>
      <c r="M1151">
        <f>'TMIS US'!A1142</f>
        <v>0</v>
      </c>
      <c r="N1151" t="str">
        <f>T('TMIS US'!B1142)</f>
        <v/>
      </c>
      <c r="O1151" t="s">
        <v>4290</v>
      </c>
      <c r="P1151" t="str">
        <f t="shared" si="144"/>
        <v/>
      </c>
      <c r="Q1151" t="str">
        <f t="shared" si="145"/>
        <v/>
      </c>
      <c r="R1151" s="69"/>
      <c r="S1151">
        <f>'TMIS CA'!A1142</f>
        <v>0</v>
      </c>
      <c r="T1151" t="str">
        <f>T('TMIS CA'!B1142)</f>
        <v/>
      </c>
      <c r="U1151" t="s">
        <v>4290</v>
      </c>
      <c r="V1151" t="str">
        <f t="shared" si="147"/>
        <v/>
      </c>
      <c r="W1151" t="str">
        <f t="shared" si="146"/>
        <v/>
      </c>
    </row>
    <row r="1152" spans="1:23">
      <c r="A1152">
        <f>'IPTV US'!A1143</f>
        <v>0</v>
      </c>
      <c r="B1152" t="str">
        <f>T('IPTV US'!B1143)</f>
        <v/>
      </c>
      <c r="C1152" t="s">
        <v>4290</v>
      </c>
      <c r="D1152" t="str">
        <f t="shared" si="141"/>
        <v/>
      </c>
      <c r="E1152" t="str">
        <f t="shared" si="142"/>
        <v/>
      </c>
      <c r="F1152" s="68" t="s">
        <v>4289</v>
      </c>
      <c r="G1152">
        <f>'IPTV CA'!A1143</f>
        <v>0</v>
      </c>
      <c r="H1152" t="str">
        <f>T('IPTV CA'!B1143)</f>
        <v/>
      </c>
      <c r="I1152" t="s">
        <v>4290</v>
      </c>
      <c r="J1152" t="str">
        <f t="shared" si="143"/>
        <v/>
      </c>
      <c r="K1152" t="str">
        <f t="shared" si="148"/>
        <v/>
      </c>
      <c r="L1152" s="69"/>
      <c r="M1152">
        <f>'TMIS US'!A1143</f>
        <v>0</v>
      </c>
      <c r="N1152" t="str">
        <f>T('TMIS US'!B1143)</f>
        <v/>
      </c>
      <c r="O1152" t="s">
        <v>4290</v>
      </c>
      <c r="P1152" t="str">
        <f t="shared" si="144"/>
        <v/>
      </c>
      <c r="Q1152" t="str">
        <f t="shared" si="145"/>
        <v/>
      </c>
      <c r="R1152" s="69"/>
      <c r="S1152">
        <f>'TMIS CA'!A1143</f>
        <v>0</v>
      </c>
      <c r="T1152" t="str">
        <f>T('TMIS CA'!B1143)</f>
        <v/>
      </c>
      <c r="U1152" t="s">
        <v>4290</v>
      </c>
      <c r="V1152" t="str">
        <f t="shared" si="147"/>
        <v/>
      </c>
      <c r="W1152" t="str">
        <f t="shared" si="146"/>
        <v/>
      </c>
    </row>
    <row r="1153" spans="1:23">
      <c r="A1153">
        <f>'IPTV US'!A1144</f>
        <v>0</v>
      </c>
      <c r="B1153" t="str">
        <f>T('IPTV US'!B1144)</f>
        <v/>
      </c>
      <c r="C1153" t="s">
        <v>4290</v>
      </c>
      <c r="D1153" t="str">
        <f t="shared" si="141"/>
        <v/>
      </c>
      <c r="E1153" t="str">
        <f t="shared" si="142"/>
        <v/>
      </c>
      <c r="F1153" s="68" t="s">
        <v>4289</v>
      </c>
      <c r="G1153">
        <f>'IPTV CA'!A1144</f>
        <v>0</v>
      </c>
      <c r="H1153" t="str">
        <f>T('IPTV CA'!B1144)</f>
        <v/>
      </c>
      <c r="I1153" t="s">
        <v>4290</v>
      </c>
      <c r="J1153" t="str">
        <f t="shared" si="143"/>
        <v/>
      </c>
      <c r="K1153" t="str">
        <f t="shared" si="148"/>
        <v/>
      </c>
      <c r="L1153" s="69"/>
      <c r="M1153">
        <f>'TMIS US'!A1144</f>
        <v>0</v>
      </c>
      <c r="N1153" t="str">
        <f>T('TMIS US'!B1144)</f>
        <v/>
      </c>
      <c r="O1153" t="s">
        <v>4290</v>
      </c>
      <c r="P1153" t="str">
        <f t="shared" si="144"/>
        <v/>
      </c>
      <c r="Q1153" t="str">
        <f t="shared" si="145"/>
        <v/>
      </c>
      <c r="R1153" s="69"/>
      <c r="S1153">
        <f>'TMIS CA'!A1144</f>
        <v>0</v>
      </c>
      <c r="T1153" t="str">
        <f>T('TMIS CA'!B1144)</f>
        <v/>
      </c>
      <c r="U1153" t="s">
        <v>4290</v>
      </c>
      <c r="V1153" t="str">
        <f t="shared" si="147"/>
        <v/>
      </c>
      <c r="W1153" t="str">
        <f t="shared" si="146"/>
        <v/>
      </c>
    </row>
    <row r="1154" spans="1:23">
      <c r="A1154">
        <f>'IPTV US'!A1145</f>
        <v>0</v>
      </c>
      <c r="B1154" t="str">
        <f>T('IPTV US'!B1145)</f>
        <v/>
      </c>
      <c r="C1154" t="s">
        <v>4290</v>
      </c>
      <c r="D1154" t="str">
        <f t="shared" si="141"/>
        <v/>
      </c>
      <c r="E1154" t="str">
        <f t="shared" si="142"/>
        <v/>
      </c>
      <c r="F1154" s="68" t="s">
        <v>4289</v>
      </c>
      <c r="G1154">
        <f>'IPTV CA'!A1145</f>
        <v>0</v>
      </c>
      <c r="H1154" t="str">
        <f>T('IPTV CA'!B1145)</f>
        <v/>
      </c>
      <c r="I1154" t="s">
        <v>4290</v>
      </c>
      <c r="J1154" t="str">
        <f t="shared" si="143"/>
        <v/>
      </c>
      <c r="K1154" t="str">
        <f t="shared" si="148"/>
        <v/>
      </c>
      <c r="L1154" s="69"/>
      <c r="M1154">
        <f>'TMIS US'!A1145</f>
        <v>0</v>
      </c>
      <c r="N1154" t="str">
        <f>T('TMIS US'!B1145)</f>
        <v/>
      </c>
      <c r="O1154" t="s">
        <v>4290</v>
      </c>
      <c r="P1154" t="str">
        <f t="shared" si="144"/>
        <v/>
      </c>
      <c r="Q1154" t="str">
        <f t="shared" si="145"/>
        <v/>
      </c>
      <c r="R1154" s="69"/>
      <c r="S1154">
        <f>'TMIS CA'!A1145</f>
        <v>0</v>
      </c>
      <c r="T1154" t="str">
        <f>T('TMIS CA'!B1145)</f>
        <v/>
      </c>
      <c r="U1154" t="s">
        <v>4290</v>
      </c>
      <c r="V1154" t="str">
        <f t="shared" si="147"/>
        <v/>
      </c>
      <c r="W1154" t="str">
        <f t="shared" si="146"/>
        <v/>
      </c>
    </row>
    <row r="1155" spans="1:23">
      <c r="A1155">
        <f>'IPTV US'!A1146</f>
        <v>0</v>
      </c>
      <c r="B1155" t="str">
        <f>T('IPTV US'!B1146)</f>
        <v/>
      </c>
      <c r="C1155" t="s">
        <v>4290</v>
      </c>
      <c r="D1155" t="str">
        <f t="shared" si="141"/>
        <v/>
      </c>
      <c r="E1155" t="str">
        <f t="shared" si="142"/>
        <v/>
      </c>
      <c r="F1155" s="68" t="s">
        <v>4289</v>
      </c>
      <c r="G1155">
        <f>'IPTV CA'!A1146</f>
        <v>0</v>
      </c>
      <c r="H1155" t="str">
        <f>T('IPTV CA'!B1146)</f>
        <v/>
      </c>
      <c r="I1155" t="s">
        <v>4290</v>
      </c>
      <c r="J1155" t="str">
        <f t="shared" si="143"/>
        <v/>
      </c>
      <c r="K1155" t="str">
        <f t="shared" si="148"/>
        <v/>
      </c>
      <c r="L1155" s="69"/>
      <c r="M1155">
        <f>'TMIS US'!A1146</f>
        <v>0</v>
      </c>
      <c r="N1155" t="str">
        <f>T('TMIS US'!B1146)</f>
        <v/>
      </c>
      <c r="O1155" t="s">
        <v>4290</v>
      </c>
      <c r="P1155" t="str">
        <f t="shared" si="144"/>
        <v/>
      </c>
      <c r="Q1155" t="str">
        <f t="shared" si="145"/>
        <v/>
      </c>
      <c r="R1155" s="69"/>
      <c r="S1155">
        <f>'TMIS CA'!A1146</f>
        <v>0</v>
      </c>
      <c r="T1155" t="str">
        <f>T('TMIS CA'!B1146)</f>
        <v/>
      </c>
      <c r="U1155" t="s">
        <v>4290</v>
      </c>
      <c r="V1155" t="str">
        <f t="shared" si="147"/>
        <v/>
      </c>
      <c r="W1155" t="str">
        <f t="shared" si="146"/>
        <v/>
      </c>
    </row>
    <row r="1156" spans="1:23">
      <c r="A1156">
        <f>'IPTV US'!A1147</f>
        <v>0</v>
      </c>
      <c r="B1156" t="str">
        <f>T('IPTV US'!B1147)</f>
        <v/>
      </c>
      <c r="C1156" t="s">
        <v>4290</v>
      </c>
      <c r="D1156" t="str">
        <f t="shared" si="141"/>
        <v/>
      </c>
      <c r="E1156" t="str">
        <f t="shared" si="142"/>
        <v/>
      </c>
      <c r="F1156" s="68" t="s">
        <v>4289</v>
      </c>
      <c r="G1156">
        <f>'IPTV CA'!A1147</f>
        <v>0</v>
      </c>
      <c r="H1156" t="str">
        <f>T('IPTV CA'!B1147)</f>
        <v/>
      </c>
      <c r="I1156" t="s">
        <v>4290</v>
      </c>
      <c r="J1156" t="str">
        <f t="shared" si="143"/>
        <v/>
      </c>
      <c r="K1156" t="str">
        <f t="shared" si="148"/>
        <v/>
      </c>
      <c r="L1156" s="69"/>
      <c r="M1156">
        <f>'TMIS US'!A1147</f>
        <v>0</v>
      </c>
      <c r="N1156" t="str">
        <f>T('TMIS US'!B1147)</f>
        <v/>
      </c>
      <c r="O1156" t="s">
        <v>4290</v>
      </c>
      <c r="P1156" t="str">
        <f t="shared" si="144"/>
        <v/>
      </c>
      <c r="Q1156" t="str">
        <f t="shared" si="145"/>
        <v/>
      </c>
      <c r="R1156" s="69"/>
      <c r="S1156">
        <f>'TMIS CA'!A1147</f>
        <v>0</v>
      </c>
      <c r="T1156" t="str">
        <f>T('TMIS CA'!B1147)</f>
        <v/>
      </c>
      <c r="U1156" t="s">
        <v>4290</v>
      </c>
      <c r="V1156" t="str">
        <f t="shared" si="147"/>
        <v/>
      </c>
      <c r="W1156" t="str">
        <f t="shared" si="146"/>
        <v/>
      </c>
    </row>
    <row r="1157" spans="1:23">
      <c r="A1157">
        <f>'IPTV US'!A1148</f>
        <v>0</v>
      </c>
      <c r="B1157" t="str">
        <f>T('IPTV US'!B1148)</f>
        <v/>
      </c>
      <c r="C1157" t="s">
        <v>4290</v>
      </c>
      <c r="D1157" t="str">
        <f t="shared" si="141"/>
        <v/>
      </c>
      <c r="E1157" t="str">
        <f t="shared" si="142"/>
        <v/>
      </c>
      <c r="F1157" s="68" t="s">
        <v>4289</v>
      </c>
      <c r="G1157">
        <f>'IPTV CA'!A1148</f>
        <v>0</v>
      </c>
      <c r="H1157" t="str">
        <f>T('IPTV CA'!B1148)</f>
        <v/>
      </c>
      <c r="I1157" t="s">
        <v>4290</v>
      </c>
      <c r="J1157" t="str">
        <f t="shared" si="143"/>
        <v/>
      </c>
      <c r="K1157" t="str">
        <f t="shared" si="148"/>
        <v/>
      </c>
      <c r="L1157" s="69"/>
      <c r="M1157">
        <f>'TMIS US'!A1148</f>
        <v>0</v>
      </c>
      <c r="N1157" t="str">
        <f>T('TMIS US'!B1148)</f>
        <v/>
      </c>
      <c r="O1157" t="s">
        <v>4290</v>
      </c>
      <c r="P1157" t="str">
        <f t="shared" si="144"/>
        <v/>
      </c>
      <c r="Q1157" t="str">
        <f t="shared" si="145"/>
        <v/>
      </c>
      <c r="R1157" s="69"/>
      <c r="S1157">
        <f>'TMIS CA'!A1148</f>
        <v>0</v>
      </c>
      <c r="T1157" t="str">
        <f>T('TMIS CA'!B1148)</f>
        <v/>
      </c>
      <c r="U1157" t="s">
        <v>4290</v>
      </c>
      <c r="V1157" t="str">
        <f t="shared" si="147"/>
        <v/>
      </c>
      <c r="W1157" t="str">
        <f t="shared" si="146"/>
        <v/>
      </c>
    </row>
    <row r="1158" spans="1:23">
      <c r="A1158">
        <f>'IPTV US'!A1149</f>
        <v>0</v>
      </c>
      <c r="B1158" t="str">
        <f>T('IPTV US'!B1149)</f>
        <v/>
      </c>
      <c r="C1158" t="s">
        <v>4290</v>
      </c>
      <c r="D1158" t="str">
        <f t="shared" si="141"/>
        <v/>
      </c>
      <c r="E1158" t="str">
        <f t="shared" si="142"/>
        <v/>
      </c>
      <c r="F1158" s="68" t="s">
        <v>4289</v>
      </c>
      <c r="G1158">
        <f>'IPTV CA'!A1149</f>
        <v>0</v>
      </c>
      <c r="H1158" t="str">
        <f>T('IPTV CA'!B1149)</f>
        <v/>
      </c>
      <c r="I1158" t="s">
        <v>4290</v>
      </c>
      <c r="J1158" t="str">
        <f t="shared" si="143"/>
        <v/>
      </c>
      <c r="K1158" t="str">
        <f t="shared" si="148"/>
        <v/>
      </c>
      <c r="L1158" s="69"/>
      <c r="M1158">
        <f>'TMIS US'!A1149</f>
        <v>0</v>
      </c>
      <c r="N1158" t="str">
        <f>T('TMIS US'!B1149)</f>
        <v/>
      </c>
      <c r="O1158" t="s">
        <v>4290</v>
      </c>
      <c r="P1158" t="str">
        <f t="shared" si="144"/>
        <v/>
      </c>
      <c r="Q1158" t="str">
        <f t="shared" si="145"/>
        <v/>
      </c>
      <c r="R1158" s="69"/>
      <c r="S1158">
        <f>'TMIS CA'!A1149</f>
        <v>0</v>
      </c>
      <c r="T1158" t="str">
        <f>T('TMIS CA'!B1149)</f>
        <v/>
      </c>
      <c r="U1158" t="s">
        <v>4290</v>
      </c>
      <c r="V1158" t="str">
        <f t="shared" si="147"/>
        <v/>
      </c>
      <c r="W1158" t="str">
        <f t="shared" si="146"/>
        <v/>
      </c>
    </row>
    <row r="1159" spans="1:23">
      <c r="A1159">
        <f>'IPTV US'!A1150</f>
        <v>0</v>
      </c>
      <c r="B1159" t="str">
        <f>T('IPTV US'!B1150)</f>
        <v/>
      </c>
      <c r="C1159" t="s">
        <v>4290</v>
      </c>
      <c r="D1159" t="str">
        <f t="shared" si="141"/>
        <v/>
      </c>
      <c r="E1159" t="str">
        <f t="shared" si="142"/>
        <v/>
      </c>
      <c r="F1159" s="68" t="s">
        <v>4289</v>
      </c>
      <c r="G1159">
        <f>'IPTV CA'!A1150</f>
        <v>0</v>
      </c>
      <c r="H1159" t="str">
        <f>T('IPTV CA'!B1150)</f>
        <v/>
      </c>
      <c r="I1159" t="s">
        <v>4290</v>
      </c>
      <c r="J1159" t="str">
        <f t="shared" si="143"/>
        <v/>
      </c>
      <c r="K1159" t="str">
        <f t="shared" si="148"/>
        <v/>
      </c>
      <c r="L1159" s="69"/>
      <c r="M1159">
        <f>'TMIS US'!A1150</f>
        <v>0</v>
      </c>
      <c r="N1159" t="str">
        <f>T('TMIS US'!B1150)</f>
        <v/>
      </c>
      <c r="O1159" t="s">
        <v>4290</v>
      </c>
      <c r="P1159" t="str">
        <f t="shared" si="144"/>
        <v/>
      </c>
      <c r="Q1159" t="str">
        <f t="shared" si="145"/>
        <v/>
      </c>
      <c r="R1159" s="69"/>
      <c r="S1159">
        <f>'TMIS CA'!A1150</f>
        <v>0</v>
      </c>
      <c r="T1159" t="str">
        <f>T('TMIS CA'!B1150)</f>
        <v/>
      </c>
      <c r="U1159" t="s">
        <v>4290</v>
      </c>
      <c r="V1159" t="str">
        <f t="shared" si="147"/>
        <v/>
      </c>
      <c r="W1159" t="str">
        <f t="shared" si="146"/>
        <v/>
      </c>
    </row>
    <row r="1160" spans="1:23">
      <c r="A1160">
        <f>'IPTV US'!A1151</f>
        <v>0</v>
      </c>
      <c r="B1160" t="str">
        <f>T('IPTV US'!B1151)</f>
        <v/>
      </c>
      <c r="C1160" t="s">
        <v>4290</v>
      </c>
      <c r="D1160" t="str">
        <f t="shared" si="141"/>
        <v/>
      </c>
      <c r="E1160" t="str">
        <f t="shared" si="142"/>
        <v/>
      </c>
      <c r="F1160" s="68" t="s">
        <v>4289</v>
      </c>
      <c r="G1160">
        <f>'IPTV CA'!A1151</f>
        <v>0</v>
      </c>
      <c r="H1160" t="str">
        <f>T('IPTV CA'!B1151)</f>
        <v/>
      </c>
      <c r="I1160" t="s">
        <v>4290</v>
      </c>
      <c r="J1160" t="str">
        <f t="shared" si="143"/>
        <v/>
      </c>
      <c r="K1160" t="str">
        <f t="shared" si="148"/>
        <v/>
      </c>
      <c r="L1160" s="69"/>
      <c r="M1160">
        <f>'TMIS US'!A1151</f>
        <v>0</v>
      </c>
      <c r="N1160" t="str">
        <f>T('TMIS US'!B1151)</f>
        <v/>
      </c>
      <c r="O1160" t="s">
        <v>4290</v>
      </c>
      <c r="P1160" t="str">
        <f t="shared" si="144"/>
        <v/>
      </c>
      <c r="Q1160" t="str">
        <f t="shared" si="145"/>
        <v/>
      </c>
      <c r="R1160" s="69"/>
      <c r="S1160">
        <f>'TMIS CA'!A1151</f>
        <v>0</v>
      </c>
      <c r="T1160" t="str">
        <f>T('TMIS CA'!B1151)</f>
        <v/>
      </c>
      <c r="U1160" t="s">
        <v>4290</v>
      </c>
      <c r="V1160" t="str">
        <f t="shared" si="147"/>
        <v/>
      </c>
      <c r="W1160" t="str">
        <f t="shared" si="146"/>
        <v/>
      </c>
    </row>
    <row r="1161" spans="1:23">
      <c r="A1161">
        <f>'IPTV US'!A1152</f>
        <v>0</v>
      </c>
      <c r="B1161" t="str">
        <f>T('IPTV US'!B1152)</f>
        <v/>
      </c>
      <c r="C1161" t="s">
        <v>4290</v>
      </c>
      <c r="D1161" t="str">
        <f t="shared" si="141"/>
        <v/>
      </c>
      <c r="E1161" t="str">
        <f t="shared" si="142"/>
        <v/>
      </c>
      <c r="F1161" s="68" t="s">
        <v>4289</v>
      </c>
      <c r="G1161">
        <f>'IPTV CA'!A1152</f>
        <v>0</v>
      </c>
      <c r="H1161" t="str">
        <f>T('IPTV CA'!B1152)</f>
        <v/>
      </c>
      <c r="I1161" t="s">
        <v>4290</v>
      </c>
      <c r="J1161" t="str">
        <f t="shared" si="143"/>
        <v/>
      </c>
      <c r="K1161" t="str">
        <f t="shared" si="148"/>
        <v/>
      </c>
      <c r="L1161" s="69"/>
      <c r="M1161">
        <f>'TMIS US'!A1152</f>
        <v>0</v>
      </c>
      <c r="N1161" t="str">
        <f>T('TMIS US'!B1152)</f>
        <v/>
      </c>
      <c r="O1161" t="s">
        <v>4290</v>
      </c>
      <c r="P1161" t="str">
        <f t="shared" si="144"/>
        <v/>
      </c>
      <c r="Q1161" t="str">
        <f t="shared" si="145"/>
        <v/>
      </c>
      <c r="R1161" s="69"/>
      <c r="S1161">
        <f>'TMIS CA'!A1152</f>
        <v>0</v>
      </c>
      <c r="T1161" t="str">
        <f>T('TMIS CA'!B1152)</f>
        <v/>
      </c>
      <c r="U1161" t="s">
        <v>4290</v>
      </c>
      <c r="V1161" t="str">
        <f t="shared" si="147"/>
        <v/>
      </c>
      <c r="W1161" t="str">
        <f t="shared" si="146"/>
        <v/>
      </c>
    </row>
    <row r="1162" spans="1:23">
      <c r="A1162">
        <f>'IPTV US'!A1153</f>
        <v>0</v>
      </c>
      <c r="B1162" t="str">
        <f>T('IPTV US'!B1153)</f>
        <v/>
      </c>
      <c r="C1162" t="s">
        <v>4290</v>
      </c>
      <c r="D1162" t="str">
        <f t="shared" si="141"/>
        <v/>
      </c>
      <c r="E1162" t="str">
        <f t="shared" si="142"/>
        <v/>
      </c>
      <c r="F1162" s="68" t="s">
        <v>4289</v>
      </c>
      <c r="G1162">
        <f>'IPTV CA'!A1153</f>
        <v>0</v>
      </c>
      <c r="H1162" t="str">
        <f>T('IPTV CA'!B1153)</f>
        <v/>
      </c>
      <c r="I1162" t="s">
        <v>4290</v>
      </c>
      <c r="J1162" t="str">
        <f t="shared" si="143"/>
        <v/>
      </c>
      <c r="K1162" t="str">
        <f t="shared" si="148"/>
        <v/>
      </c>
      <c r="L1162" s="69"/>
      <c r="M1162">
        <f>'TMIS US'!A1153</f>
        <v>0</v>
      </c>
      <c r="N1162" t="str">
        <f>T('TMIS US'!B1153)</f>
        <v/>
      </c>
      <c r="O1162" t="s">
        <v>4290</v>
      </c>
      <c r="P1162" t="str">
        <f t="shared" si="144"/>
        <v/>
      </c>
      <c r="Q1162" t="str">
        <f t="shared" si="145"/>
        <v/>
      </c>
      <c r="R1162" s="69"/>
      <c r="S1162">
        <f>'TMIS CA'!A1153</f>
        <v>0</v>
      </c>
      <c r="T1162" t="str">
        <f>T('TMIS CA'!B1153)</f>
        <v/>
      </c>
      <c r="U1162" t="s">
        <v>4290</v>
      </c>
      <c r="V1162" t="str">
        <f t="shared" si="147"/>
        <v/>
      </c>
      <c r="W1162" t="str">
        <f t="shared" si="146"/>
        <v/>
      </c>
    </row>
    <row r="1163" spans="1:23">
      <c r="A1163">
        <f>'IPTV US'!A1154</f>
        <v>0</v>
      </c>
      <c r="B1163" t="str">
        <f>T('IPTV US'!B1154)</f>
        <v/>
      </c>
      <c r="C1163" t="s">
        <v>4290</v>
      </c>
      <c r="D1163" t="str">
        <f t="shared" ref="D1163:D1226" si="149">IF(C1163="Active",IF(B1163="","Please Notify - Channel Removed",""),"")</f>
        <v/>
      </c>
      <c r="E1163" t="str">
        <f t="shared" ref="E1163:E1226" si="150">IF(C1163="Vacant",IF(B1163="","","Please Notify - Channel Added"),"")</f>
        <v/>
      </c>
      <c r="F1163" s="68" t="s">
        <v>4289</v>
      </c>
      <c r="G1163">
        <f>'IPTV CA'!A1154</f>
        <v>0</v>
      </c>
      <c r="H1163" t="str">
        <f>T('IPTV CA'!B1154)</f>
        <v/>
      </c>
      <c r="I1163" t="s">
        <v>4290</v>
      </c>
      <c r="J1163" t="str">
        <f t="shared" ref="J1163:J1226" si="151">IF(I1163="Active",IF(H1163="","Please Notify - Channel Removed",""),"")</f>
        <v/>
      </c>
      <c r="K1163" t="str">
        <f t="shared" si="148"/>
        <v/>
      </c>
      <c r="L1163" s="69"/>
      <c r="M1163">
        <f>'TMIS US'!A1154</f>
        <v>0</v>
      </c>
      <c r="N1163" t="str">
        <f>T('TMIS US'!B1154)</f>
        <v/>
      </c>
      <c r="O1163" t="s">
        <v>4290</v>
      </c>
      <c r="P1163" t="str">
        <f t="shared" ref="P1163:P1226" si="152">IF(O1163="Active",IF(N1163="","Please Notify - Channel Removed",""),"")</f>
        <v/>
      </c>
      <c r="Q1163" t="str">
        <f t="shared" si="145"/>
        <v/>
      </c>
      <c r="R1163" s="69"/>
      <c r="S1163">
        <f>'TMIS CA'!A1154</f>
        <v>0</v>
      </c>
      <c r="T1163" t="str">
        <f>T('TMIS CA'!B1154)</f>
        <v/>
      </c>
      <c r="U1163" t="s">
        <v>4290</v>
      </c>
      <c r="V1163" t="str">
        <f t="shared" si="147"/>
        <v/>
      </c>
      <c r="W1163" t="str">
        <f t="shared" si="146"/>
        <v/>
      </c>
    </row>
    <row r="1164" spans="1:23">
      <c r="A1164">
        <f>'IPTV US'!A1155</f>
        <v>0</v>
      </c>
      <c r="B1164" t="str">
        <f>T('IPTV US'!B1155)</f>
        <v/>
      </c>
      <c r="C1164" t="s">
        <v>4290</v>
      </c>
      <c r="D1164" t="str">
        <f t="shared" si="149"/>
        <v/>
      </c>
      <c r="E1164" t="str">
        <f t="shared" si="150"/>
        <v/>
      </c>
      <c r="F1164" s="68" t="s">
        <v>4289</v>
      </c>
      <c r="G1164">
        <f>'IPTV CA'!A1155</f>
        <v>0</v>
      </c>
      <c r="H1164" t="str">
        <f>T('IPTV CA'!B1155)</f>
        <v/>
      </c>
      <c r="I1164" t="s">
        <v>4290</v>
      </c>
      <c r="J1164" t="str">
        <f t="shared" si="151"/>
        <v/>
      </c>
      <c r="K1164" t="str">
        <f t="shared" si="148"/>
        <v/>
      </c>
      <c r="L1164" s="69"/>
      <c r="M1164">
        <f>'TMIS US'!A1155</f>
        <v>0</v>
      </c>
      <c r="N1164" t="str">
        <f>T('TMIS US'!B1155)</f>
        <v/>
      </c>
      <c r="O1164" t="s">
        <v>4290</v>
      </c>
      <c r="P1164" t="str">
        <f t="shared" si="152"/>
        <v/>
      </c>
      <c r="Q1164" t="str">
        <f t="shared" ref="Q1164:Q1227" si="153">IF(O1164="Vacant",IF(N1164="","","Please Notify - Channel Added"),"")</f>
        <v/>
      </c>
      <c r="R1164" s="69"/>
      <c r="S1164">
        <f>'TMIS CA'!A1155</f>
        <v>0</v>
      </c>
      <c r="T1164" t="str">
        <f>T('TMIS CA'!B1155)</f>
        <v/>
      </c>
      <c r="U1164" t="s">
        <v>4290</v>
      </c>
      <c r="V1164" t="str">
        <f t="shared" si="147"/>
        <v/>
      </c>
      <c r="W1164" t="str">
        <f t="shared" ref="W1164:W1227" si="154">IF(U1164="Vacant",IF(T1164="","","Please Notify - Channel Added"),"")</f>
        <v/>
      </c>
    </row>
    <row r="1165" spans="1:23">
      <c r="A1165">
        <f>'IPTV US'!A1156</f>
        <v>0</v>
      </c>
      <c r="B1165" t="str">
        <f>T('IPTV US'!B1156)</f>
        <v/>
      </c>
      <c r="C1165" t="s">
        <v>4290</v>
      </c>
      <c r="D1165" t="str">
        <f t="shared" si="149"/>
        <v/>
      </c>
      <c r="E1165" t="str">
        <f t="shared" si="150"/>
        <v/>
      </c>
      <c r="F1165" s="68" t="s">
        <v>4289</v>
      </c>
      <c r="G1165">
        <f>'IPTV CA'!A1156</f>
        <v>0</v>
      </c>
      <c r="H1165" t="str">
        <f>T('IPTV CA'!B1156)</f>
        <v/>
      </c>
      <c r="I1165" t="s">
        <v>4290</v>
      </c>
      <c r="J1165" t="str">
        <f t="shared" si="151"/>
        <v/>
      </c>
      <c r="K1165" t="str">
        <f t="shared" si="148"/>
        <v/>
      </c>
      <c r="L1165" s="69"/>
      <c r="M1165">
        <f>'TMIS US'!A1156</f>
        <v>0</v>
      </c>
      <c r="N1165" t="str">
        <f>T('TMIS US'!B1156)</f>
        <v/>
      </c>
      <c r="O1165" t="s">
        <v>4290</v>
      </c>
      <c r="P1165" t="str">
        <f t="shared" si="152"/>
        <v/>
      </c>
      <c r="Q1165" t="str">
        <f t="shared" si="153"/>
        <v/>
      </c>
      <c r="R1165" s="69"/>
      <c r="S1165">
        <f>'TMIS CA'!A1156</f>
        <v>0</v>
      </c>
      <c r="T1165" t="str">
        <f>T('TMIS CA'!B1156)</f>
        <v/>
      </c>
      <c r="U1165" t="s">
        <v>4290</v>
      </c>
      <c r="V1165" t="str">
        <f t="shared" si="147"/>
        <v/>
      </c>
      <c r="W1165" t="str">
        <f t="shared" si="154"/>
        <v/>
      </c>
    </row>
    <row r="1166" spans="1:23">
      <c r="A1166">
        <f>'IPTV US'!A1157</f>
        <v>0</v>
      </c>
      <c r="B1166" t="str">
        <f>T('IPTV US'!B1157)</f>
        <v/>
      </c>
      <c r="C1166" t="s">
        <v>4290</v>
      </c>
      <c r="D1166" t="str">
        <f t="shared" si="149"/>
        <v/>
      </c>
      <c r="E1166" t="str">
        <f t="shared" si="150"/>
        <v/>
      </c>
      <c r="F1166" s="68" t="s">
        <v>4289</v>
      </c>
      <c r="G1166">
        <f>'IPTV CA'!A1157</f>
        <v>0</v>
      </c>
      <c r="H1166" t="str">
        <f>T('IPTV CA'!B1157)</f>
        <v/>
      </c>
      <c r="I1166" t="s">
        <v>4290</v>
      </c>
      <c r="J1166" t="str">
        <f t="shared" si="151"/>
        <v/>
      </c>
      <c r="K1166" t="str">
        <f t="shared" si="148"/>
        <v/>
      </c>
      <c r="L1166" s="69"/>
      <c r="M1166">
        <f>'TMIS US'!A1157</f>
        <v>0</v>
      </c>
      <c r="N1166" t="str">
        <f>T('TMIS US'!B1157)</f>
        <v/>
      </c>
      <c r="O1166" t="s">
        <v>4290</v>
      </c>
      <c r="P1166" t="str">
        <f t="shared" si="152"/>
        <v/>
      </c>
      <c r="Q1166" t="str">
        <f t="shared" si="153"/>
        <v/>
      </c>
      <c r="R1166" s="69"/>
      <c r="S1166">
        <f>'TMIS CA'!A1157</f>
        <v>0</v>
      </c>
      <c r="T1166" t="str">
        <f>T('TMIS CA'!B1157)</f>
        <v/>
      </c>
      <c r="U1166" t="s">
        <v>4290</v>
      </c>
      <c r="V1166" t="str">
        <f t="shared" ref="V1166:V1229" si="155">IF(U1166="Active",IF(T1166="","Please Notify - Channel Removed",""),"")</f>
        <v/>
      </c>
      <c r="W1166" t="str">
        <f t="shared" si="154"/>
        <v/>
      </c>
    </row>
    <row r="1167" spans="1:23">
      <c r="A1167">
        <f>'IPTV US'!A1158</f>
        <v>0</v>
      </c>
      <c r="B1167" t="str">
        <f>T('IPTV US'!B1158)</f>
        <v/>
      </c>
      <c r="C1167" t="s">
        <v>4290</v>
      </c>
      <c r="D1167" t="str">
        <f t="shared" si="149"/>
        <v/>
      </c>
      <c r="E1167" t="str">
        <f t="shared" si="150"/>
        <v/>
      </c>
      <c r="F1167" s="68" t="s">
        <v>4289</v>
      </c>
      <c r="G1167">
        <f>'IPTV CA'!A1158</f>
        <v>0</v>
      </c>
      <c r="H1167" t="str">
        <f>T('IPTV CA'!B1158)</f>
        <v/>
      </c>
      <c r="I1167" t="s">
        <v>4290</v>
      </c>
      <c r="J1167" t="str">
        <f t="shared" si="151"/>
        <v/>
      </c>
      <c r="K1167" t="str">
        <f t="shared" si="148"/>
        <v/>
      </c>
      <c r="L1167" s="69"/>
      <c r="M1167">
        <f>'TMIS US'!A1158</f>
        <v>0</v>
      </c>
      <c r="N1167" t="str">
        <f>T('TMIS US'!B1158)</f>
        <v/>
      </c>
      <c r="O1167" t="s">
        <v>4290</v>
      </c>
      <c r="P1167" t="str">
        <f t="shared" si="152"/>
        <v/>
      </c>
      <c r="Q1167" t="str">
        <f t="shared" si="153"/>
        <v/>
      </c>
      <c r="R1167" s="69"/>
      <c r="S1167">
        <f>'TMIS CA'!A1158</f>
        <v>0</v>
      </c>
      <c r="T1167" t="str">
        <f>T('TMIS CA'!B1158)</f>
        <v/>
      </c>
      <c r="U1167" t="s">
        <v>4290</v>
      </c>
      <c r="V1167" t="str">
        <f t="shared" si="155"/>
        <v/>
      </c>
      <c r="W1167" t="str">
        <f t="shared" si="154"/>
        <v/>
      </c>
    </row>
    <row r="1168" spans="1:23">
      <c r="A1168">
        <f>'IPTV US'!A1159</f>
        <v>0</v>
      </c>
      <c r="B1168" t="str">
        <f>T('IPTV US'!B1159)</f>
        <v/>
      </c>
      <c r="C1168" t="s">
        <v>4290</v>
      </c>
      <c r="D1168" t="str">
        <f t="shared" si="149"/>
        <v/>
      </c>
      <c r="E1168" t="str">
        <f t="shared" si="150"/>
        <v/>
      </c>
      <c r="F1168" s="68" t="s">
        <v>4289</v>
      </c>
      <c r="G1168">
        <f>'IPTV CA'!A1159</f>
        <v>0</v>
      </c>
      <c r="H1168" t="str">
        <f>T('IPTV CA'!B1159)</f>
        <v/>
      </c>
      <c r="I1168" t="s">
        <v>4290</v>
      </c>
      <c r="J1168" t="str">
        <f t="shared" si="151"/>
        <v/>
      </c>
      <c r="K1168" t="str">
        <f t="shared" si="148"/>
        <v/>
      </c>
      <c r="L1168" s="69"/>
      <c r="M1168">
        <f>'TMIS US'!A1159</f>
        <v>0</v>
      </c>
      <c r="N1168" t="str">
        <f>T('TMIS US'!B1159)</f>
        <v/>
      </c>
      <c r="O1168" t="s">
        <v>4290</v>
      </c>
      <c r="P1168" t="str">
        <f t="shared" si="152"/>
        <v/>
      </c>
      <c r="Q1168" t="str">
        <f t="shared" si="153"/>
        <v/>
      </c>
      <c r="R1168" s="69"/>
      <c r="S1168">
        <f>'TMIS CA'!A1159</f>
        <v>0</v>
      </c>
      <c r="T1168" t="str">
        <f>T('TMIS CA'!B1159)</f>
        <v/>
      </c>
      <c r="U1168" t="s">
        <v>4290</v>
      </c>
      <c r="V1168" t="str">
        <f t="shared" si="155"/>
        <v/>
      </c>
      <c r="W1168" t="str">
        <f t="shared" si="154"/>
        <v/>
      </c>
    </row>
    <row r="1169" spans="1:23">
      <c r="A1169">
        <f>'IPTV US'!A1160</f>
        <v>0</v>
      </c>
      <c r="B1169" t="str">
        <f>T('IPTV US'!B1160)</f>
        <v/>
      </c>
      <c r="C1169" t="s">
        <v>4290</v>
      </c>
      <c r="D1169" t="str">
        <f t="shared" si="149"/>
        <v/>
      </c>
      <c r="E1169" t="str">
        <f t="shared" si="150"/>
        <v/>
      </c>
      <c r="F1169" s="68" t="s">
        <v>4289</v>
      </c>
      <c r="G1169">
        <f>'IPTV CA'!A1160</f>
        <v>0</v>
      </c>
      <c r="H1169" t="str">
        <f>T('IPTV CA'!B1160)</f>
        <v/>
      </c>
      <c r="I1169" t="s">
        <v>4290</v>
      </c>
      <c r="J1169" t="str">
        <f t="shared" si="151"/>
        <v/>
      </c>
      <c r="K1169" t="str">
        <f t="shared" si="148"/>
        <v/>
      </c>
      <c r="L1169" s="69"/>
      <c r="M1169">
        <f>'TMIS US'!A1160</f>
        <v>0</v>
      </c>
      <c r="N1169" t="str">
        <f>T('TMIS US'!B1160)</f>
        <v/>
      </c>
      <c r="O1169" t="s">
        <v>4290</v>
      </c>
      <c r="P1169" t="str">
        <f t="shared" si="152"/>
        <v/>
      </c>
      <c r="Q1169" t="str">
        <f t="shared" si="153"/>
        <v/>
      </c>
      <c r="R1169" s="69"/>
      <c r="S1169">
        <f>'TMIS CA'!A1160</f>
        <v>0</v>
      </c>
      <c r="T1169" t="str">
        <f>T('TMIS CA'!B1160)</f>
        <v/>
      </c>
      <c r="U1169" t="s">
        <v>4290</v>
      </c>
      <c r="V1169" t="str">
        <f t="shared" si="155"/>
        <v/>
      </c>
      <c r="W1169" t="str">
        <f t="shared" si="154"/>
        <v/>
      </c>
    </row>
    <row r="1170" spans="1:23">
      <c r="A1170">
        <f>'IPTV US'!A1161</f>
        <v>0</v>
      </c>
      <c r="B1170" t="str">
        <f>T('IPTV US'!B1161)</f>
        <v/>
      </c>
      <c r="C1170" t="s">
        <v>4290</v>
      </c>
      <c r="D1170" t="str">
        <f t="shared" si="149"/>
        <v/>
      </c>
      <c r="E1170" t="str">
        <f t="shared" si="150"/>
        <v/>
      </c>
      <c r="F1170" s="68" t="s">
        <v>4289</v>
      </c>
      <c r="G1170">
        <f>'IPTV CA'!A1161</f>
        <v>0</v>
      </c>
      <c r="H1170" t="str">
        <f>T('IPTV CA'!B1161)</f>
        <v/>
      </c>
      <c r="I1170" t="s">
        <v>4290</v>
      </c>
      <c r="J1170" t="str">
        <f t="shared" si="151"/>
        <v/>
      </c>
      <c r="K1170" t="str">
        <f t="shared" si="148"/>
        <v/>
      </c>
      <c r="L1170" s="69"/>
      <c r="M1170">
        <f>'TMIS US'!A1161</f>
        <v>0</v>
      </c>
      <c r="N1170" t="str">
        <f>T('TMIS US'!B1161)</f>
        <v/>
      </c>
      <c r="O1170" t="s">
        <v>4290</v>
      </c>
      <c r="P1170" t="str">
        <f t="shared" si="152"/>
        <v/>
      </c>
      <c r="Q1170" t="str">
        <f t="shared" si="153"/>
        <v/>
      </c>
      <c r="R1170" s="69"/>
      <c r="S1170">
        <f>'TMIS CA'!A1161</f>
        <v>0</v>
      </c>
      <c r="T1170" t="str">
        <f>T('TMIS CA'!B1161)</f>
        <v/>
      </c>
      <c r="U1170" t="s">
        <v>4290</v>
      </c>
      <c r="V1170" t="str">
        <f t="shared" si="155"/>
        <v/>
      </c>
      <c r="W1170" t="str">
        <f t="shared" si="154"/>
        <v/>
      </c>
    </row>
    <row r="1171" spans="1:23">
      <c r="A1171">
        <f>'IPTV US'!A1162</f>
        <v>0</v>
      </c>
      <c r="B1171" t="str">
        <f>T('IPTV US'!B1162)</f>
        <v/>
      </c>
      <c r="C1171" t="s">
        <v>4290</v>
      </c>
      <c r="D1171" t="str">
        <f t="shared" si="149"/>
        <v/>
      </c>
      <c r="E1171" t="str">
        <f t="shared" si="150"/>
        <v/>
      </c>
      <c r="F1171" s="68" t="s">
        <v>4289</v>
      </c>
      <c r="G1171">
        <f>'IPTV CA'!A1162</f>
        <v>0</v>
      </c>
      <c r="H1171" t="str">
        <f>T('IPTV CA'!B1162)</f>
        <v/>
      </c>
      <c r="I1171" t="s">
        <v>4290</v>
      </c>
      <c r="J1171" t="str">
        <f t="shared" si="151"/>
        <v/>
      </c>
      <c r="K1171" t="str">
        <f t="shared" si="148"/>
        <v/>
      </c>
      <c r="L1171" s="69"/>
      <c r="M1171">
        <f>'TMIS US'!A1162</f>
        <v>0</v>
      </c>
      <c r="N1171" t="str">
        <f>T('TMIS US'!B1162)</f>
        <v/>
      </c>
      <c r="O1171" t="s">
        <v>4290</v>
      </c>
      <c r="P1171" t="str">
        <f t="shared" si="152"/>
        <v/>
      </c>
      <c r="Q1171" t="str">
        <f t="shared" si="153"/>
        <v/>
      </c>
      <c r="R1171" s="69"/>
      <c r="S1171">
        <f>'TMIS CA'!A1162</f>
        <v>0</v>
      </c>
      <c r="T1171" t="str">
        <f>T('TMIS CA'!B1162)</f>
        <v/>
      </c>
      <c r="U1171" t="s">
        <v>4290</v>
      </c>
      <c r="V1171" t="str">
        <f t="shared" si="155"/>
        <v/>
      </c>
      <c r="W1171" t="str">
        <f t="shared" si="154"/>
        <v/>
      </c>
    </row>
    <row r="1172" spans="1:23">
      <c r="A1172">
        <f>'IPTV US'!A1163</f>
        <v>0</v>
      </c>
      <c r="B1172" t="str">
        <f>T('IPTV US'!B1163)</f>
        <v/>
      </c>
      <c r="C1172" t="s">
        <v>4290</v>
      </c>
      <c r="D1172" t="str">
        <f t="shared" si="149"/>
        <v/>
      </c>
      <c r="E1172" t="str">
        <f t="shared" si="150"/>
        <v/>
      </c>
      <c r="F1172" s="68" t="s">
        <v>4289</v>
      </c>
      <c r="G1172">
        <f>'IPTV CA'!A1163</f>
        <v>0</v>
      </c>
      <c r="H1172" t="str">
        <f>T('IPTV CA'!B1163)</f>
        <v/>
      </c>
      <c r="I1172" t="s">
        <v>4290</v>
      </c>
      <c r="J1172" t="str">
        <f t="shared" si="151"/>
        <v/>
      </c>
      <c r="K1172" t="str">
        <f t="shared" si="148"/>
        <v/>
      </c>
      <c r="L1172" s="69"/>
      <c r="M1172">
        <f>'TMIS US'!A1163</f>
        <v>0</v>
      </c>
      <c r="N1172" t="str">
        <f>T('TMIS US'!B1163)</f>
        <v/>
      </c>
      <c r="O1172" t="s">
        <v>4290</v>
      </c>
      <c r="P1172" t="str">
        <f t="shared" si="152"/>
        <v/>
      </c>
      <c r="Q1172" t="str">
        <f t="shared" si="153"/>
        <v/>
      </c>
      <c r="R1172" s="69"/>
      <c r="S1172">
        <f>'TMIS CA'!A1163</f>
        <v>0</v>
      </c>
      <c r="T1172" t="str">
        <f>T('TMIS CA'!B1163)</f>
        <v/>
      </c>
      <c r="U1172" t="s">
        <v>4290</v>
      </c>
      <c r="V1172" t="str">
        <f t="shared" si="155"/>
        <v/>
      </c>
      <c r="W1172" t="str">
        <f t="shared" si="154"/>
        <v/>
      </c>
    </row>
    <row r="1173" spans="1:23">
      <c r="A1173">
        <f>'IPTV US'!A1164</f>
        <v>0</v>
      </c>
      <c r="B1173" t="str">
        <f>T('IPTV US'!B1164)</f>
        <v/>
      </c>
      <c r="C1173" t="s">
        <v>4290</v>
      </c>
      <c r="D1173" t="str">
        <f t="shared" si="149"/>
        <v/>
      </c>
      <c r="E1173" t="str">
        <f t="shared" si="150"/>
        <v/>
      </c>
      <c r="F1173" s="68" t="s">
        <v>4289</v>
      </c>
      <c r="G1173">
        <f>'IPTV CA'!A1164</f>
        <v>0</v>
      </c>
      <c r="H1173" t="str">
        <f>T('IPTV CA'!B1164)</f>
        <v/>
      </c>
      <c r="I1173" t="s">
        <v>4290</v>
      </c>
      <c r="J1173" t="str">
        <f t="shared" si="151"/>
        <v/>
      </c>
      <c r="K1173" t="str">
        <f t="shared" si="148"/>
        <v/>
      </c>
      <c r="L1173" s="69"/>
      <c r="M1173">
        <f>'TMIS US'!A1164</f>
        <v>0</v>
      </c>
      <c r="N1173" t="str">
        <f>T('TMIS US'!B1164)</f>
        <v/>
      </c>
      <c r="O1173" t="s">
        <v>4290</v>
      </c>
      <c r="P1173" t="str">
        <f t="shared" si="152"/>
        <v/>
      </c>
      <c r="Q1173" t="str">
        <f t="shared" si="153"/>
        <v/>
      </c>
      <c r="R1173" s="69"/>
      <c r="S1173">
        <f>'TMIS CA'!A1164</f>
        <v>0</v>
      </c>
      <c r="T1173" t="str">
        <f>T('TMIS CA'!B1164)</f>
        <v/>
      </c>
      <c r="U1173" t="s">
        <v>4290</v>
      </c>
      <c r="V1173" t="str">
        <f t="shared" si="155"/>
        <v/>
      </c>
      <c r="W1173" t="str">
        <f t="shared" si="154"/>
        <v/>
      </c>
    </row>
    <row r="1174" spans="1:23">
      <c r="A1174">
        <f>'IPTV US'!A1165</f>
        <v>0</v>
      </c>
      <c r="B1174" t="str">
        <f>T('IPTV US'!B1165)</f>
        <v/>
      </c>
      <c r="C1174" t="s">
        <v>4290</v>
      </c>
      <c r="D1174" t="str">
        <f t="shared" si="149"/>
        <v/>
      </c>
      <c r="E1174" t="str">
        <f t="shared" si="150"/>
        <v/>
      </c>
      <c r="F1174" s="68" t="s">
        <v>4289</v>
      </c>
      <c r="G1174">
        <f>'IPTV CA'!A1165</f>
        <v>0</v>
      </c>
      <c r="H1174" t="str">
        <f>T('IPTV CA'!B1165)</f>
        <v/>
      </c>
      <c r="I1174" t="s">
        <v>4290</v>
      </c>
      <c r="J1174" t="str">
        <f t="shared" si="151"/>
        <v/>
      </c>
      <c r="K1174" t="str">
        <f t="shared" si="148"/>
        <v/>
      </c>
      <c r="L1174" s="69"/>
      <c r="M1174">
        <f>'TMIS US'!A1165</f>
        <v>0</v>
      </c>
      <c r="N1174" t="str">
        <f>T('TMIS US'!B1165)</f>
        <v/>
      </c>
      <c r="O1174" t="s">
        <v>4290</v>
      </c>
      <c r="P1174" t="str">
        <f t="shared" si="152"/>
        <v/>
      </c>
      <c r="Q1174" t="str">
        <f t="shared" si="153"/>
        <v/>
      </c>
      <c r="R1174" s="69"/>
      <c r="S1174">
        <f>'TMIS CA'!A1165</f>
        <v>0</v>
      </c>
      <c r="T1174" t="str">
        <f>T('TMIS CA'!B1165)</f>
        <v/>
      </c>
      <c r="U1174" t="s">
        <v>4290</v>
      </c>
      <c r="V1174" t="str">
        <f t="shared" si="155"/>
        <v/>
      </c>
      <c r="W1174" t="str">
        <f t="shared" si="154"/>
        <v/>
      </c>
    </row>
    <row r="1175" spans="1:23">
      <c r="A1175">
        <f>'IPTV US'!A1166</f>
        <v>0</v>
      </c>
      <c r="B1175" t="str">
        <f>T('IPTV US'!B1166)</f>
        <v/>
      </c>
      <c r="C1175" t="s">
        <v>4290</v>
      </c>
      <c r="D1175" t="str">
        <f t="shared" si="149"/>
        <v/>
      </c>
      <c r="E1175" t="str">
        <f t="shared" si="150"/>
        <v/>
      </c>
      <c r="F1175" s="68" t="s">
        <v>4289</v>
      </c>
      <c r="G1175">
        <f>'IPTV CA'!A1166</f>
        <v>0</v>
      </c>
      <c r="H1175" t="str">
        <f>T('IPTV CA'!B1166)</f>
        <v/>
      </c>
      <c r="I1175" t="s">
        <v>4290</v>
      </c>
      <c r="J1175" t="str">
        <f t="shared" si="151"/>
        <v/>
      </c>
      <c r="K1175" t="str">
        <f t="shared" si="148"/>
        <v/>
      </c>
      <c r="L1175" s="69"/>
      <c r="M1175">
        <f>'TMIS US'!A1166</f>
        <v>0</v>
      </c>
      <c r="N1175" t="str">
        <f>T('TMIS US'!B1166)</f>
        <v/>
      </c>
      <c r="O1175" t="s">
        <v>4290</v>
      </c>
      <c r="P1175" t="str">
        <f t="shared" si="152"/>
        <v/>
      </c>
      <c r="Q1175" t="str">
        <f t="shared" si="153"/>
        <v/>
      </c>
      <c r="R1175" s="69"/>
      <c r="S1175">
        <f>'TMIS CA'!A1166</f>
        <v>0</v>
      </c>
      <c r="T1175" t="str">
        <f>T('TMIS CA'!B1166)</f>
        <v/>
      </c>
      <c r="U1175" t="s">
        <v>4290</v>
      </c>
      <c r="V1175" t="str">
        <f t="shared" si="155"/>
        <v/>
      </c>
      <c r="W1175" t="str">
        <f t="shared" si="154"/>
        <v/>
      </c>
    </row>
    <row r="1176" spans="1:23">
      <c r="A1176">
        <f>'IPTV US'!A1167</f>
        <v>0</v>
      </c>
      <c r="B1176" t="str">
        <f>T('IPTV US'!B1167)</f>
        <v/>
      </c>
      <c r="C1176" t="s">
        <v>4290</v>
      </c>
      <c r="D1176" t="str">
        <f t="shared" si="149"/>
        <v/>
      </c>
      <c r="E1176" t="str">
        <f t="shared" si="150"/>
        <v/>
      </c>
      <c r="F1176" s="68" t="s">
        <v>4289</v>
      </c>
      <c r="G1176">
        <f>'IPTV CA'!A1167</f>
        <v>0</v>
      </c>
      <c r="H1176" t="str">
        <f>T('IPTV CA'!B1167)</f>
        <v/>
      </c>
      <c r="I1176" t="s">
        <v>4290</v>
      </c>
      <c r="J1176" t="str">
        <f t="shared" si="151"/>
        <v/>
      </c>
      <c r="K1176" t="str">
        <f t="shared" si="148"/>
        <v/>
      </c>
      <c r="L1176" s="69"/>
      <c r="M1176">
        <f>'TMIS US'!A1167</f>
        <v>0</v>
      </c>
      <c r="N1176" t="str">
        <f>T('TMIS US'!B1167)</f>
        <v/>
      </c>
      <c r="O1176" t="s">
        <v>4290</v>
      </c>
      <c r="P1176" t="str">
        <f t="shared" si="152"/>
        <v/>
      </c>
      <c r="Q1176" t="str">
        <f t="shared" si="153"/>
        <v/>
      </c>
      <c r="R1176" s="69"/>
      <c r="S1176">
        <f>'TMIS CA'!A1167</f>
        <v>0</v>
      </c>
      <c r="T1176" t="str">
        <f>T('TMIS CA'!B1167)</f>
        <v/>
      </c>
      <c r="U1176" t="s">
        <v>4290</v>
      </c>
      <c r="V1176" t="str">
        <f t="shared" si="155"/>
        <v/>
      </c>
      <c r="W1176" t="str">
        <f t="shared" si="154"/>
        <v/>
      </c>
    </row>
    <row r="1177" spans="1:23">
      <c r="A1177">
        <f>'IPTV US'!A1168</f>
        <v>0</v>
      </c>
      <c r="B1177" t="str">
        <f>T('IPTV US'!B1168)</f>
        <v/>
      </c>
      <c r="C1177" t="s">
        <v>4290</v>
      </c>
      <c r="D1177" t="str">
        <f t="shared" si="149"/>
        <v/>
      </c>
      <c r="E1177" t="str">
        <f t="shared" si="150"/>
        <v/>
      </c>
      <c r="F1177" s="68" t="s">
        <v>4289</v>
      </c>
      <c r="G1177">
        <f>'IPTV CA'!A1168</f>
        <v>0</v>
      </c>
      <c r="H1177" t="str">
        <f>T('IPTV CA'!B1168)</f>
        <v/>
      </c>
      <c r="I1177" t="s">
        <v>4290</v>
      </c>
      <c r="J1177" t="str">
        <f t="shared" si="151"/>
        <v/>
      </c>
      <c r="K1177" t="str">
        <f t="shared" si="148"/>
        <v/>
      </c>
      <c r="L1177" s="69"/>
      <c r="M1177">
        <f>'TMIS US'!A1168</f>
        <v>0</v>
      </c>
      <c r="N1177" t="str">
        <f>T('TMIS US'!B1168)</f>
        <v/>
      </c>
      <c r="O1177" t="s">
        <v>4290</v>
      </c>
      <c r="P1177" t="str">
        <f t="shared" si="152"/>
        <v/>
      </c>
      <c r="Q1177" t="str">
        <f t="shared" si="153"/>
        <v/>
      </c>
      <c r="R1177" s="69"/>
      <c r="S1177">
        <f>'TMIS CA'!A1168</f>
        <v>0</v>
      </c>
      <c r="T1177" t="str">
        <f>T('TMIS CA'!B1168)</f>
        <v/>
      </c>
      <c r="U1177" t="s">
        <v>4290</v>
      </c>
      <c r="V1177" t="str">
        <f t="shared" si="155"/>
        <v/>
      </c>
      <c r="W1177" t="str">
        <f t="shared" si="154"/>
        <v/>
      </c>
    </row>
    <row r="1178" spans="1:23">
      <c r="A1178">
        <f>'IPTV US'!A1169</f>
        <v>0</v>
      </c>
      <c r="B1178" t="str">
        <f>T('IPTV US'!B1169)</f>
        <v/>
      </c>
      <c r="C1178" t="s">
        <v>4290</v>
      </c>
      <c r="D1178" t="str">
        <f t="shared" si="149"/>
        <v/>
      </c>
      <c r="E1178" t="str">
        <f t="shared" si="150"/>
        <v/>
      </c>
      <c r="F1178" s="68" t="s">
        <v>4289</v>
      </c>
      <c r="G1178">
        <f>'IPTV CA'!A1169</f>
        <v>0</v>
      </c>
      <c r="H1178" t="str">
        <f>T('IPTV CA'!B1169)</f>
        <v/>
      </c>
      <c r="I1178" t="s">
        <v>4290</v>
      </c>
      <c r="J1178" t="str">
        <f t="shared" si="151"/>
        <v/>
      </c>
      <c r="K1178" t="str">
        <f t="shared" si="148"/>
        <v/>
      </c>
      <c r="L1178" s="69"/>
      <c r="M1178">
        <f>'TMIS US'!A1169</f>
        <v>0</v>
      </c>
      <c r="N1178" t="str">
        <f>T('TMIS US'!B1169)</f>
        <v/>
      </c>
      <c r="O1178" t="s">
        <v>4290</v>
      </c>
      <c r="P1178" t="str">
        <f t="shared" si="152"/>
        <v/>
      </c>
      <c r="Q1178" t="str">
        <f t="shared" si="153"/>
        <v/>
      </c>
      <c r="R1178" s="69"/>
      <c r="S1178">
        <f>'TMIS CA'!A1169</f>
        <v>0</v>
      </c>
      <c r="T1178" t="str">
        <f>T('TMIS CA'!B1169)</f>
        <v/>
      </c>
      <c r="U1178" t="s">
        <v>4290</v>
      </c>
      <c r="V1178" t="str">
        <f t="shared" si="155"/>
        <v/>
      </c>
      <c r="W1178" t="str">
        <f t="shared" si="154"/>
        <v/>
      </c>
    </row>
    <row r="1179" spans="1:23">
      <c r="A1179">
        <f>'IPTV US'!A1170</f>
        <v>0</v>
      </c>
      <c r="B1179" t="str">
        <f>T('IPTV US'!B1170)</f>
        <v/>
      </c>
      <c r="C1179" t="s">
        <v>4290</v>
      </c>
      <c r="D1179" t="str">
        <f t="shared" si="149"/>
        <v/>
      </c>
      <c r="E1179" t="str">
        <f t="shared" si="150"/>
        <v/>
      </c>
      <c r="F1179" s="68" t="s">
        <v>4289</v>
      </c>
      <c r="G1179">
        <f>'IPTV CA'!A1170</f>
        <v>0</v>
      </c>
      <c r="H1179" t="str">
        <f>T('IPTV CA'!B1170)</f>
        <v/>
      </c>
      <c r="I1179" t="s">
        <v>4290</v>
      </c>
      <c r="J1179" t="str">
        <f t="shared" si="151"/>
        <v/>
      </c>
      <c r="K1179" t="str">
        <f t="shared" si="148"/>
        <v/>
      </c>
      <c r="L1179" s="69"/>
      <c r="M1179">
        <f>'TMIS US'!A1170</f>
        <v>0</v>
      </c>
      <c r="N1179" t="str">
        <f>T('TMIS US'!B1170)</f>
        <v/>
      </c>
      <c r="O1179" t="s">
        <v>4290</v>
      </c>
      <c r="P1179" t="str">
        <f t="shared" si="152"/>
        <v/>
      </c>
      <c r="Q1179" t="str">
        <f t="shared" si="153"/>
        <v/>
      </c>
      <c r="R1179" s="69"/>
      <c r="S1179">
        <f>'TMIS CA'!A1170</f>
        <v>0</v>
      </c>
      <c r="T1179" t="str">
        <f>T('TMIS CA'!B1170)</f>
        <v/>
      </c>
      <c r="U1179" t="s">
        <v>4290</v>
      </c>
      <c r="V1179" t="str">
        <f t="shared" si="155"/>
        <v/>
      </c>
      <c r="W1179" t="str">
        <f t="shared" si="154"/>
        <v/>
      </c>
    </row>
    <row r="1180" spans="1:23">
      <c r="A1180">
        <f>'IPTV US'!A1171</f>
        <v>0</v>
      </c>
      <c r="B1180" t="str">
        <f>T('IPTV US'!B1171)</f>
        <v/>
      </c>
      <c r="C1180" t="s">
        <v>4290</v>
      </c>
      <c r="D1180" t="str">
        <f t="shared" si="149"/>
        <v/>
      </c>
      <c r="E1180" t="str">
        <f t="shared" si="150"/>
        <v/>
      </c>
      <c r="F1180" s="68" t="s">
        <v>4289</v>
      </c>
      <c r="G1180">
        <f>'IPTV CA'!A1171</f>
        <v>0</v>
      </c>
      <c r="H1180" t="str">
        <f>T('IPTV CA'!B1171)</f>
        <v/>
      </c>
      <c r="I1180" t="s">
        <v>4290</v>
      </c>
      <c r="J1180" t="str">
        <f t="shared" si="151"/>
        <v/>
      </c>
      <c r="K1180" t="str">
        <f t="shared" si="148"/>
        <v/>
      </c>
      <c r="L1180" s="69"/>
      <c r="M1180">
        <f>'TMIS US'!A1171</f>
        <v>0</v>
      </c>
      <c r="N1180" t="str">
        <f>T('TMIS US'!B1171)</f>
        <v/>
      </c>
      <c r="O1180" t="s">
        <v>4290</v>
      </c>
      <c r="P1180" t="str">
        <f t="shared" si="152"/>
        <v/>
      </c>
      <c r="Q1180" t="str">
        <f t="shared" si="153"/>
        <v/>
      </c>
      <c r="R1180" s="69"/>
      <c r="S1180">
        <f>'TMIS CA'!A1171</f>
        <v>0</v>
      </c>
      <c r="T1180" t="str">
        <f>T('TMIS CA'!B1171)</f>
        <v/>
      </c>
      <c r="U1180" t="s">
        <v>4290</v>
      </c>
      <c r="V1180" t="str">
        <f t="shared" si="155"/>
        <v/>
      </c>
      <c r="W1180" t="str">
        <f t="shared" si="154"/>
        <v/>
      </c>
    </row>
    <row r="1181" spans="1:23">
      <c r="A1181">
        <f>'IPTV US'!A1172</f>
        <v>0</v>
      </c>
      <c r="B1181" t="str">
        <f>T('IPTV US'!B1172)</f>
        <v/>
      </c>
      <c r="C1181" t="s">
        <v>4290</v>
      </c>
      <c r="D1181" t="str">
        <f t="shared" si="149"/>
        <v/>
      </c>
      <c r="E1181" t="str">
        <f t="shared" si="150"/>
        <v/>
      </c>
      <c r="F1181" s="68" t="s">
        <v>4289</v>
      </c>
      <c r="G1181">
        <f>'IPTV CA'!A1172</f>
        <v>0</v>
      </c>
      <c r="H1181" t="str">
        <f>T('IPTV CA'!B1172)</f>
        <v/>
      </c>
      <c r="I1181" t="s">
        <v>4290</v>
      </c>
      <c r="J1181" t="str">
        <f t="shared" si="151"/>
        <v/>
      </c>
      <c r="K1181" t="str">
        <f t="shared" si="148"/>
        <v/>
      </c>
      <c r="L1181" s="69"/>
      <c r="M1181">
        <f>'TMIS US'!A1172</f>
        <v>0</v>
      </c>
      <c r="N1181" t="str">
        <f>T('TMIS US'!B1172)</f>
        <v/>
      </c>
      <c r="O1181" t="s">
        <v>4290</v>
      </c>
      <c r="P1181" t="str">
        <f t="shared" si="152"/>
        <v/>
      </c>
      <c r="Q1181" t="str">
        <f t="shared" si="153"/>
        <v/>
      </c>
      <c r="R1181" s="69"/>
      <c r="S1181">
        <f>'TMIS CA'!A1172</f>
        <v>0</v>
      </c>
      <c r="T1181" t="str">
        <f>T('TMIS CA'!B1172)</f>
        <v/>
      </c>
      <c r="U1181" t="s">
        <v>4290</v>
      </c>
      <c r="V1181" t="str">
        <f t="shared" si="155"/>
        <v/>
      </c>
      <c r="W1181" t="str">
        <f t="shared" si="154"/>
        <v/>
      </c>
    </row>
    <row r="1182" spans="1:23">
      <c r="A1182">
        <f>'IPTV US'!A1173</f>
        <v>0</v>
      </c>
      <c r="B1182" t="str">
        <f>T('IPTV US'!B1173)</f>
        <v/>
      </c>
      <c r="C1182" t="s">
        <v>4290</v>
      </c>
      <c r="D1182" t="str">
        <f t="shared" si="149"/>
        <v/>
      </c>
      <c r="E1182" t="str">
        <f t="shared" si="150"/>
        <v/>
      </c>
      <c r="F1182" s="68" t="s">
        <v>4289</v>
      </c>
      <c r="G1182">
        <f>'IPTV CA'!A1173</f>
        <v>0</v>
      </c>
      <c r="H1182" t="str">
        <f>T('IPTV CA'!B1173)</f>
        <v/>
      </c>
      <c r="I1182" t="s">
        <v>4290</v>
      </c>
      <c r="J1182" t="str">
        <f t="shared" si="151"/>
        <v/>
      </c>
      <c r="K1182" t="str">
        <f t="shared" si="148"/>
        <v/>
      </c>
      <c r="L1182" s="69"/>
      <c r="M1182">
        <f>'TMIS US'!A1173</f>
        <v>0</v>
      </c>
      <c r="N1182" t="str">
        <f>T('TMIS US'!B1173)</f>
        <v/>
      </c>
      <c r="O1182" t="s">
        <v>4290</v>
      </c>
      <c r="P1182" t="str">
        <f t="shared" si="152"/>
        <v/>
      </c>
      <c r="Q1182" t="str">
        <f t="shared" si="153"/>
        <v/>
      </c>
      <c r="R1182" s="69"/>
      <c r="S1182">
        <f>'TMIS CA'!A1173</f>
        <v>0</v>
      </c>
      <c r="T1182" t="str">
        <f>T('TMIS CA'!B1173)</f>
        <v/>
      </c>
      <c r="U1182" t="s">
        <v>4290</v>
      </c>
      <c r="V1182" t="str">
        <f t="shared" si="155"/>
        <v/>
      </c>
      <c r="W1182" t="str">
        <f t="shared" si="154"/>
        <v/>
      </c>
    </row>
    <row r="1183" spans="1:23">
      <c r="A1183">
        <f>'IPTV US'!A1174</f>
        <v>0</v>
      </c>
      <c r="B1183" t="str">
        <f>T('IPTV US'!B1174)</f>
        <v/>
      </c>
      <c r="C1183" t="s">
        <v>4290</v>
      </c>
      <c r="D1183" t="str">
        <f t="shared" si="149"/>
        <v/>
      </c>
      <c r="E1183" t="str">
        <f t="shared" si="150"/>
        <v/>
      </c>
      <c r="F1183" s="68" t="s">
        <v>4289</v>
      </c>
      <c r="G1183">
        <f>'IPTV CA'!A1174</f>
        <v>0</v>
      </c>
      <c r="H1183" t="str">
        <f>T('IPTV CA'!B1174)</f>
        <v/>
      </c>
      <c r="I1183" t="s">
        <v>4290</v>
      </c>
      <c r="J1183" t="str">
        <f t="shared" si="151"/>
        <v/>
      </c>
      <c r="K1183" t="str">
        <f t="shared" si="148"/>
        <v/>
      </c>
      <c r="L1183" s="69"/>
      <c r="M1183">
        <f>'TMIS US'!A1174</f>
        <v>0</v>
      </c>
      <c r="N1183" t="str">
        <f>T('TMIS US'!B1174)</f>
        <v/>
      </c>
      <c r="O1183" t="s">
        <v>4290</v>
      </c>
      <c r="P1183" t="str">
        <f t="shared" si="152"/>
        <v/>
      </c>
      <c r="Q1183" t="str">
        <f t="shared" si="153"/>
        <v/>
      </c>
      <c r="R1183" s="69"/>
      <c r="S1183">
        <f>'TMIS CA'!A1174</f>
        <v>0</v>
      </c>
      <c r="T1183" t="str">
        <f>T('TMIS CA'!B1174)</f>
        <v/>
      </c>
      <c r="U1183" t="s">
        <v>4290</v>
      </c>
      <c r="V1183" t="str">
        <f t="shared" si="155"/>
        <v/>
      </c>
      <c r="W1183" t="str">
        <f t="shared" si="154"/>
        <v/>
      </c>
    </row>
    <row r="1184" spans="1:23">
      <c r="A1184">
        <f>'IPTV US'!A1175</f>
        <v>0</v>
      </c>
      <c r="B1184" t="str">
        <f>T('IPTV US'!B1175)</f>
        <v/>
      </c>
      <c r="C1184" t="s">
        <v>4290</v>
      </c>
      <c r="D1184" t="str">
        <f t="shared" si="149"/>
        <v/>
      </c>
      <c r="E1184" t="str">
        <f t="shared" si="150"/>
        <v/>
      </c>
      <c r="F1184" s="68" t="s">
        <v>4289</v>
      </c>
      <c r="G1184">
        <f>'IPTV CA'!A1175</f>
        <v>0</v>
      </c>
      <c r="H1184" t="str">
        <f>T('IPTV CA'!B1175)</f>
        <v/>
      </c>
      <c r="I1184" t="s">
        <v>4290</v>
      </c>
      <c r="J1184" t="str">
        <f t="shared" si="151"/>
        <v/>
      </c>
      <c r="K1184" t="str">
        <f t="shared" si="148"/>
        <v/>
      </c>
      <c r="L1184" s="69"/>
      <c r="M1184">
        <f>'TMIS US'!A1175</f>
        <v>0</v>
      </c>
      <c r="N1184" t="str">
        <f>T('TMIS US'!B1175)</f>
        <v/>
      </c>
      <c r="O1184" t="s">
        <v>4290</v>
      </c>
      <c r="P1184" t="str">
        <f t="shared" si="152"/>
        <v/>
      </c>
      <c r="Q1184" t="str">
        <f t="shared" si="153"/>
        <v/>
      </c>
      <c r="R1184" s="69"/>
      <c r="S1184">
        <f>'TMIS CA'!A1175</f>
        <v>0</v>
      </c>
      <c r="T1184" t="str">
        <f>T('TMIS CA'!B1175)</f>
        <v/>
      </c>
      <c r="U1184" t="s">
        <v>4290</v>
      </c>
      <c r="V1184" t="str">
        <f t="shared" si="155"/>
        <v/>
      </c>
      <c r="W1184" t="str">
        <f t="shared" si="154"/>
        <v/>
      </c>
    </row>
    <row r="1185" spans="1:23">
      <c r="A1185">
        <f>'IPTV US'!A1176</f>
        <v>0</v>
      </c>
      <c r="B1185" t="str">
        <f>T('IPTV US'!B1176)</f>
        <v/>
      </c>
      <c r="C1185" t="s">
        <v>4290</v>
      </c>
      <c r="D1185" t="str">
        <f t="shared" si="149"/>
        <v/>
      </c>
      <c r="E1185" t="str">
        <f t="shared" si="150"/>
        <v/>
      </c>
      <c r="F1185" s="68" t="s">
        <v>4289</v>
      </c>
      <c r="G1185">
        <f>'IPTV CA'!A1176</f>
        <v>0</v>
      </c>
      <c r="H1185" t="str">
        <f>T('IPTV CA'!B1176)</f>
        <v/>
      </c>
      <c r="I1185" t="s">
        <v>4290</v>
      </c>
      <c r="J1185" t="str">
        <f t="shared" si="151"/>
        <v/>
      </c>
      <c r="K1185" t="str">
        <f t="shared" si="148"/>
        <v/>
      </c>
      <c r="L1185" s="69"/>
      <c r="M1185">
        <f>'TMIS US'!A1176</f>
        <v>0</v>
      </c>
      <c r="N1185" t="str">
        <f>T('TMIS US'!B1176)</f>
        <v/>
      </c>
      <c r="O1185" t="s">
        <v>4290</v>
      </c>
      <c r="P1185" t="str">
        <f t="shared" si="152"/>
        <v/>
      </c>
      <c r="Q1185" t="str">
        <f t="shared" si="153"/>
        <v/>
      </c>
      <c r="R1185" s="69"/>
      <c r="S1185">
        <f>'TMIS CA'!A1176</f>
        <v>0</v>
      </c>
      <c r="T1185" t="str">
        <f>T('TMIS CA'!B1176)</f>
        <v/>
      </c>
      <c r="U1185" t="s">
        <v>4290</v>
      </c>
      <c r="V1185" t="str">
        <f t="shared" si="155"/>
        <v/>
      </c>
      <c r="W1185" t="str">
        <f t="shared" si="154"/>
        <v/>
      </c>
    </row>
    <row r="1186" spans="1:23">
      <c r="A1186">
        <f>'IPTV US'!A1177</f>
        <v>0</v>
      </c>
      <c r="B1186" t="str">
        <f>T('IPTV US'!B1177)</f>
        <v/>
      </c>
      <c r="C1186" t="s">
        <v>4290</v>
      </c>
      <c r="D1186" t="str">
        <f t="shared" si="149"/>
        <v/>
      </c>
      <c r="E1186" t="str">
        <f t="shared" si="150"/>
        <v/>
      </c>
      <c r="F1186" s="68" t="s">
        <v>4289</v>
      </c>
      <c r="G1186">
        <f>'IPTV CA'!A1177</f>
        <v>0</v>
      </c>
      <c r="H1186" t="str">
        <f>T('IPTV CA'!B1177)</f>
        <v/>
      </c>
      <c r="I1186" t="s">
        <v>4290</v>
      </c>
      <c r="J1186" t="str">
        <f t="shared" si="151"/>
        <v/>
      </c>
      <c r="K1186" t="str">
        <f t="shared" si="148"/>
        <v/>
      </c>
      <c r="L1186" s="69"/>
      <c r="M1186">
        <f>'TMIS US'!A1177</f>
        <v>0</v>
      </c>
      <c r="N1186" t="str">
        <f>T('TMIS US'!B1177)</f>
        <v/>
      </c>
      <c r="O1186" t="s">
        <v>4290</v>
      </c>
      <c r="P1186" t="str">
        <f t="shared" si="152"/>
        <v/>
      </c>
      <c r="Q1186" t="str">
        <f t="shared" si="153"/>
        <v/>
      </c>
      <c r="R1186" s="69"/>
      <c r="S1186">
        <f>'TMIS CA'!A1177</f>
        <v>0</v>
      </c>
      <c r="T1186" t="str">
        <f>T('TMIS CA'!B1177)</f>
        <v/>
      </c>
      <c r="U1186" t="s">
        <v>4290</v>
      </c>
      <c r="V1186" t="str">
        <f t="shared" si="155"/>
        <v/>
      </c>
      <c r="W1186" t="str">
        <f t="shared" si="154"/>
        <v/>
      </c>
    </row>
    <row r="1187" spans="1:23">
      <c r="A1187">
        <f>'IPTV US'!A1178</f>
        <v>0</v>
      </c>
      <c r="B1187" t="str">
        <f>T('IPTV US'!B1178)</f>
        <v/>
      </c>
      <c r="C1187" t="s">
        <v>4290</v>
      </c>
      <c r="D1187" t="str">
        <f t="shared" si="149"/>
        <v/>
      </c>
      <c r="E1187" t="str">
        <f t="shared" si="150"/>
        <v/>
      </c>
      <c r="F1187" s="68" t="s">
        <v>4289</v>
      </c>
      <c r="G1187">
        <f>'IPTV CA'!A1178</f>
        <v>0</v>
      </c>
      <c r="H1187" t="str">
        <f>T('IPTV CA'!B1178)</f>
        <v/>
      </c>
      <c r="I1187" t="s">
        <v>4290</v>
      </c>
      <c r="J1187" t="str">
        <f t="shared" si="151"/>
        <v/>
      </c>
      <c r="K1187" t="str">
        <f t="shared" si="148"/>
        <v/>
      </c>
      <c r="L1187" s="69"/>
      <c r="M1187">
        <f>'TMIS US'!A1178</f>
        <v>0</v>
      </c>
      <c r="N1187" t="str">
        <f>T('TMIS US'!B1178)</f>
        <v/>
      </c>
      <c r="O1187" t="s">
        <v>4290</v>
      </c>
      <c r="P1187" t="str">
        <f t="shared" si="152"/>
        <v/>
      </c>
      <c r="Q1187" t="str">
        <f t="shared" si="153"/>
        <v/>
      </c>
      <c r="R1187" s="69"/>
      <c r="S1187">
        <f>'TMIS CA'!A1178</f>
        <v>0</v>
      </c>
      <c r="T1187" t="str">
        <f>T('TMIS CA'!B1178)</f>
        <v/>
      </c>
      <c r="U1187" t="s">
        <v>4290</v>
      </c>
      <c r="V1187" t="str">
        <f t="shared" si="155"/>
        <v/>
      </c>
      <c r="W1187" t="str">
        <f t="shared" si="154"/>
        <v/>
      </c>
    </row>
    <row r="1188" spans="1:23">
      <c r="A1188">
        <f>'IPTV US'!A1179</f>
        <v>0</v>
      </c>
      <c r="B1188" t="str">
        <f>T('IPTV US'!B1179)</f>
        <v/>
      </c>
      <c r="C1188" t="s">
        <v>4290</v>
      </c>
      <c r="D1188" t="str">
        <f t="shared" si="149"/>
        <v/>
      </c>
      <c r="E1188" t="str">
        <f t="shared" si="150"/>
        <v/>
      </c>
      <c r="F1188" s="68" t="s">
        <v>4289</v>
      </c>
      <c r="G1188">
        <f>'IPTV CA'!A1179</f>
        <v>0</v>
      </c>
      <c r="H1188" t="str">
        <f>T('IPTV CA'!B1179)</f>
        <v/>
      </c>
      <c r="I1188" t="s">
        <v>4290</v>
      </c>
      <c r="J1188" t="str">
        <f t="shared" si="151"/>
        <v/>
      </c>
      <c r="K1188" t="str">
        <f t="shared" si="148"/>
        <v/>
      </c>
      <c r="L1188" s="69"/>
      <c r="M1188">
        <f>'TMIS US'!A1179</f>
        <v>0</v>
      </c>
      <c r="N1188" t="str">
        <f>T('TMIS US'!B1179)</f>
        <v/>
      </c>
      <c r="O1188" t="s">
        <v>4290</v>
      </c>
      <c r="P1188" t="str">
        <f t="shared" si="152"/>
        <v/>
      </c>
      <c r="Q1188" t="str">
        <f t="shared" si="153"/>
        <v/>
      </c>
      <c r="R1188" s="69"/>
      <c r="S1188">
        <f>'TMIS CA'!A1179</f>
        <v>0</v>
      </c>
      <c r="T1188" t="str">
        <f>T('TMIS CA'!B1179)</f>
        <v/>
      </c>
      <c r="U1188" t="s">
        <v>4290</v>
      </c>
      <c r="V1188" t="str">
        <f t="shared" si="155"/>
        <v/>
      </c>
      <c r="W1188" t="str">
        <f t="shared" si="154"/>
        <v/>
      </c>
    </row>
    <row r="1189" spans="1:23">
      <c r="A1189">
        <f>'IPTV US'!A1180</f>
        <v>0</v>
      </c>
      <c r="B1189" t="str">
        <f>T('IPTV US'!B1180)</f>
        <v/>
      </c>
      <c r="C1189" t="s">
        <v>4290</v>
      </c>
      <c r="D1189" t="str">
        <f t="shared" si="149"/>
        <v/>
      </c>
      <c r="E1189" t="str">
        <f t="shared" si="150"/>
        <v/>
      </c>
      <c r="F1189" s="68" t="s">
        <v>4289</v>
      </c>
      <c r="G1189">
        <f>'IPTV CA'!A1180</f>
        <v>0</v>
      </c>
      <c r="H1189" t="str">
        <f>T('IPTV CA'!B1180)</f>
        <v/>
      </c>
      <c r="I1189" t="s">
        <v>4290</v>
      </c>
      <c r="J1189" t="str">
        <f t="shared" si="151"/>
        <v/>
      </c>
      <c r="K1189" t="str">
        <f t="shared" si="148"/>
        <v/>
      </c>
      <c r="L1189" s="69"/>
      <c r="M1189">
        <f>'TMIS US'!A1180</f>
        <v>0</v>
      </c>
      <c r="N1189" t="str">
        <f>T('TMIS US'!B1180)</f>
        <v/>
      </c>
      <c r="O1189" t="s">
        <v>4290</v>
      </c>
      <c r="P1189" t="str">
        <f t="shared" si="152"/>
        <v/>
      </c>
      <c r="Q1189" t="str">
        <f t="shared" si="153"/>
        <v/>
      </c>
      <c r="R1189" s="69"/>
      <c r="S1189">
        <f>'TMIS CA'!A1180</f>
        <v>0</v>
      </c>
      <c r="T1189" t="str">
        <f>T('TMIS CA'!B1180)</f>
        <v/>
      </c>
      <c r="U1189" t="s">
        <v>4290</v>
      </c>
      <c r="V1189" t="str">
        <f t="shared" si="155"/>
        <v/>
      </c>
      <c r="W1189" t="str">
        <f t="shared" si="154"/>
        <v/>
      </c>
    </row>
    <row r="1190" spans="1:23">
      <c r="A1190">
        <f>'IPTV US'!A1181</f>
        <v>0</v>
      </c>
      <c r="B1190" t="str">
        <f>T('IPTV US'!B1181)</f>
        <v/>
      </c>
      <c r="C1190" t="s">
        <v>4290</v>
      </c>
      <c r="D1190" t="str">
        <f t="shared" si="149"/>
        <v/>
      </c>
      <c r="E1190" t="str">
        <f t="shared" si="150"/>
        <v/>
      </c>
      <c r="F1190" s="68" t="s">
        <v>4289</v>
      </c>
      <c r="G1190">
        <f>'IPTV CA'!A1181</f>
        <v>0</v>
      </c>
      <c r="H1190" t="str">
        <f>T('IPTV CA'!B1181)</f>
        <v/>
      </c>
      <c r="I1190" t="s">
        <v>4290</v>
      </c>
      <c r="J1190" t="str">
        <f t="shared" si="151"/>
        <v/>
      </c>
      <c r="K1190" t="str">
        <f t="shared" si="148"/>
        <v/>
      </c>
      <c r="L1190" s="69"/>
      <c r="M1190">
        <f>'TMIS US'!A1181</f>
        <v>0</v>
      </c>
      <c r="N1190" t="str">
        <f>T('TMIS US'!B1181)</f>
        <v/>
      </c>
      <c r="O1190" t="s">
        <v>4290</v>
      </c>
      <c r="P1190" t="str">
        <f t="shared" si="152"/>
        <v/>
      </c>
      <c r="Q1190" t="str">
        <f t="shared" si="153"/>
        <v/>
      </c>
      <c r="R1190" s="69"/>
      <c r="S1190">
        <f>'TMIS CA'!A1181</f>
        <v>0</v>
      </c>
      <c r="T1190" t="str">
        <f>T('TMIS CA'!B1181)</f>
        <v/>
      </c>
      <c r="U1190" t="s">
        <v>4290</v>
      </c>
      <c r="V1190" t="str">
        <f t="shared" si="155"/>
        <v/>
      </c>
      <c r="W1190" t="str">
        <f t="shared" si="154"/>
        <v/>
      </c>
    </row>
    <row r="1191" spans="1:23">
      <c r="A1191">
        <f>'IPTV US'!A1182</f>
        <v>0</v>
      </c>
      <c r="B1191" t="str">
        <f>T('IPTV US'!B1182)</f>
        <v/>
      </c>
      <c r="C1191" t="s">
        <v>4290</v>
      </c>
      <c r="D1191" t="str">
        <f t="shared" si="149"/>
        <v/>
      </c>
      <c r="E1191" t="str">
        <f t="shared" si="150"/>
        <v/>
      </c>
      <c r="F1191" s="68" t="s">
        <v>4289</v>
      </c>
      <c r="G1191">
        <f>'IPTV CA'!A1182</f>
        <v>0</v>
      </c>
      <c r="H1191" t="str">
        <f>T('IPTV CA'!B1182)</f>
        <v/>
      </c>
      <c r="I1191" t="s">
        <v>4290</v>
      </c>
      <c r="J1191" t="str">
        <f t="shared" si="151"/>
        <v/>
      </c>
      <c r="K1191" t="str">
        <f t="shared" si="148"/>
        <v/>
      </c>
      <c r="L1191" s="69"/>
      <c r="M1191">
        <f>'TMIS US'!A1182</f>
        <v>0</v>
      </c>
      <c r="N1191" t="str">
        <f>T('TMIS US'!B1182)</f>
        <v/>
      </c>
      <c r="O1191" t="s">
        <v>4290</v>
      </c>
      <c r="P1191" t="str">
        <f t="shared" si="152"/>
        <v/>
      </c>
      <c r="Q1191" t="str">
        <f t="shared" si="153"/>
        <v/>
      </c>
      <c r="R1191" s="69"/>
      <c r="S1191">
        <f>'TMIS CA'!A1182</f>
        <v>0</v>
      </c>
      <c r="T1191" t="str">
        <f>T('TMIS CA'!B1182)</f>
        <v/>
      </c>
      <c r="U1191" t="s">
        <v>4290</v>
      </c>
      <c r="V1191" t="str">
        <f t="shared" si="155"/>
        <v/>
      </c>
      <c r="W1191" t="str">
        <f t="shared" si="154"/>
        <v/>
      </c>
    </row>
    <row r="1192" spans="1:23">
      <c r="A1192">
        <f>'IPTV US'!A1183</f>
        <v>0</v>
      </c>
      <c r="B1192" t="str">
        <f>T('IPTV US'!B1183)</f>
        <v/>
      </c>
      <c r="C1192" t="s">
        <v>4290</v>
      </c>
      <c r="D1192" t="str">
        <f t="shared" si="149"/>
        <v/>
      </c>
      <c r="E1192" t="str">
        <f t="shared" si="150"/>
        <v/>
      </c>
      <c r="F1192" s="68" t="s">
        <v>4289</v>
      </c>
      <c r="G1192">
        <f>'IPTV CA'!A1183</f>
        <v>0</v>
      </c>
      <c r="H1192" t="str">
        <f>T('IPTV CA'!B1183)</f>
        <v/>
      </c>
      <c r="I1192" t="s">
        <v>4290</v>
      </c>
      <c r="J1192" t="str">
        <f t="shared" si="151"/>
        <v/>
      </c>
      <c r="K1192" t="str">
        <f t="shared" si="148"/>
        <v/>
      </c>
      <c r="L1192" s="69"/>
      <c r="M1192">
        <f>'TMIS US'!A1183</f>
        <v>0</v>
      </c>
      <c r="N1192" t="str">
        <f>T('TMIS US'!B1183)</f>
        <v/>
      </c>
      <c r="O1192" t="s">
        <v>4290</v>
      </c>
      <c r="P1192" t="str">
        <f t="shared" si="152"/>
        <v/>
      </c>
      <c r="Q1192" t="str">
        <f t="shared" si="153"/>
        <v/>
      </c>
      <c r="R1192" s="69"/>
      <c r="S1192">
        <f>'TMIS CA'!A1183</f>
        <v>0</v>
      </c>
      <c r="T1192" t="str">
        <f>T('TMIS CA'!B1183)</f>
        <v/>
      </c>
      <c r="U1192" t="s">
        <v>4290</v>
      </c>
      <c r="V1192" t="str">
        <f t="shared" si="155"/>
        <v/>
      </c>
      <c r="W1192" t="str">
        <f t="shared" si="154"/>
        <v/>
      </c>
    </row>
    <row r="1193" spans="1:23">
      <c r="A1193">
        <f>'IPTV US'!A1184</f>
        <v>0</v>
      </c>
      <c r="B1193" t="str">
        <f>T('IPTV US'!B1184)</f>
        <v/>
      </c>
      <c r="C1193" t="s">
        <v>4290</v>
      </c>
      <c r="D1193" t="str">
        <f t="shared" si="149"/>
        <v/>
      </c>
      <c r="E1193" t="str">
        <f t="shared" si="150"/>
        <v/>
      </c>
      <c r="F1193" s="68" t="s">
        <v>4289</v>
      </c>
      <c r="G1193">
        <f>'IPTV CA'!A1184</f>
        <v>0</v>
      </c>
      <c r="H1193" t="str">
        <f>T('IPTV CA'!B1184)</f>
        <v/>
      </c>
      <c r="I1193" t="s">
        <v>4290</v>
      </c>
      <c r="J1193" t="str">
        <f t="shared" si="151"/>
        <v/>
      </c>
      <c r="K1193" t="str">
        <f t="shared" si="148"/>
        <v/>
      </c>
      <c r="L1193" s="69"/>
      <c r="M1193">
        <f>'TMIS US'!A1184</f>
        <v>0</v>
      </c>
      <c r="N1193" t="str">
        <f>T('TMIS US'!B1184)</f>
        <v/>
      </c>
      <c r="O1193" t="s">
        <v>4290</v>
      </c>
      <c r="P1193" t="str">
        <f t="shared" si="152"/>
        <v/>
      </c>
      <c r="Q1193" t="str">
        <f t="shared" si="153"/>
        <v/>
      </c>
      <c r="R1193" s="69"/>
      <c r="S1193">
        <f>'TMIS CA'!A1184</f>
        <v>0</v>
      </c>
      <c r="T1193" t="str">
        <f>T('TMIS CA'!B1184)</f>
        <v/>
      </c>
      <c r="U1193" t="s">
        <v>4290</v>
      </c>
      <c r="V1193" t="str">
        <f t="shared" si="155"/>
        <v/>
      </c>
      <c r="W1193" t="str">
        <f t="shared" si="154"/>
        <v/>
      </c>
    </row>
    <row r="1194" spans="1:23">
      <c r="A1194">
        <f>'IPTV US'!A1185</f>
        <v>0</v>
      </c>
      <c r="B1194" t="str">
        <f>T('IPTV US'!B1185)</f>
        <v/>
      </c>
      <c r="C1194" t="s">
        <v>4290</v>
      </c>
      <c r="D1194" t="str">
        <f t="shared" si="149"/>
        <v/>
      </c>
      <c r="E1194" t="str">
        <f t="shared" si="150"/>
        <v/>
      </c>
      <c r="F1194" s="68" t="s">
        <v>4289</v>
      </c>
      <c r="G1194">
        <f>'IPTV CA'!A1185</f>
        <v>0</v>
      </c>
      <c r="H1194" t="str">
        <f>T('IPTV CA'!B1185)</f>
        <v/>
      </c>
      <c r="I1194" t="s">
        <v>4290</v>
      </c>
      <c r="J1194" t="str">
        <f t="shared" si="151"/>
        <v/>
      </c>
      <c r="K1194" t="str">
        <f t="shared" si="148"/>
        <v/>
      </c>
      <c r="L1194" s="69"/>
      <c r="M1194">
        <f>'TMIS US'!A1185</f>
        <v>0</v>
      </c>
      <c r="N1194" t="str">
        <f>T('TMIS US'!B1185)</f>
        <v/>
      </c>
      <c r="O1194" t="s">
        <v>4290</v>
      </c>
      <c r="P1194" t="str">
        <f t="shared" si="152"/>
        <v/>
      </c>
      <c r="Q1194" t="str">
        <f t="shared" si="153"/>
        <v/>
      </c>
      <c r="R1194" s="69"/>
      <c r="S1194">
        <f>'TMIS CA'!A1185</f>
        <v>0</v>
      </c>
      <c r="T1194" t="str">
        <f>T('TMIS CA'!B1185)</f>
        <v/>
      </c>
      <c r="U1194" t="s">
        <v>4290</v>
      </c>
      <c r="V1194" t="str">
        <f t="shared" si="155"/>
        <v/>
      </c>
      <c r="W1194" t="str">
        <f t="shared" si="154"/>
        <v/>
      </c>
    </row>
    <row r="1195" spans="1:23">
      <c r="A1195">
        <f>'IPTV US'!A1186</f>
        <v>0</v>
      </c>
      <c r="B1195" t="str">
        <f>T('IPTV US'!B1186)</f>
        <v/>
      </c>
      <c r="C1195" t="s">
        <v>4290</v>
      </c>
      <c r="D1195" t="str">
        <f t="shared" si="149"/>
        <v/>
      </c>
      <c r="E1195" t="str">
        <f t="shared" si="150"/>
        <v/>
      </c>
      <c r="F1195" s="68" t="s">
        <v>4289</v>
      </c>
      <c r="G1195">
        <f>'IPTV CA'!A1186</f>
        <v>0</v>
      </c>
      <c r="H1195" t="str">
        <f>T('IPTV CA'!B1186)</f>
        <v/>
      </c>
      <c r="I1195" t="s">
        <v>4290</v>
      </c>
      <c r="J1195" t="str">
        <f t="shared" si="151"/>
        <v/>
      </c>
      <c r="K1195" t="str">
        <f t="shared" si="148"/>
        <v/>
      </c>
      <c r="L1195" s="69"/>
      <c r="M1195">
        <f>'TMIS US'!A1186</f>
        <v>0</v>
      </c>
      <c r="N1195" t="str">
        <f>T('TMIS US'!B1186)</f>
        <v/>
      </c>
      <c r="O1195" t="s">
        <v>4290</v>
      </c>
      <c r="P1195" t="str">
        <f t="shared" si="152"/>
        <v/>
      </c>
      <c r="Q1195" t="str">
        <f t="shared" si="153"/>
        <v/>
      </c>
      <c r="R1195" s="69"/>
      <c r="S1195">
        <f>'TMIS CA'!A1186</f>
        <v>0</v>
      </c>
      <c r="T1195" t="str">
        <f>T('TMIS CA'!B1186)</f>
        <v/>
      </c>
      <c r="U1195" t="s">
        <v>4290</v>
      </c>
      <c r="V1195" t="str">
        <f t="shared" si="155"/>
        <v/>
      </c>
      <c r="W1195" t="str">
        <f t="shared" si="154"/>
        <v/>
      </c>
    </row>
    <row r="1196" spans="1:23">
      <c r="A1196">
        <f>'IPTV US'!A1187</f>
        <v>0</v>
      </c>
      <c r="B1196" t="str">
        <f>T('IPTV US'!B1187)</f>
        <v/>
      </c>
      <c r="C1196" t="s">
        <v>4290</v>
      </c>
      <c r="D1196" t="str">
        <f t="shared" si="149"/>
        <v/>
      </c>
      <c r="E1196" t="str">
        <f t="shared" si="150"/>
        <v/>
      </c>
      <c r="F1196" s="68" t="s">
        <v>4289</v>
      </c>
      <c r="G1196">
        <f>'IPTV CA'!A1187</f>
        <v>0</v>
      </c>
      <c r="H1196" t="str">
        <f>T('IPTV CA'!B1187)</f>
        <v/>
      </c>
      <c r="I1196" t="s">
        <v>4290</v>
      </c>
      <c r="J1196" t="str">
        <f t="shared" si="151"/>
        <v/>
      </c>
      <c r="K1196" t="str">
        <f t="shared" si="148"/>
        <v/>
      </c>
      <c r="L1196" s="69"/>
      <c r="M1196">
        <f>'TMIS US'!A1187</f>
        <v>0</v>
      </c>
      <c r="N1196" t="str">
        <f>T('TMIS US'!B1187)</f>
        <v/>
      </c>
      <c r="O1196" t="s">
        <v>4290</v>
      </c>
      <c r="P1196" t="str">
        <f t="shared" si="152"/>
        <v/>
      </c>
      <c r="Q1196" t="str">
        <f t="shared" si="153"/>
        <v/>
      </c>
      <c r="R1196" s="69"/>
      <c r="S1196">
        <f>'TMIS CA'!A1187</f>
        <v>0</v>
      </c>
      <c r="T1196" t="str">
        <f>T('TMIS CA'!B1187)</f>
        <v/>
      </c>
      <c r="U1196" t="s">
        <v>4290</v>
      </c>
      <c r="V1196" t="str">
        <f t="shared" si="155"/>
        <v/>
      </c>
      <c r="W1196" t="str">
        <f t="shared" si="154"/>
        <v/>
      </c>
    </row>
    <row r="1197" spans="1:23">
      <c r="A1197">
        <f>'IPTV US'!A1188</f>
        <v>0</v>
      </c>
      <c r="B1197" t="str">
        <f>T('IPTV US'!B1188)</f>
        <v/>
      </c>
      <c r="C1197" t="s">
        <v>4290</v>
      </c>
      <c r="D1197" t="str">
        <f t="shared" si="149"/>
        <v/>
      </c>
      <c r="E1197" t="str">
        <f t="shared" si="150"/>
        <v/>
      </c>
      <c r="F1197" s="68" t="s">
        <v>4289</v>
      </c>
      <c r="G1197">
        <f>'IPTV CA'!A1188</f>
        <v>0</v>
      </c>
      <c r="H1197" t="str">
        <f>T('IPTV CA'!B1188)</f>
        <v/>
      </c>
      <c r="I1197" t="s">
        <v>4290</v>
      </c>
      <c r="J1197" t="str">
        <f t="shared" si="151"/>
        <v/>
      </c>
      <c r="K1197" t="str">
        <f t="shared" ref="K1197:K1260" si="156">IF(I1197="Vacant",IF(H1197="","","Please Notify - Channel Added"),"")</f>
        <v/>
      </c>
      <c r="L1197" s="69"/>
      <c r="M1197">
        <f>'TMIS US'!A1188</f>
        <v>0</v>
      </c>
      <c r="N1197" t="str">
        <f>T('TMIS US'!B1188)</f>
        <v/>
      </c>
      <c r="O1197" t="s">
        <v>4290</v>
      </c>
      <c r="P1197" t="str">
        <f t="shared" si="152"/>
        <v/>
      </c>
      <c r="Q1197" t="str">
        <f t="shared" si="153"/>
        <v/>
      </c>
      <c r="R1197" s="69"/>
      <c r="S1197">
        <f>'TMIS CA'!A1188</f>
        <v>0</v>
      </c>
      <c r="T1197" t="str">
        <f>T('TMIS CA'!B1188)</f>
        <v/>
      </c>
      <c r="U1197" t="s">
        <v>4290</v>
      </c>
      <c r="V1197" t="str">
        <f t="shared" si="155"/>
        <v/>
      </c>
      <c r="W1197" t="str">
        <f t="shared" si="154"/>
        <v/>
      </c>
    </row>
    <row r="1198" spans="1:23">
      <c r="A1198">
        <f>'IPTV US'!A1189</f>
        <v>0</v>
      </c>
      <c r="B1198" t="str">
        <f>T('IPTV US'!B1189)</f>
        <v/>
      </c>
      <c r="C1198" t="s">
        <v>4290</v>
      </c>
      <c r="D1198" t="str">
        <f t="shared" si="149"/>
        <v/>
      </c>
      <c r="E1198" t="str">
        <f t="shared" si="150"/>
        <v/>
      </c>
      <c r="F1198" s="68" t="s">
        <v>4289</v>
      </c>
      <c r="G1198">
        <f>'IPTV CA'!A1189</f>
        <v>0</v>
      </c>
      <c r="H1198" t="str">
        <f>T('IPTV CA'!B1189)</f>
        <v/>
      </c>
      <c r="I1198" t="s">
        <v>4290</v>
      </c>
      <c r="J1198" t="str">
        <f t="shared" si="151"/>
        <v/>
      </c>
      <c r="K1198" t="str">
        <f t="shared" si="156"/>
        <v/>
      </c>
      <c r="L1198" s="69"/>
      <c r="M1198">
        <f>'TMIS US'!A1189</f>
        <v>0</v>
      </c>
      <c r="N1198" t="str">
        <f>T('TMIS US'!B1189)</f>
        <v/>
      </c>
      <c r="O1198" t="s">
        <v>4290</v>
      </c>
      <c r="P1198" t="str">
        <f t="shared" si="152"/>
        <v/>
      </c>
      <c r="Q1198" t="str">
        <f t="shared" si="153"/>
        <v/>
      </c>
      <c r="R1198" s="69"/>
      <c r="S1198">
        <f>'TMIS CA'!A1189</f>
        <v>0</v>
      </c>
      <c r="T1198" t="str">
        <f>T('TMIS CA'!B1189)</f>
        <v/>
      </c>
      <c r="U1198" t="s">
        <v>4290</v>
      </c>
      <c r="V1198" t="str">
        <f t="shared" si="155"/>
        <v/>
      </c>
      <c r="W1198" t="str">
        <f t="shared" si="154"/>
        <v/>
      </c>
    </row>
    <row r="1199" spans="1:23">
      <c r="A1199">
        <f>'IPTV US'!A1190</f>
        <v>0</v>
      </c>
      <c r="B1199" t="str">
        <f>T('IPTV US'!B1190)</f>
        <v/>
      </c>
      <c r="C1199" t="s">
        <v>4290</v>
      </c>
      <c r="D1199" t="str">
        <f t="shared" si="149"/>
        <v/>
      </c>
      <c r="E1199" t="str">
        <f t="shared" si="150"/>
        <v/>
      </c>
      <c r="F1199" s="68" t="s">
        <v>4289</v>
      </c>
      <c r="G1199">
        <f>'IPTV CA'!A1190</f>
        <v>0</v>
      </c>
      <c r="H1199" t="str">
        <f>T('IPTV CA'!B1190)</f>
        <v/>
      </c>
      <c r="I1199" t="s">
        <v>4290</v>
      </c>
      <c r="J1199" t="str">
        <f t="shared" si="151"/>
        <v/>
      </c>
      <c r="K1199" t="str">
        <f t="shared" si="156"/>
        <v/>
      </c>
      <c r="L1199" s="69"/>
      <c r="M1199">
        <f>'TMIS US'!A1190</f>
        <v>0</v>
      </c>
      <c r="N1199" t="str">
        <f>T('TMIS US'!B1190)</f>
        <v/>
      </c>
      <c r="O1199" t="s">
        <v>4290</v>
      </c>
      <c r="P1199" t="str">
        <f t="shared" si="152"/>
        <v/>
      </c>
      <c r="Q1199" t="str">
        <f t="shared" si="153"/>
        <v/>
      </c>
      <c r="R1199" s="69"/>
      <c r="S1199">
        <f>'TMIS CA'!A1190</f>
        <v>0</v>
      </c>
      <c r="T1199" t="str">
        <f>T('TMIS CA'!B1190)</f>
        <v/>
      </c>
      <c r="U1199" t="s">
        <v>4290</v>
      </c>
      <c r="V1199" t="str">
        <f t="shared" si="155"/>
        <v/>
      </c>
      <c r="W1199" t="str">
        <f t="shared" si="154"/>
        <v/>
      </c>
    </row>
    <row r="1200" spans="1:23">
      <c r="A1200">
        <f>'IPTV US'!A1191</f>
        <v>0</v>
      </c>
      <c r="B1200" t="str">
        <f>T('IPTV US'!B1191)</f>
        <v/>
      </c>
      <c r="C1200" t="s">
        <v>4290</v>
      </c>
      <c r="D1200" t="str">
        <f t="shared" si="149"/>
        <v/>
      </c>
      <c r="E1200" t="str">
        <f t="shared" si="150"/>
        <v/>
      </c>
      <c r="F1200" s="68" t="s">
        <v>4289</v>
      </c>
      <c r="G1200">
        <f>'IPTV CA'!A1191</f>
        <v>0</v>
      </c>
      <c r="H1200" t="str">
        <f>T('IPTV CA'!B1191)</f>
        <v/>
      </c>
      <c r="I1200" t="s">
        <v>4290</v>
      </c>
      <c r="J1200" t="str">
        <f t="shared" si="151"/>
        <v/>
      </c>
      <c r="K1200" t="str">
        <f t="shared" si="156"/>
        <v/>
      </c>
      <c r="L1200" s="69"/>
      <c r="M1200">
        <f>'TMIS US'!A1191</f>
        <v>0</v>
      </c>
      <c r="N1200" t="str">
        <f>T('TMIS US'!B1191)</f>
        <v/>
      </c>
      <c r="O1200" t="s">
        <v>4290</v>
      </c>
      <c r="P1200" t="str">
        <f t="shared" si="152"/>
        <v/>
      </c>
      <c r="Q1200" t="str">
        <f t="shared" si="153"/>
        <v/>
      </c>
      <c r="R1200" s="69"/>
      <c r="S1200">
        <f>'TMIS CA'!A1191</f>
        <v>0</v>
      </c>
      <c r="T1200" t="str">
        <f>T('TMIS CA'!B1191)</f>
        <v/>
      </c>
      <c r="U1200" t="s">
        <v>4290</v>
      </c>
      <c r="V1200" t="str">
        <f t="shared" si="155"/>
        <v/>
      </c>
      <c r="W1200" t="str">
        <f t="shared" si="154"/>
        <v/>
      </c>
    </row>
    <row r="1201" spans="1:23">
      <c r="A1201">
        <f>'IPTV US'!A1192</f>
        <v>0</v>
      </c>
      <c r="B1201" t="str">
        <f>T('IPTV US'!B1192)</f>
        <v/>
      </c>
      <c r="C1201" t="s">
        <v>4290</v>
      </c>
      <c r="D1201" t="str">
        <f t="shared" si="149"/>
        <v/>
      </c>
      <c r="E1201" t="str">
        <f t="shared" si="150"/>
        <v/>
      </c>
      <c r="F1201" s="68" t="s">
        <v>4289</v>
      </c>
      <c r="G1201">
        <f>'IPTV CA'!A1192</f>
        <v>0</v>
      </c>
      <c r="H1201" t="str">
        <f>T('IPTV CA'!B1192)</f>
        <v/>
      </c>
      <c r="I1201" t="s">
        <v>4290</v>
      </c>
      <c r="J1201" t="str">
        <f t="shared" si="151"/>
        <v/>
      </c>
      <c r="K1201" t="str">
        <f t="shared" si="156"/>
        <v/>
      </c>
      <c r="L1201" s="69"/>
      <c r="M1201">
        <f>'TMIS US'!A1192</f>
        <v>0</v>
      </c>
      <c r="N1201" t="str">
        <f>T('TMIS US'!B1192)</f>
        <v/>
      </c>
      <c r="O1201" t="s">
        <v>4290</v>
      </c>
      <c r="P1201" t="str">
        <f t="shared" si="152"/>
        <v/>
      </c>
      <c r="Q1201" t="str">
        <f t="shared" si="153"/>
        <v/>
      </c>
      <c r="R1201" s="69"/>
      <c r="S1201">
        <f>'TMIS CA'!A1192</f>
        <v>0</v>
      </c>
      <c r="T1201" t="str">
        <f>T('TMIS CA'!B1192)</f>
        <v/>
      </c>
      <c r="U1201" t="s">
        <v>4290</v>
      </c>
      <c r="V1201" t="str">
        <f t="shared" si="155"/>
        <v/>
      </c>
      <c r="W1201" t="str">
        <f t="shared" si="154"/>
        <v/>
      </c>
    </row>
    <row r="1202" spans="1:23">
      <c r="A1202">
        <f>'IPTV US'!A1193</f>
        <v>0</v>
      </c>
      <c r="B1202" t="str">
        <f>T('IPTV US'!B1193)</f>
        <v/>
      </c>
      <c r="C1202" t="s">
        <v>4290</v>
      </c>
      <c r="D1202" t="str">
        <f t="shared" si="149"/>
        <v/>
      </c>
      <c r="E1202" t="str">
        <f t="shared" si="150"/>
        <v/>
      </c>
      <c r="F1202" s="68" t="s">
        <v>4289</v>
      </c>
      <c r="G1202">
        <f>'IPTV CA'!A1193</f>
        <v>0</v>
      </c>
      <c r="H1202" t="str">
        <f>T('IPTV CA'!B1193)</f>
        <v/>
      </c>
      <c r="I1202" t="s">
        <v>4290</v>
      </c>
      <c r="J1202" t="str">
        <f t="shared" si="151"/>
        <v/>
      </c>
      <c r="K1202" t="str">
        <f t="shared" si="156"/>
        <v/>
      </c>
      <c r="L1202" s="69"/>
      <c r="M1202">
        <f>'TMIS US'!A1193</f>
        <v>0</v>
      </c>
      <c r="N1202" t="str">
        <f>T('TMIS US'!B1193)</f>
        <v/>
      </c>
      <c r="O1202" t="s">
        <v>4290</v>
      </c>
      <c r="P1202" t="str">
        <f t="shared" si="152"/>
        <v/>
      </c>
      <c r="Q1202" t="str">
        <f t="shared" si="153"/>
        <v/>
      </c>
      <c r="R1202" s="69"/>
      <c r="S1202">
        <f>'TMIS CA'!A1193</f>
        <v>0</v>
      </c>
      <c r="T1202" t="str">
        <f>T('TMIS CA'!B1193)</f>
        <v/>
      </c>
      <c r="U1202" t="s">
        <v>4290</v>
      </c>
      <c r="V1202" t="str">
        <f t="shared" si="155"/>
        <v/>
      </c>
      <c r="W1202" t="str">
        <f t="shared" si="154"/>
        <v/>
      </c>
    </row>
    <row r="1203" spans="1:23">
      <c r="A1203">
        <f>'IPTV US'!A1194</f>
        <v>0</v>
      </c>
      <c r="B1203" t="str">
        <f>T('IPTV US'!B1194)</f>
        <v/>
      </c>
      <c r="C1203" t="s">
        <v>4290</v>
      </c>
      <c r="D1203" t="str">
        <f t="shared" si="149"/>
        <v/>
      </c>
      <c r="E1203" t="str">
        <f t="shared" si="150"/>
        <v/>
      </c>
      <c r="F1203" s="68" t="s">
        <v>4289</v>
      </c>
      <c r="G1203">
        <f>'IPTV CA'!A1194</f>
        <v>0</v>
      </c>
      <c r="H1203" t="str">
        <f>T('IPTV CA'!B1194)</f>
        <v/>
      </c>
      <c r="I1203" t="s">
        <v>4290</v>
      </c>
      <c r="J1203" t="str">
        <f t="shared" si="151"/>
        <v/>
      </c>
      <c r="K1203" t="str">
        <f t="shared" si="156"/>
        <v/>
      </c>
      <c r="L1203" s="69"/>
      <c r="M1203">
        <f>'TMIS US'!A1194</f>
        <v>0</v>
      </c>
      <c r="N1203" t="str">
        <f>T('TMIS US'!B1194)</f>
        <v/>
      </c>
      <c r="O1203" t="s">
        <v>4290</v>
      </c>
      <c r="P1203" t="str">
        <f t="shared" si="152"/>
        <v/>
      </c>
      <c r="Q1203" t="str">
        <f t="shared" si="153"/>
        <v/>
      </c>
      <c r="R1203" s="69"/>
      <c r="S1203">
        <f>'TMIS CA'!A1194</f>
        <v>0</v>
      </c>
      <c r="T1203" t="str">
        <f>T('TMIS CA'!B1194)</f>
        <v/>
      </c>
      <c r="U1203" t="s">
        <v>4290</v>
      </c>
      <c r="V1203" t="str">
        <f t="shared" si="155"/>
        <v/>
      </c>
      <c r="W1203" t="str">
        <f t="shared" si="154"/>
        <v/>
      </c>
    </row>
    <row r="1204" spans="1:23">
      <c r="A1204">
        <f>'IPTV US'!A1195</f>
        <v>0</v>
      </c>
      <c r="B1204" t="str">
        <f>T('IPTV US'!B1195)</f>
        <v/>
      </c>
      <c r="C1204" t="s">
        <v>4290</v>
      </c>
      <c r="D1204" t="str">
        <f t="shared" si="149"/>
        <v/>
      </c>
      <c r="E1204" t="str">
        <f t="shared" si="150"/>
        <v/>
      </c>
      <c r="F1204" s="68" t="s">
        <v>4289</v>
      </c>
      <c r="G1204">
        <f>'IPTV CA'!A1195</f>
        <v>0</v>
      </c>
      <c r="H1204" t="str">
        <f>T('IPTV CA'!B1195)</f>
        <v/>
      </c>
      <c r="I1204" t="s">
        <v>4290</v>
      </c>
      <c r="J1204" t="str">
        <f t="shared" si="151"/>
        <v/>
      </c>
      <c r="K1204" t="str">
        <f t="shared" si="156"/>
        <v/>
      </c>
      <c r="L1204" s="69"/>
      <c r="M1204">
        <f>'TMIS US'!A1195</f>
        <v>0</v>
      </c>
      <c r="N1204" t="str">
        <f>T('TMIS US'!B1195)</f>
        <v/>
      </c>
      <c r="O1204" t="s">
        <v>4290</v>
      </c>
      <c r="P1204" t="str">
        <f t="shared" si="152"/>
        <v/>
      </c>
      <c r="Q1204" t="str">
        <f t="shared" si="153"/>
        <v/>
      </c>
      <c r="R1204" s="69"/>
      <c r="S1204">
        <f>'TMIS CA'!A1195</f>
        <v>0</v>
      </c>
      <c r="T1204" t="str">
        <f>T('TMIS CA'!B1195)</f>
        <v/>
      </c>
      <c r="U1204" t="s">
        <v>4290</v>
      </c>
      <c r="V1204" t="str">
        <f t="shared" si="155"/>
        <v/>
      </c>
      <c r="W1204" t="str">
        <f t="shared" si="154"/>
        <v/>
      </c>
    </row>
    <row r="1205" spans="1:23">
      <c r="A1205">
        <f>'IPTV US'!A1196</f>
        <v>0</v>
      </c>
      <c r="B1205" t="str">
        <f>T('IPTV US'!B1196)</f>
        <v/>
      </c>
      <c r="C1205" t="s">
        <v>4290</v>
      </c>
      <c r="D1205" t="str">
        <f t="shared" si="149"/>
        <v/>
      </c>
      <c r="E1205" t="str">
        <f t="shared" si="150"/>
        <v/>
      </c>
      <c r="F1205" s="68" t="s">
        <v>4289</v>
      </c>
      <c r="G1205">
        <f>'IPTV CA'!A1196</f>
        <v>0</v>
      </c>
      <c r="H1205" t="str">
        <f>T('IPTV CA'!B1196)</f>
        <v/>
      </c>
      <c r="I1205" t="s">
        <v>4290</v>
      </c>
      <c r="J1205" t="str">
        <f t="shared" si="151"/>
        <v/>
      </c>
      <c r="K1205" t="str">
        <f t="shared" si="156"/>
        <v/>
      </c>
      <c r="L1205" s="69"/>
      <c r="M1205">
        <f>'TMIS US'!A1196</f>
        <v>0</v>
      </c>
      <c r="N1205" t="str">
        <f>T('TMIS US'!B1196)</f>
        <v/>
      </c>
      <c r="O1205" t="s">
        <v>4290</v>
      </c>
      <c r="P1205" t="str">
        <f t="shared" si="152"/>
        <v/>
      </c>
      <c r="Q1205" t="str">
        <f t="shared" si="153"/>
        <v/>
      </c>
      <c r="R1205" s="69"/>
      <c r="S1205">
        <f>'TMIS CA'!A1196</f>
        <v>0</v>
      </c>
      <c r="T1205" t="str">
        <f>T('TMIS CA'!B1196)</f>
        <v/>
      </c>
      <c r="U1205" t="s">
        <v>4290</v>
      </c>
      <c r="V1205" t="str">
        <f t="shared" si="155"/>
        <v/>
      </c>
      <c r="W1205" t="str">
        <f t="shared" si="154"/>
        <v/>
      </c>
    </row>
    <row r="1206" spans="1:23">
      <c r="A1206">
        <f>'IPTV US'!A1197</f>
        <v>0</v>
      </c>
      <c r="B1206" t="str">
        <f>T('IPTV US'!B1197)</f>
        <v/>
      </c>
      <c r="C1206" t="s">
        <v>4290</v>
      </c>
      <c r="D1206" t="str">
        <f t="shared" si="149"/>
        <v/>
      </c>
      <c r="E1206" t="str">
        <f t="shared" si="150"/>
        <v/>
      </c>
      <c r="F1206" s="68" t="s">
        <v>4289</v>
      </c>
      <c r="G1206">
        <f>'IPTV CA'!A1197</f>
        <v>0</v>
      </c>
      <c r="H1206" t="str">
        <f>T('IPTV CA'!B1197)</f>
        <v/>
      </c>
      <c r="I1206" t="s">
        <v>4290</v>
      </c>
      <c r="J1206" t="str">
        <f t="shared" si="151"/>
        <v/>
      </c>
      <c r="K1206" t="str">
        <f t="shared" si="156"/>
        <v/>
      </c>
      <c r="L1206" s="69"/>
      <c r="M1206">
        <f>'TMIS US'!A1197</f>
        <v>0</v>
      </c>
      <c r="N1206" t="str">
        <f>T('TMIS US'!B1197)</f>
        <v/>
      </c>
      <c r="O1206" t="s">
        <v>4290</v>
      </c>
      <c r="P1206" t="str">
        <f t="shared" si="152"/>
        <v/>
      </c>
      <c r="Q1206" t="str">
        <f t="shared" si="153"/>
        <v/>
      </c>
      <c r="R1206" s="69"/>
      <c r="S1206">
        <f>'TMIS CA'!A1197</f>
        <v>0</v>
      </c>
      <c r="T1206" t="str">
        <f>T('TMIS CA'!B1197)</f>
        <v/>
      </c>
      <c r="U1206" t="s">
        <v>4290</v>
      </c>
      <c r="V1206" t="str">
        <f t="shared" si="155"/>
        <v/>
      </c>
      <c r="W1206" t="str">
        <f t="shared" si="154"/>
        <v/>
      </c>
    </row>
    <row r="1207" spans="1:23">
      <c r="A1207">
        <f>'IPTV US'!A1198</f>
        <v>0</v>
      </c>
      <c r="B1207" t="str">
        <f>T('IPTV US'!B1198)</f>
        <v/>
      </c>
      <c r="C1207" t="s">
        <v>4290</v>
      </c>
      <c r="D1207" t="str">
        <f t="shared" si="149"/>
        <v/>
      </c>
      <c r="E1207" t="str">
        <f t="shared" si="150"/>
        <v/>
      </c>
      <c r="F1207" s="68" t="s">
        <v>4289</v>
      </c>
      <c r="G1207">
        <f>'IPTV CA'!A1198</f>
        <v>0</v>
      </c>
      <c r="H1207" t="str">
        <f>T('IPTV CA'!B1198)</f>
        <v/>
      </c>
      <c r="I1207" t="s">
        <v>4290</v>
      </c>
      <c r="J1207" t="str">
        <f t="shared" si="151"/>
        <v/>
      </c>
      <c r="K1207" t="str">
        <f t="shared" si="156"/>
        <v/>
      </c>
      <c r="L1207" s="69"/>
      <c r="M1207">
        <f>'TMIS US'!A1198</f>
        <v>0</v>
      </c>
      <c r="N1207" t="str">
        <f>T('TMIS US'!B1198)</f>
        <v/>
      </c>
      <c r="O1207" t="s">
        <v>4290</v>
      </c>
      <c r="P1207" t="str">
        <f t="shared" si="152"/>
        <v/>
      </c>
      <c r="Q1207" t="str">
        <f t="shared" si="153"/>
        <v/>
      </c>
      <c r="R1207" s="69"/>
      <c r="S1207">
        <f>'TMIS CA'!A1198</f>
        <v>0</v>
      </c>
      <c r="T1207" t="str">
        <f>T('TMIS CA'!B1198)</f>
        <v/>
      </c>
      <c r="U1207" t="s">
        <v>4290</v>
      </c>
      <c r="V1207" t="str">
        <f t="shared" si="155"/>
        <v/>
      </c>
      <c r="W1207" t="str">
        <f t="shared" si="154"/>
        <v/>
      </c>
    </row>
    <row r="1208" spans="1:23">
      <c r="A1208">
        <f>'IPTV US'!A1199</f>
        <v>0</v>
      </c>
      <c r="B1208" t="str">
        <f>T('IPTV US'!B1199)</f>
        <v/>
      </c>
      <c r="C1208" t="s">
        <v>4290</v>
      </c>
      <c r="D1208" t="str">
        <f t="shared" si="149"/>
        <v/>
      </c>
      <c r="E1208" t="str">
        <f t="shared" si="150"/>
        <v/>
      </c>
      <c r="F1208" s="68" t="s">
        <v>4289</v>
      </c>
      <c r="G1208">
        <f>'IPTV CA'!A1199</f>
        <v>0</v>
      </c>
      <c r="H1208" t="str">
        <f>T('IPTV CA'!B1199)</f>
        <v/>
      </c>
      <c r="I1208" t="s">
        <v>4290</v>
      </c>
      <c r="J1208" t="str">
        <f t="shared" si="151"/>
        <v/>
      </c>
      <c r="K1208" t="str">
        <f t="shared" si="156"/>
        <v/>
      </c>
      <c r="L1208" s="69"/>
      <c r="M1208">
        <f>'TMIS US'!A1199</f>
        <v>0</v>
      </c>
      <c r="N1208" t="str">
        <f>T('TMIS US'!B1199)</f>
        <v/>
      </c>
      <c r="O1208" t="s">
        <v>4290</v>
      </c>
      <c r="P1208" t="str">
        <f t="shared" si="152"/>
        <v/>
      </c>
      <c r="Q1208" t="str">
        <f t="shared" si="153"/>
        <v/>
      </c>
      <c r="R1208" s="69"/>
      <c r="S1208">
        <f>'TMIS CA'!A1199</f>
        <v>0</v>
      </c>
      <c r="T1208" t="str">
        <f>T('TMIS CA'!B1199)</f>
        <v/>
      </c>
      <c r="U1208" t="s">
        <v>4290</v>
      </c>
      <c r="V1208" t="str">
        <f t="shared" si="155"/>
        <v/>
      </c>
      <c r="W1208" t="str">
        <f t="shared" si="154"/>
        <v/>
      </c>
    </row>
    <row r="1209" spans="1:23">
      <c r="A1209">
        <f>'IPTV US'!A1200</f>
        <v>0</v>
      </c>
      <c r="B1209" t="str">
        <f>T('IPTV US'!B1200)</f>
        <v/>
      </c>
      <c r="C1209" t="s">
        <v>4290</v>
      </c>
      <c r="D1209" t="str">
        <f t="shared" si="149"/>
        <v/>
      </c>
      <c r="E1209" t="str">
        <f t="shared" si="150"/>
        <v/>
      </c>
      <c r="F1209" s="68" t="s">
        <v>4289</v>
      </c>
      <c r="G1209">
        <f>'IPTV CA'!A1200</f>
        <v>0</v>
      </c>
      <c r="H1209" t="str">
        <f>T('IPTV CA'!B1200)</f>
        <v/>
      </c>
      <c r="I1209" t="s">
        <v>4290</v>
      </c>
      <c r="J1209" t="str">
        <f t="shared" si="151"/>
        <v/>
      </c>
      <c r="K1209" t="str">
        <f t="shared" si="156"/>
        <v/>
      </c>
      <c r="L1209" s="69"/>
      <c r="M1209">
        <f>'TMIS US'!A1200</f>
        <v>0</v>
      </c>
      <c r="N1209" t="str">
        <f>T('TMIS US'!B1200)</f>
        <v/>
      </c>
      <c r="O1209" t="s">
        <v>4290</v>
      </c>
      <c r="P1209" t="str">
        <f t="shared" si="152"/>
        <v/>
      </c>
      <c r="Q1209" t="str">
        <f t="shared" si="153"/>
        <v/>
      </c>
      <c r="R1209" s="69"/>
      <c r="S1209">
        <f>'TMIS CA'!A1200</f>
        <v>0</v>
      </c>
      <c r="T1209" t="str">
        <f>T('TMIS CA'!B1200)</f>
        <v/>
      </c>
      <c r="U1209" t="s">
        <v>4290</v>
      </c>
      <c r="V1209" t="str">
        <f t="shared" si="155"/>
        <v/>
      </c>
      <c r="W1209" t="str">
        <f t="shared" si="154"/>
        <v/>
      </c>
    </row>
    <row r="1210" spans="1:23">
      <c r="A1210">
        <f>'IPTV US'!A1201</f>
        <v>0</v>
      </c>
      <c r="B1210" t="str">
        <f>T('IPTV US'!B1201)</f>
        <v/>
      </c>
      <c r="C1210" t="s">
        <v>4290</v>
      </c>
      <c r="D1210" t="str">
        <f t="shared" si="149"/>
        <v/>
      </c>
      <c r="E1210" t="str">
        <f t="shared" si="150"/>
        <v/>
      </c>
      <c r="F1210" s="68" t="s">
        <v>4289</v>
      </c>
      <c r="G1210">
        <f>'IPTV CA'!A1201</f>
        <v>0</v>
      </c>
      <c r="H1210" t="str">
        <f>T('IPTV CA'!B1201)</f>
        <v/>
      </c>
      <c r="I1210" t="s">
        <v>4290</v>
      </c>
      <c r="J1210" t="str">
        <f t="shared" si="151"/>
        <v/>
      </c>
      <c r="K1210" t="str">
        <f t="shared" si="156"/>
        <v/>
      </c>
      <c r="L1210" s="69"/>
      <c r="M1210">
        <f>'TMIS US'!A1201</f>
        <v>0</v>
      </c>
      <c r="N1210" t="str">
        <f>T('TMIS US'!B1201)</f>
        <v/>
      </c>
      <c r="O1210" t="s">
        <v>4290</v>
      </c>
      <c r="P1210" t="str">
        <f t="shared" si="152"/>
        <v/>
      </c>
      <c r="Q1210" t="str">
        <f t="shared" si="153"/>
        <v/>
      </c>
      <c r="R1210" s="69"/>
      <c r="S1210">
        <f>'TMIS CA'!A1201</f>
        <v>0</v>
      </c>
      <c r="T1210" t="str">
        <f>T('TMIS CA'!B1201)</f>
        <v/>
      </c>
      <c r="U1210" t="s">
        <v>4290</v>
      </c>
      <c r="V1210" t="str">
        <f t="shared" si="155"/>
        <v/>
      </c>
      <c r="W1210" t="str">
        <f t="shared" si="154"/>
        <v/>
      </c>
    </row>
    <row r="1211" spans="1:23">
      <c r="A1211">
        <f>'IPTV US'!A1202</f>
        <v>0</v>
      </c>
      <c r="B1211" t="str">
        <f>T('IPTV US'!B1202)</f>
        <v/>
      </c>
      <c r="C1211" t="s">
        <v>4290</v>
      </c>
      <c r="D1211" t="str">
        <f t="shared" si="149"/>
        <v/>
      </c>
      <c r="E1211" t="str">
        <f t="shared" si="150"/>
        <v/>
      </c>
      <c r="F1211" s="68" t="s">
        <v>4289</v>
      </c>
      <c r="G1211">
        <f>'IPTV CA'!A1202</f>
        <v>0</v>
      </c>
      <c r="H1211" t="str">
        <f>T('IPTV CA'!B1202)</f>
        <v/>
      </c>
      <c r="I1211" t="s">
        <v>4290</v>
      </c>
      <c r="J1211" t="str">
        <f t="shared" si="151"/>
        <v/>
      </c>
      <c r="K1211" t="str">
        <f t="shared" si="156"/>
        <v/>
      </c>
      <c r="L1211" s="69"/>
      <c r="M1211">
        <f>'TMIS US'!A1202</f>
        <v>0</v>
      </c>
      <c r="N1211" t="str">
        <f>T('TMIS US'!B1202)</f>
        <v/>
      </c>
      <c r="O1211" t="s">
        <v>4290</v>
      </c>
      <c r="P1211" t="str">
        <f t="shared" si="152"/>
        <v/>
      </c>
      <c r="Q1211" t="str">
        <f t="shared" si="153"/>
        <v/>
      </c>
      <c r="R1211" s="69"/>
      <c r="S1211">
        <f>'TMIS CA'!A1202</f>
        <v>0</v>
      </c>
      <c r="T1211" t="str">
        <f>T('TMIS CA'!B1202)</f>
        <v/>
      </c>
      <c r="U1211" t="s">
        <v>4290</v>
      </c>
      <c r="V1211" t="str">
        <f t="shared" si="155"/>
        <v/>
      </c>
      <c r="W1211" t="str">
        <f t="shared" si="154"/>
        <v/>
      </c>
    </row>
    <row r="1212" spans="1:23">
      <c r="A1212">
        <f>'IPTV US'!A1203</f>
        <v>0</v>
      </c>
      <c r="B1212" t="str">
        <f>T('IPTV US'!B1203)</f>
        <v/>
      </c>
      <c r="C1212" t="s">
        <v>4290</v>
      </c>
      <c r="D1212" t="str">
        <f t="shared" si="149"/>
        <v/>
      </c>
      <c r="E1212" t="str">
        <f t="shared" si="150"/>
        <v/>
      </c>
      <c r="F1212" s="68" t="s">
        <v>4289</v>
      </c>
      <c r="G1212">
        <f>'IPTV CA'!A1203</f>
        <v>0</v>
      </c>
      <c r="H1212" t="str">
        <f>T('IPTV CA'!B1203)</f>
        <v/>
      </c>
      <c r="I1212" t="s">
        <v>4290</v>
      </c>
      <c r="J1212" t="str">
        <f t="shared" si="151"/>
        <v/>
      </c>
      <c r="K1212" t="str">
        <f t="shared" si="156"/>
        <v/>
      </c>
      <c r="L1212" s="69"/>
      <c r="M1212">
        <f>'TMIS US'!A1203</f>
        <v>0</v>
      </c>
      <c r="N1212" t="str">
        <f>T('TMIS US'!B1203)</f>
        <v/>
      </c>
      <c r="O1212" t="s">
        <v>4290</v>
      </c>
      <c r="P1212" t="str">
        <f t="shared" si="152"/>
        <v/>
      </c>
      <c r="Q1212" t="str">
        <f t="shared" si="153"/>
        <v/>
      </c>
      <c r="R1212" s="69"/>
      <c r="S1212">
        <f>'TMIS CA'!A1203</f>
        <v>0</v>
      </c>
      <c r="T1212" t="str">
        <f>T('TMIS CA'!B1203)</f>
        <v/>
      </c>
      <c r="U1212" t="s">
        <v>4290</v>
      </c>
      <c r="V1212" t="str">
        <f t="shared" si="155"/>
        <v/>
      </c>
      <c r="W1212" t="str">
        <f t="shared" si="154"/>
        <v/>
      </c>
    </row>
    <row r="1213" spans="1:23">
      <c r="A1213">
        <f>'IPTV US'!A1204</f>
        <v>0</v>
      </c>
      <c r="B1213" t="str">
        <f>T('IPTV US'!B1204)</f>
        <v/>
      </c>
      <c r="C1213" t="s">
        <v>4290</v>
      </c>
      <c r="D1213" t="str">
        <f t="shared" si="149"/>
        <v/>
      </c>
      <c r="E1213" t="str">
        <f t="shared" si="150"/>
        <v/>
      </c>
      <c r="F1213" s="68" t="s">
        <v>4289</v>
      </c>
      <c r="G1213">
        <f>'IPTV CA'!A1204</f>
        <v>0</v>
      </c>
      <c r="H1213" t="str">
        <f>T('IPTV CA'!B1204)</f>
        <v/>
      </c>
      <c r="I1213" t="s">
        <v>4290</v>
      </c>
      <c r="J1213" t="str">
        <f t="shared" si="151"/>
        <v/>
      </c>
      <c r="K1213" t="str">
        <f t="shared" si="156"/>
        <v/>
      </c>
      <c r="L1213" s="69"/>
      <c r="M1213">
        <f>'TMIS US'!A1204</f>
        <v>0</v>
      </c>
      <c r="N1213" t="str">
        <f>T('TMIS US'!B1204)</f>
        <v/>
      </c>
      <c r="O1213" t="s">
        <v>4290</v>
      </c>
      <c r="P1213" t="str">
        <f t="shared" si="152"/>
        <v/>
      </c>
      <c r="Q1213" t="str">
        <f t="shared" si="153"/>
        <v/>
      </c>
      <c r="R1213" s="69"/>
      <c r="S1213">
        <f>'TMIS CA'!A1204</f>
        <v>0</v>
      </c>
      <c r="T1213" t="str">
        <f>T('TMIS CA'!B1204)</f>
        <v/>
      </c>
      <c r="U1213" t="s">
        <v>4290</v>
      </c>
      <c r="V1213" t="str">
        <f t="shared" si="155"/>
        <v/>
      </c>
      <c r="W1213" t="str">
        <f t="shared" si="154"/>
        <v/>
      </c>
    </row>
    <row r="1214" spans="1:23">
      <c r="A1214">
        <f>'IPTV US'!A1205</f>
        <v>0</v>
      </c>
      <c r="B1214" t="str">
        <f>T('IPTV US'!B1205)</f>
        <v/>
      </c>
      <c r="C1214" t="s">
        <v>4290</v>
      </c>
      <c r="D1214" t="str">
        <f t="shared" si="149"/>
        <v/>
      </c>
      <c r="E1214" t="str">
        <f t="shared" si="150"/>
        <v/>
      </c>
      <c r="F1214" s="68" t="s">
        <v>4289</v>
      </c>
      <c r="G1214">
        <f>'IPTV CA'!A1205</f>
        <v>0</v>
      </c>
      <c r="H1214" t="str">
        <f>T('IPTV CA'!B1205)</f>
        <v/>
      </c>
      <c r="I1214" t="s">
        <v>4290</v>
      </c>
      <c r="J1214" t="str">
        <f t="shared" si="151"/>
        <v/>
      </c>
      <c r="K1214" t="str">
        <f t="shared" si="156"/>
        <v/>
      </c>
      <c r="L1214" s="69"/>
      <c r="M1214">
        <f>'TMIS US'!A1205</f>
        <v>0</v>
      </c>
      <c r="N1214" t="str">
        <f>T('TMIS US'!B1205)</f>
        <v/>
      </c>
      <c r="O1214" t="s">
        <v>4290</v>
      </c>
      <c r="P1214" t="str">
        <f t="shared" si="152"/>
        <v/>
      </c>
      <c r="Q1214" t="str">
        <f t="shared" si="153"/>
        <v/>
      </c>
      <c r="R1214" s="69"/>
      <c r="S1214">
        <f>'TMIS CA'!A1205</f>
        <v>0</v>
      </c>
      <c r="T1214" t="str">
        <f>T('TMIS CA'!B1205)</f>
        <v/>
      </c>
      <c r="U1214" t="s">
        <v>4290</v>
      </c>
      <c r="V1214" t="str">
        <f t="shared" si="155"/>
        <v/>
      </c>
      <c r="W1214" t="str">
        <f t="shared" si="154"/>
        <v/>
      </c>
    </row>
    <row r="1215" spans="1:23">
      <c r="A1215">
        <f>'IPTV US'!A1206</f>
        <v>0</v>
      </c>
      <c r="B1215" t="str">
        <f>T('IPTV US'!B1206)</f>
        <v/>
      </c>
      <c r="C1215" t="s">
        <v>4290</v>
      </c>
      <c r="D1215" t="str">
        <f t="shared" si="149"/>
        <v/>
      </c>
      <c r="E1215" t="str">
        <f t="shared" si="150"/>
        <v/>
      </c>
      <c r="F1215" s="68" t="s">
        <v>4289</v>
      </c>
      <c r="G1215">
        <f>'IPTV CA'!A1206</f>
        <v>0</v>
      </c>
      <c r="H1215" t="str">
        <f>T('IPTV CA'!B1206)</f>
        <v/>
      </c>
      <c r="I1215" t="s">
        <v>4290</v>
      </c>
      <c r="J1215" t="str">
        <f t="shared" si="151"/>
        <v/>
      </c>
      <c r="K1215" t="str">
        <f t="shared" si="156"/>
        <v/>
      </c>
      <c r="L1215" s="69"/>
      <c r="M1215">
        <f>'TMIS US'!A1206</f>
        <v>0</v>
      </c>
      <c r="N1215" t="str">
        <f>T('TMIS US'!B1206)</f>
        <v/>
      </c>
      <c r="O1215" t="s">
        <v>4290</v>
      </c>
      <c r="P1215" t="str">
        <f t="shared" si="152"/>
        <v/>
      </c>
      <c r="Q1215" t="str">
        <f t="shared" si="153"/>
        <v/>
      </c>
      <c r="R1215" s="69"/>
      <c r="S1215">
        <f>'TMIS CA'!A1206</f>
        <v>0</v>
      </c>
      <c r="T1215" t="str">
        <f>T('TMIS CA'!B1206)</f>
        <v/>
      </c>
      <c r="U1215" t="s">
        <v>4290</v>
      </c>
      <c r="V1215" t="str">
        <f t="shared" si="155"/>
        <v/>
      </c>
      <c r="W1215" t="str">
        <f t="shared" si="154"/>
        <v/>
      </c>
    </row>
    <row r="1216" spans="1:23">
      <c r="A1216">
        <f>'IPTV US'!A1207</f>
        <v>0</v>
      </c>
      <c r="B1216" t="str">
        <f>T('IPTV US'!B1207)</f>
        <v/>
      </c>
      <c r="C1216" t="s">
        <v>4290</v>
      </c>
      <c r="D1216" t="str">
        <f t="shared" si="149"/>
        <v/>
      </c>
      <c r="E1216" t="str">
        <f t="shared" si="150"/>
        <v/>
      </c>
      <c r="F1216" s="68" t="s">
        <v>4289</v>
      </c>
      <c r="G1216">
        <f>'IPTV CA'!A1207</f>
        <v>0</v>
      </c>
      <c r="H1216" t="str">
        <f>T('IPTV CA'!B1207)</f>
        <v/>
      </c>
      <c r="I1216" t="s">
        <v>4290</v>
      </c>
      <c r="J1216" t="str">
        <f t="shared" si="151"/>
        <v/>
      </c>
      <c r="K1216" t="str">
        <f t="shared" si="156"/>
        <v/>
      </c>
      <c r="L1216" s="69"/>
      <c r="M1216">
        <f>'TMIS US'!A1207</f>
        <v>0</v>
      </c>
      <c r="N1216" t="str">
        <f>T('TMIS US'!B1207)</f>
        <v/>
      </c>
      <c r="O1216" t="s">
        <v>4290</v>
      </c>
      <c r="P1216" t="str">
        <f t="shared" si="152"/>
        <v/>
      </c>
      <c r="Q1216" t="str">
        <f t="shared" si="153"/>
        <v/>
      </c>
      <c r="R1216" s="69"/>
      <c r="S1216">
        <f>'TMIS CA'!A1207</f>
        <v>0</v>
      </c>
      <c r="T1216" t="str">
        <f>T('TMIS CA'!B1207)</f>
        <v/>
      </c>
      <c r="U1216" t="s">
        <v>4290</v>
      </c>
      <c r="V1216" t="str">
        <f t="shared" si="155"/>
        <v/>
      </c>
      <c r="W1216" t="str">
        <f t="shared" si="154"/>
        <v/>
      </c>
    </row>
    <row r="1217" spans="1:23">
      <c r="A1217">
        <f>'IPTV US'!A1208</f>
        <v>0</v>
      </c>
      <c r="B1217" t="str">
        <f>T('IPTV US'!B1208)</f>
        <v/>
      </c>
      <c r="C1217" t="s">
        <v>4290</v>
      </c>
      <c r="D1217" t="str">
        <f t="shared" si="149"/>
        <v/>
      </c>
      <c r="E1217" t="str">
        <f t="shared" si="150"/>
        <v/>
      </c>
      <c r="F1217" s="68" t="s">
        <v>4289</v>
      </c>
      <c r="G1217">
        <f>'IPTV CA'!A1208</f>
        <v>0</v>
      </c>
      <c r="H1217" t="str">
        <f>T('IPTV CA'!B1208)</f>
        <v/>
      </c>
      <c r="I1217" t="s">
        <v>4290</v>
      </c>
      <c r="J1217" t="str">
        <f t="shared" si="151"/>
        <v/>
      </c>
      <c r="K1217" t="str">
        <f t="shared" si="156"/>
        <v/>
      </c>
      <c r="L1217" s="69"/>
      <c r="M1217">
        <f>'TMIS US'!A1208</f>
        <v>0</v>
      </c>
      <c r="N1217" t="str">
        <f>T('TMIS US'!B1208)</f>
        <v/>
      </c>
      <c r="O1217" t="s">
        <v>4290</v>
      </c>
      <c r="P1217" t="str">
        <f t="shared" si="152"/>
        <v/>
      </c>
      <c r="Q1217" t="str">
        <f t="shared" si="153"/>
        <v/>
      </c>
      <c r="R1217" s="69"/>
      <c r="S1217">
        <f>'TMIS CA'!A1208</f>
        <v>0</v>
      </c>
      <c r="T1217" t="str">
        <f>T('TMIS CA'!B1208)</f>
        <v/>
      </c>
      <c r="U1217" t="s">
        <v>4290</v>
      </c>
      <c r="V1217" t="str">
        <f t="shared" si="155"/>
        <v/>
      </c>
      <c r="W1217" t="str">
        <f t="shared" si="154"/>
        <v/>
      </c>
    </row>
    <row r="1218" spans="1:23">
      <c r="A1218">
        <f>'IPTV US'!A1209</f>
        <v>0</v>
      </c>
      <c r="B1218" t="str">
        <f>T('IPTV US'!B1209)</f>
        <v/>
      </c>
      <c r="C1218" t="s">
        <v>4290</v>
      </c>
      <c r="D1218" t="str">
        <f t="shared" si="149"/>
        <v/>
      </c>
      <c r="E1218" t="str">
        <f t="shared" si="150"/>
        <v/>
      </c>
      <c r="F1218" s="68" t="s">
        <v>4289</v>
      </c>
      <c r="G1218">
        <f>'IPTV CA'!A1209</f>
        <v>0</v>
      </c>
      <c r="H1218" t="str">
        <f>T('IPTV CA'!B1209)</f>
        <v/>
      </c>
      <c r="I1218" t="s">
        <v>4290</v>
      </c>
      <c r="J1218" t="str">
        <f t="shared" si="151"/>
        <v/>
      </c>
      <c r="K1218" t="str">
        <f t="shared" si="156"/>
        <v/>
      </c>
      <c r="L1218" s="69"/>
      <c r="M1218">
        <f>'TMIS US'!A1209</f>
        <v>0</v>
      </c>
      <c r="N1218" t="str">
        <f>T('TMIS US'!B1209)</f>
        <v/>
      </c>
      <c r="O1218" t="s">
        <v>4290</v>
      </c>
      <c r="P1218" t="str">
        <f t="shared" si="152"/>
        <v/>
      </c>
      <c r="Q1218" t="str">
        <f t="shared" si="153"/>
        <v/>
      </c>
      <c r="R1218" s="69"/>
      <c r="S1218">
        <f>'TMIS CA'!A1209</f>
        <v>0</v>
      </c>
      <c r="T1218" t="str">
        <f>T('TMIS CA'!B1209)</f>
        <v/>
      </c>
      <c r="U1218" t="s">
        <v>4290</v>
      </c>
      <c r="V1218" t="str">
        <f t="shared" si="155"/>
        <v/>
      </c>
      <c r="W1218" t="str">
        <f t="shared" si="154"/>
        <v/>
      </c>
    </row>
    <row r="1219" spans="1:23">
      <c r="A1219">
        <f>'IPTV US'!A1210</f>
        <v>0</v>
      </c>
      <c r="B1219" t="str">
        <f>T('IPTV US'!B1210)</f>
        <v/>
      </c>
      <c r="C1219" t="s">
        <v>4290</v>
      </c>
      <c r="D1219" t="str">
        <f t="shared" si="149"/>
        <v/>
      </c>
      <c r="E1219" t="str">
        <f t="shared" si="150"/>
        <v/>
      </c>
      <c r="F1219" s="68" t="s">
        <v>4289</v>
      </c>
      <c r="G1219">
        <f>'IPTV CA'!A1210</f>
        <v>0</v>
      </c>
      <c r="H1219" t="str">
        <f>T('IPTV CA'!B1210)</f>
        <v/>
      </c>
      <c r="I1219" t="s">
        <v>4290</v>
      </c>
      <c r="J1219" t="str">
        <f t="shared" si="151"/>
        <v/>
      </c>
      <c r="K1219" t="str">
        <f t="shared" si="156"/>
        <v/>
      </c>
      <c r="L1219" s="69"/>
      <c r="M1219">
        <f>'TMIS US'!A1210</f>
        <v>0</v>
      </c>
      <c r="N1219" t="str">
        <f>T('TMIS US'!B1210)</f>
        <v/>
      </c>
      <c r="O1219" t="s">
        <v>4290</v>
      </c>
      <c r="P1219" t="str">
        <f t="shared" si="152"/>
        <v/>
      </c>
      <c r="Q1219" t="str">
        <f t="shared" si="153"/>
        <v/>
      </c>
      <c r="R1219" s="69"/>
      <c r="S1219">
        <f>'TMIS CA'!A1210</f>
        <v>0</v>
      </c>
      <c r="T1219" t="str">
        <f>T('TMIS CA'!B1210)</f>
        <v/>
      </c>
      <c r="U1219" t="s">
        <v>4290</v>
      </c>
      <c r="V1219" t="str">
        <f t="shared" si="155"/>
        <v/>
      </c>
      <c r="W1219" t="str">
        <f t="shared" si="154"/>
        <v/>
      </c>
    </row>
    <row r="1220" spans="1:23">
      <c r="A1220">
        <f>'IPTV US'!A1211</f>
        <v>0</v>
      </c>
      <c r="B1220" t="str">
        <f>T('IPTV US'!B1211)</f>
        <v/>
      </c>
      <c r="C1220" t="s">
        <v>4290</v>
      </c>
      <c r="D1220" t="str">
        <f t="shared" si="149"/>
        <v/>
      </c>
      <c r="E1220" t="str">
        <f t="shared" si="150"/>
        <v/>
      </c>
      <c r="F1220" s="68" t="s">
        <v>4289</v>
      </c>
      <c r="G1220">
        <f>'IPTV CA'!A1211</f>
        <v>0</v>
      </c>
      <c r="H1220" t="str">
        <f>T('IPTV CA'!B1211)</f>
        <v/>
      </c>
      <c r="I1220" t="s">
        <v>4290</v>
      </c>
      <c r="J1220" t="str">
        <f t="shared" si="151"/>
        <v/>
      </c>
      <c r="K1220" t="str">
        <f t="shared" si="156"/>
        <v/>
      </c>
      <c r="L1220" s="69"/>
      <c r="M1220">
        <f>'TMIS US'!A1211</f>
        <v>0</v>
      </c>
      <c r="N1220" t="str">
        <f>T('TMIS US'!B1211)</f>
        <v/>
      </c>
      <c r="O1220" t="s">
        <v>4290</v>
      </c>
      <c r="P1220" t="str">
        <f t="shared" si="152"/>
        <v/>
      </c>
      <c r="Q1220" t="str">
        <f t="shared" si="153"/>
        <v/>
      </c>
      <c r="R1220" s="69"/>
      <c r="S1220">
        <f>'TMIS CA'!A1211</f>
        <v>0</v>
      </c>
      <c r="T1220" t="str">
        <f>T('TMIS CA'!B1211)</f>
        <v/>
      </c>
      <c r="U1220" t="s">
        <v>4290</v>
      </c>
      <c r="V1220" t="str">
        <f t="shared" si="155"/>
        <v/>
      </c>
      <c r="W1220" t="str">
        <f t="shared" si="154"/>
        <v/>
      </c>
    </row>
    <row r="1221" spans="1:23">
      <c r="A1221">
        <f>'IPTV US'!A1212</f>
        <v>0</v>
      </c>
      <c r="B1221" t="str">
        <f>T('IPTV US'!B1212)</f>
        <v/>
      </c>
      <c r="C1221" t="s">
        <v>4290</v>
      </c>
      <c r="D1221" t="str">
        <f t="shared" si="149"/>
        <v/>
      </c>
      <c r="E1221" t="str">
        <f t="shared" si="150"/>
        <v/>
      </c>
      <c r="F1221" s="68" t="s">
        <v>4289</v>
      </c>
      <c r="G1221">
        <f>'IPTV CA'!A1212</f>
        <v>0</v>
      </c>
      <c r="H1221" t="str">
        <f>T('IPTV CA'!B1212)</f>
        <v/>
      </c>
      <c r="I1221" t="s">
        <v>4290</v>
      </c>
      <c r="J1221" t="str">
        <f t="shared" si="151"/>
        <v/>
      </c>
      <c r="K1221" t="str">
        <f t="shared" si="156"/>
        <v/>
      </c>
      <c r="L1221" s="69"/>
      <c r="M1221">
        <f>'TMIS US'!A1212</f>
        <v>0</v>
      </c>
      <c r="N1221" t="str">
        <f>T('TMIS US'!B1212)</f>
        <v/>
      </c>
      <c r="O1221" t="s">
        <v>4290</v>
      </c>
      <c r="P1221" t="str">
        <f t="shared" si="152"/>
        <v/>
      </c>
      <c r="Q1221" t="str">
        <f t="shared" si="153"/>
        <v/>
      </c>
      <c r="R1221" s="69"/>
      <c r="S1221">
        <f>'TMIS CA'!A1212</f>
        <v>0</v>
      </c>
      <c r="T1221" t="str">
        <f>T('TMIS CA'!B1212)</f>
        <v/>
      </c>
      <c r="U1221" t="s">
        <v>4290</v>
      </c>
      <c r="V1221" t="str">
        <f t="shared" si="155"/>
        <v/>
      </c>
      <c r="W1221" t="str">
        <f t="shared" si="154"/>
        <v/>
      </c>
    </row>
    <row r="1222" spans="1:23">
      <c r="A1222">
        <f>'IPTV US'!A1213</f>
        <v>0</v>
      </c>
      <c r="B1222" t="str">
        <f>T('IPTV US'!B1213)</f>
        <v/>
      </c>
      <c r="C1222" t="s">
        <v>4290</v>
      </c>
      <c r="D1222" t="str">
        <f t="shared" si="149"/>
        <v/>
      </c>
      <c r="E1222" t="str">
        <f t="shared" si="150"/>
        <v/>
      </c>
      <c r="F1222" s="68" t="s">
        <v>4289</v>
      </c>
      <c r="G1222">
        <f>'IPTV CA'!A1213</f>
        <v>0</v>
      </c>
      <c r="H1222" t="str">
        <f>T('IPTV CA'!B1213)</f>
        <v/>
      </c>
      <c r="I1222" t="s">
        <v>4290</v>
      </c>
      <c r="J1222" t="str">
        <f t="shared" si="151"/>
        <v/>
      </c>
      <c r="K1222" t="str">
        <f t="shared" si="156"/>
        <v/>
      </c>
      <c r="L1222" s="69"/>
      <c r="M1222">
        <f>'TMIS US'!A1213</f>
        <v>0</v>
      </c>
      <c r="N1222" t="str">
        <f>T('TMIS US'!B1213)</f>
        <v/>
      </c>
      <c r="O1222" t="s">
        <v>4290</v>
      </c>
      <c r="P1222" t="str">
        <f t="shared" si="152"/>
        <v/>
      </c>
      <c r="Q1222" t="str">
        <f t="shared" si="153"/>
        <v/>
      </c>
      <c r="R1222" s="69"/>
      <c r="S1222">
        <f>'TMIS CA'!A1213</f>
        <v>0</v>
      </c>
      <c r="T1222" t="str">
        <f>T('TMIS CA'!B1213)</f>
        <v/>
      </c>
      <c r="U1222" t="s">
        <v>4290</v>
      </c>
      <c r="V1222" t="str">
        <f t="shared" si="155"/>
        <v/>
      </c>
      <c r="W1222" t="str">
        <f t="shared" si="154"/>
        <v/>
      </c>
    </row>
    <row r="1223" spans="1:23">
      <c r="A1223">
        <f>'IPTV US'!A1214</f>
        <v>0</v>
      </c>
      <c r="B1223" t="str">
        <f>T('IPTV US'!B1214)</f>
        <v/>
      </c>
      <c r="C1223" t="s">
        <v>4290</v>
      </c>
      <c r="D1223" t="str">
        <f t="shared" si="149"/>
        <v/>
      </c>
      <c r="E1223" t="str">
        <f t="shared" si="150"/>
        <v/>
      </c>
      <c r="F1223" s="68" t="s">
        <v>4289</v>
      </c>
      <c r="G1223">
        <f>'IPTV CA'!A1214</f>
        <v>0</v>
      </c>
      <c r="H1223" t="str">
        <f>T('IPTV CA'!B1214)</f>
        <v/>
      </c>
      <c r="I1223" t="s">
        <v>4290</v>
      </c>
      <c r="J1223" t="str">
        <f t="shared" si="151"/>
        <v/>
      </c>
      <c r="K1223" t="str">
        <f t="shared" si="156"/>
        <v/>
      </c>
      <c r="L1223" s="69"/>
      <c r="M1223">
        <f>'TMIS US'!A1214</f>
        <v>0</v>
      </c>
      <c r="N1223" t="str">
        <f>T('TMIS US'!B1214)</f>
        <v/>
      </c>
      <c r="O1223" t="s">
        <v>4290</v>
      </c>
      <c r="P1223" t="str">
        <f t="shared" si="152"/>
        <v/>
      </c>
      <c r="Q1223" t="str">
        <f t="shared" si="153"/>
        <v/>
      </c>
      <c r="R1223" s="69"/>
      <c r="S1223">
        <f>'TMIS CA'!A1214</f>
        <v>0</v>
      </c>
      <c r="T1223" t="str">
        <f>T('TMIS CA'!B1214)</f>
        <v/>
      </c>
      <c r="U1223" t="s">
        <v>4290</v>
      </c>
      <c r="V1223" t="str">
        <f t="shared" si="155"/>
        <v/>
      </c>
      <c r="W1223" t="str">
        <f t="shared" si="154"/>
        <v/>
      </c>
    </row>
    <row r="1224" spans="1:23">
      <c r="A1224">
        <f>'IPTV US'!A1215</f>
        <v>0</v>
      </c>
      <c r="B1224" t="str">
        <f>T('IPTV US'!B1215)</f>
        <v/>
      </c>
      <c r="C1224" t="s">
        <v>4290</v>
      </c>
      <c r="D1224" t="str">
        <f t="shared" si="149"/>
        <v/>
      </c>
      <c r="E1224" t="str">
        <f t="shared" si="150"/>
        <v/>
      </c>
      <c r="F1224" s="68" t="s">
        <v>4289</v>
      </c>
      <c r="G1224">
        <f>'IPTV CA'!A1215</f>
        <v>0</v>
      </c>
      <c r="H1224" t="str">
        <f>T('IPTV CA'!B1215)</f>
        <v/>
      </c>
      <c r="I1224" t="s">
        <v>4290</v>
      </c>
      <c r="J1224" t="str">
        <f t="shared" si="151"/>
        <v/>
      </c>
      <c r="K1224" t="str">
        <f t="shared" si="156"/>
        <v/>
      </c>
      <c r="L1224" s="69"/>
      <c r="M1224">
        <f>'TMIS US'!A1215</f>
        <v>0</v>
      </c>
      <c r="N1224" t="str">
        <f>T('TMIS US'!B1215)</f>
        <v/>
      </c>
      <c r="O1224" t="s">
        <v>4290</v>
      </c>
      <c r="P1224" t="str">
        <f t="shared" si="152"/>
        <v/>
      </c>
      <c r="Q1224" t="str">
        <f t="shared" si="153"/>
        <v/>
      </c>
      <c r="R1224" s="69"/>
      <c r="S1224">
        <f>'TMIS CA'!A1215</f>
        <v>0</v>
      </c>
      <c r="T1224" t="str">
        <f>T('TMIS CA'!B1215)</f>
        <v/>
      </c>
      <c r="U1224" t="s">
        <v>4290</v>
      </c>
      <c r="V1224" t="str">
        <f t="shared" si="155"/>
        <v/>
      </c>
      <c r="W1224" t="str">
        <f t="shared" si="154"/>
        <v/>
      </c>
    </row>
    <row r="1225" spans="1:23">
      <c r="A1225">
        <f>'IPTV US'!A1216</f>
        <v>0</v>
      </c>
      <c r="B1225" t="str">
        <f>T('IPTV US'!B1216)</f>
        <v/>
      </c>
      <c r="C1225" t="s">
        <v>4290</v>
      </c>
      <c r="D1225" t="str">
        <f t="shared" si="149"/>
        <v/>
      </c>
      <c r="E1225" t="str">
        <f t="shared" si="150"/>
        <v/>
      </c>
      <c r="F1225" s="68" t="s">
        <v>4289</v>
      </c>
      <c r="G1225">
        <f>'IPTV CA'!A1216</f>
        <v>0</v>
      </c>
      <c r="H1225" t="str">
        <f>T('IPTV CA'!B1216)</f>
        <v/>
      </c>
      <c r="I1225" t="s">
        <v>4290</v>
      </c>
      <c r="J1225" t="str">
        <f t="shared" si="151"/>
        <v/>
      </c>
      <c r="K1225" t="str">
        <f t="shared" si="156"/>
        <v/>
      </c>
      <c r="L1225" s="69"/>
      <c r="M1225">
        <f>'TMIS US'!A1216</f>
        <v>0</v>
      </c>
      <c r="N1225" t="str">
        <f>T('TMIS US'!B1216)</f>
        <v/>
      </c>
      <c r="O1225" t="s">
        <v>4290</v>
      </c>
      <c r="P1225" t="str">
        <f t="shared" si="152"/>
        <v/>
      </c>
      <c r="Q1225" t="str">
        <f t="shared" si="153"/>
        <v/>
      </c>
      <c r="R1225" s="69"/>
      <c r="S1225">
        <f>'TMIS CA'!A1216</f>
        <v>0</v>
      </c>
      <c r="T1225" t="str">
        <f>T('TMIS CA'!B1216)</f>
        <v/>
      </c>
      <c r="U1225" t="s">
        <v>4290</v>
      </c>
      <c r="V1225" t="str">
        <f t="shared" si="155"/>
        <v/>
      </c>
      <c r="W1225" t="str">
        <f t="shared" si="154"/>
        <v/>
      </c>
    </row>
    <row r="1226" spans="1:23">
      <c r="A1226">
        <f>'IPTV US'!A1217</f>
        <v>0</v>
      </c>
      <c r="B1226" t="str">
        <f>T('IPTV US'!B1217)</f>
        <v/>
      </c>
      <c r="C1226" t="s">
        <v>4290</v>
      </c>
      <c r="D1226" t="str">
        <f t="shared" si="149"/>
        <v/>
      </c>
      <c r="E1226" t="str">
        <f t="shared" si="150"/>
        <v/>
      </c>
      <c r="F1226" s="68" t="s">
        <v>4289</v>
      </c>
      <c r="G1226">
        <f>'IPTV CA'!A1217</f>
        <v>0</v>
      </c>
      <c r="H1226" t="str">
        <f>T('IPTV CA'!B1217)</f>
        <v/>
      </c>
      <c r="I1226" t="s">
        <v>4290</v>
      </c>
      <c r="J1226" t="str">
        <f t="shared" si="151"/>
        <v/>
      </c>
      <c r="K1226" t="str">
        <f t="shared" si="156"/>
        <v/>
      </c>
      <c r="L1226" s="69"/>
      <c r="M1226">
        <f>'TMIS US'!A1217</f>
        <v>0</v>
      </c>
      <c r="N1226" t="str">
        <f>T('TMIS US'!B1217)</f>
        <v/>
      </c>
      <c r="O1226" t="s">
        <v>4290</v>
      </c>
      <c r="P1226" t="str">
        <f t="shared" si="152"/>
        <v/>
      </c>
      <c r="Q1226" t="str">
        <f t="shared" si="153"/>
        <v/>
      </c>
      <c r="R1226" s="69"/>
      <c r="S1226">
        <f>'TMIS CA'!A1217</f>
        <v>0</v>
      </c>
      <c r="T1226" t="str">
        <f>T('TMIS CA'!B1217)</f>
        <v/>
      </c>
      <c r="U1226" t="s">
        <v>4290</v>
      </c>
      <c r="V1226" t="str">
        <f t="shared" si="155"/>
        <v/>
      </c>
      <c r="W1226" t="str">
        <f t="shared" si="154"/>
        <v/>
      </c>
    </row>
    <row r="1227" spans="1:23">
      <c r="A1227">
        <f>'IPTV US'!A1218</f>
        <v>0</v>
      </c>
      <c r="B1227" t="str">
        <f>T('IPTV US'!B1218)</f>
        <v/>
      </c>
      <c r="C1227" t="s">
        <v>4290</v>
      </c>
      <c r="D1227" t="str">
        <f t="shared" ref="D1227:D1290" si="157">IF(C1227="Active",IF(B1227="","Please Notify - Channel Removed",""),"")</f>
        <v/>
      </c>
      <c r="E1227" t="str">
        <f t="shared" ref="E1227:E1290" si="158">IF(C1227="Vacant",IF(B1227="","","Please Notify - Channel Added"),"")</f>
        <v/>
      </c>
      <c r="F1227" s="68" t="s">
        <v>4289</v>
      </c>
      <c r="G1227">
        <f>'IPTV CA'!A1218</f>
        <v>0</v>
      </c>
      <c r="H1227" t="str">
        <f>T('IPTV CA'!B1218)</f>
        <v/>
      </c>
      <c r="I1227" t="s">
        <v>4290</v>
      </c>
      <c r="J1227" t="str">
        <f t="shared" ref="J1227:J1290" si="159">IF(I1227="Active",IF(H1227="","Please Notify - Channel Removed",""),"")</f>
        <v/>
      </c>
      <c r="K1227" t="str">
        <f t="shared" si="156"/>
        <v/>
      </c>
      <c r="L1227" s="69"/>
      <c r="M1227">
        <f>'TMIS US'!A1218</f>
        <v>0</v>
      </c>
      <c r="N1227" t="str">
        <f>T('TMIS US'!B1218)</f>
        <v/>
      </c>
      <c r="O1227" t="s">
        <v>4290</v>
      </c>
      <c r="P1227" t="str">
        <f t="shared" ref="P1227:P1290" si="160">IF(O1227="Active",IF(N1227="","Please Notify - Channel Removed",""),"")</f>
        <v/>
      </c>
      <c r="Q1227" t="str">
        <f t="shared" si="153"/>
        <v/>
      </c>
      <c r="R1227" s="69"/>
      <c r="S1227">
        <f>'TMIS CA'!A1218</f>
        <v>0</v>
      </c>
      <c r="T1227" t="str">
        <f>T('TMIS CA'!B1218)</f>
        <v/>
      </c>
      <c r="U1227" t="s">
        <v>4290</v>
      </c>
      <c r="V1227" t="str">
        <f t="shared" si="155"/>
        <v/>
      </c>
      <c r="W1227" t="str">
        <f t="shared" si="154"/>
        <v/>
      </c>
    </row>
    <row r="1228" spans="1:23">
      <c r="A1228">
        <f>'IPTV US'!A1219</f>
        <v>0</v>
      </c>
      <c r="B1228" t="str">
        <f>T('IPTV US'!B1219)</f>
        <v/>
      </c>
      <c r="C1228" t="s">
        <v>4290</v>
      </c>
      <c r="D1228" t="str">
        <f t="shared" si="157"/>
        <v/>
      </c>
      <c r="E1228" t="str">
        <f t="shared" si="158"/>
        <v/>
      </c>
      <c r="F1228" s="68" t="s">
        <v>4289</v>
      </c>
      <c r="G1228">
        <f>'IPTV CA'!A1219</f>
        <v>0</v>
      </c>
      <c r="H1228" t="str">
        <f>T('IPTV CA'!B1219)</f>
        <v/>
      </c>
      <c r="I1228" t="s">
        <v>4290</v>
      </c>
      <c r="J1228" t="str">
        <f t="shared" si="159"/>
        <v/>
      </c>
      <c r="K1228" t="str">
        <f t="shared" si="156"/>
        <v/>
      </c>
      <c r="L1228" s="69"/>
      <c r="M1228">
        <f>'TMIS US'!A1219</f>
        <v>0</v>
      </c>
      <c r="N1228" t="str">
        <f>T('TMIS US'!B1219)</f>
        <v/>
      </c>
      <c r="O1228" t="s">
        <v>4290</v>
      </c>
      <c r="P1228" t="str">
        <f t="shared" si="160"/>
        <v/>
      </c>
      <c r="Q1228" t="str">
        <f t="shared" ref="Q1228:Q1291" si="161">IF(O1228="Vacant",IF(N1228="","","Please Notify - Channel Added"),"")</f>
        <v/>
      </c>
      <c r="R1228" s="69"/>
      <c r="S1228">
        <f>'TMIS CA'!A1219</f>
        <v>0</v>
      </c>
      <c r="T1228" t="str">
        <f>T('TMIS CA'!B1219)</f>
        <v/>
      </c>
      <c r="U1228" t="s">
        <v>4290</v>
      </c>
      <c r="V1228" t="str">
        <f t="shared" si="155"/>
        <v/>
      </c>
      <c r="W1228" t="str">
        <f t="shared" ref="W1228:W1291" si="162">IF(U1228="Vacant",IF(T1228="","","Please Notify - Channel Added"),"")</f>
        <v/>
      </c>
    </row>
    <row r="1229" spans="1:23">
      <c r="A1229">
        <f>'IPTV US'!A1220</f>
        <v>0</v>
      </c>
      <c r="B1229" t="str">
        <f>T('IPTV US'!B1220)</f>
        <v/>
      </c>
      <c r="C1229" t="s">
        <v>4290</v>
      </c>
      <c r="D1229" t="str">
        <f t="shared" si="157"/>
        <v/>
      </c>
      <c r="E1229" t="str">
        <f t="shared" si="158"/>
        <v/>
      </c>
      <c r="F1229" s="68" t="s">
        <v>4289</v>
      </c>
      <c r="G1229">
        <f>'IPTV CA'!A1220</f>
        <v>0</v>
      </c>
      <c r="H1229" t="str">
        <f>T('IPTV CA'!B1220)</f>
        <v/>
      </c>
      <c r="I1229" t="s">
        <v>4290</v>
      </c>
      <c r="J1229" t="str">
        <f t="shared" si="159"/>
        <v/>
      </c>
      <c r="K1229" t="str">
        <f t="shared" si="156"/>
        <v/>
      </c>
      <c r="L1229" s="69"/>
      <c r="M1229">
        <f>'TMIS US'!A1220</f>
        <v>0</v>
      </c>
      <c r="N1229" t="str">
        <f>T('TMIS US'!B1220)</f>
        <v/>
      </c>
      <c r="O1229" t="s">
        <v>4290</v>
      </c>
      <c r="P1229" t="str">
        <f t="shared" si="160"/>
        <v/>
      </c>
      <c r="Q1229" t="str">
        <f t="shared" si="161"/>
        <v/>
      </c>
      <c r="R1229" s="69"/>
      <c r="S1229">
        <f>'TMIS CA'!A1220</f>
        <v>0</v>
      </c>
      <c r="T1229" t="str">
        <f>T('TMIS CA'!B1220)</f>
        <v/>
      </c>
      <c r="U1229" t="s">
        <v>4290</v>
      </c>
      <c r="V1229" t="str">
        <f t="shared" si="155"/>
        <v/>
      </c>
      <c r="W1229" t="str">
        <f t="shared" si="162"/>
        <v/>
      </c>
    </row>
    <row r="1230" spans="1:23">
      <c r="A1230">
        <f>'IPTV US'!A1221</f>
        <v>0</v>
      </c>
      <c r="B1230" t="str">
        <f>T('IPTV US'!B1221)</f>
        <v/>
      </c>
      <c r="C1230" t="s">
        <v>4290</v>
      </c>
      <c r="D1230" t="str">
        <f t="shared" si="157"/>
        <v/>
      </c>
      <c r="E1230" t="str">
        <f t="shared" si="158"/>
        <v/>
      </c>
      <c r="F1230" s="68" t="s">
        <v>4289</v>
      </c>
      <c r="G1230">
        <f>'IPTV CA'!A1221</f>
        <v>0</v>
      </c>
      <c r="H1230" t="str">
        <f>T('IPTV CA'!B1221)</f>
        <v/>
      </c>
      <c r="I1230" t="s">
        <v>4290</v>
      </c>
      <c r="J1230" t="str">
        <f t="shared" si="159"/>
        <v/>
      </c>
      <c r="K1230" t="str">
        <f t="shared" si="156"/>
        <v/>
      </c>
      <c r="L1230" s="69"/>
      <c r="M1230">
        <f>'TMIS US'!A1221</f>
        <v>0</v>
      </c>
      <c r="N1230" t="str">
        <f>T('TMIS US'!B1221)</f>
        <v/>
      </c>
      <c r="O1230" t="s">
        <v>4290</v>
      </c>
      <c r="P1230" t="str">
        <f t="shared" si="160"/>
        <v/>
      </c>
      <c r="Q1230" t="str">
        <f t="shared" si="161"/>
        <v/>
      </c>
      <c r="R1230" s="69"/>
      <c r="S1230">
        <f>'TMIS CA'!A1221</f>
        <v>0</v>
      </c>
      <c r="T1230" t="str">
        <f>T('TMIS CA'!B1221)</f>
        <v/>
      </c>
      <c r="U1230" t="s">
        <v>4290</v>
      </c>
      <c r="V1230" t="str">
        <f t="shared" ref="V1230:V1293" si="163">IF(U1230="Active",IF(T1230="","Please Notify - Channel Removed",""),"")</f>
        <v/>
      </c>
      <c r="W1230" t="str">
        <f t="shared" si="162"/>
        <v/>
      </c>
    </row>
    <row r="1231" spans="1:23">
      <c r="A1231">
        <f>'IPTV US'!A1222</f>
        <v>0</v>
      </c>
      <c r="B1231" t="str">
        <f>T('IPTV US'!B1222)</f>
        <v/>
      </c>
      <c r="C1231" t="s">
        <v>4290</v>
      </c>
      <c r="D1231" t="str">
        <f t="shared" si="157"/>
        <v/>
      </c>
      <c r="E1231" t="str">
        <f t="shared" si="158"/>
        <v/>
      </c>
      <c r="F1231" s="68" t="s">
        <v>4289</v>
      </c>
      <c r="G1231">
        <f>'IPTV CA'!A1222</f>
        <v>0</v>
      </c>
      <c r="H1231" t="str">
        <f>T('IPTV CA'!B1222)</f>
        <v/>
      </c>
      <c r="I1231" t="s">
        <v>4290</v>
      </c>
      <c r="J1231" t="str">
        <f t="shared" si="159"/>
        <v/>
      </c>
      <c r="K1231" t="str">
        <f t="shared" si="156"/>
        <v/>
      </c>
      <c r="L1231" s="69"/>
      <c r="M1231">
        <f>'TMIS US'!A1222</f>
        <v>0</v>
      </c>
      <c r="N1231" t="str">
        <f>T('TMIS US'!B1222)</f>
        <v/>
      </c>
      <c r="O1231" t="s">
        <v>4290</v>
      </c>
      <c r="P1231" t="str">
        <f t="shared" si="160"/>
        <v/>
      </c>
      <c r="Q1231" t="str">
        <f t="shared" si="161"/>
        <v/>
      </c>
      <c r="R1231" s="69"/>
      <c r="S1231">
        <f>'TMIS CA'!A1222</f>
        <v>0</v>
      </c>
      <c r="T1231" t="str">
        <f>T('TMIS CA'!B1222)</f>
        <v/>
      </c>
      <c r="U1231" t="s">
        <v>4290</v>
      </c>
      <c r="V1231" t="str">
        <f t="shared" si="163"/>
        <v/>
      </c>
      <c r="W1231" t="str">
        <f t="shared" si="162"/>
        <v/>
      </c>
    </row>
    <row r="1232" spans="1:23">
      <c r="A1232">
        <f>'IPTV US'!A1223</f>
        <v>0</v>
      </c>
      <c r="B1232" t="str">
        <f>T('IPTV US'!B1223)</f>
        <v/>
      </c>
      <c r="C1232" t="s">
        <v>4290</v>
      </c>
      <c r="D1232" t="str">
        <f t="shared" si="157"/>
        <v/>
      </c>
      <c r="E1232" t="str">
        <f t="shared" si="158"/>
        <v/>
      </c>
      <c r="F1232" s="68" t="s">
        <v>4289</v>
      </c>
      <c r="G1232">
        <f>'IPTV CA'!A1223</f>
        <v>0</v>
      </c>
      <c r="H1232" t="str">
        <f>T('IPTV CA'!B1223)</f>
        <v/>
      </c>
      <c r="I1232" t="s">
        <v>4290</v>
      </c>
      <c r="J1232" t="str">
        <f t="shared" si="159"/>
        <v/>
      </c>
      <c r="K1232" t="str">
        <f t="shared" si="156"/>
        <v/>
      </c>
      <c r="L1232" s="69"/>
      <c r="M1232">
        <f>'TMIS US'!A1223</f>
        <v>0</v>
      </c>
      <c r="N1232" t="str">
        <f>T('TMIS US'!B1223)</f>
        <v/>
      </c>
      <c r="O1232" t="s">
        <v>4290</v>
      </c>
      <c r="P1232" t="str">
        <f t="shared" si="160"/>
        <v/>
      </c>
      <c r="Q1232" t="str">
        <f t="shared" si="161"/>
        <v/>
      </c>
      <c r="R1232" s="69"/>
      <c r="S1232">
        <f>'TMIS CA'!A1223</f>
        <v>0</v>
      </c>
      <c r="T1232" t="str">
        <f>T('TMIS CA'!B1223)</f>
        <v/>
      </c>
      <c r="U1232" t="s">
        <v>4290</v>
      </c>
      <c r="V1232" t="str">
        <f t="shared" si="163"/>
        <v/>
      </c>
      <c r="W1232" t="str">
        <f t="shared" si="162"/>
        <v/>
      </c>
    </row>
    <row r="1233" spans="1:23">
      <c r="A1233">
        <f>'IPTV US'!A1224</f>
        <v>0</v>
      </c>
      <c r="B1233" t="str">
        <f>T('IPTV US'!B1224)</f>
        <v/>
      </c>
      <c r="C1233" t="s">
        <v>4290</v>
      </c>
      <c r="D1233" t="str">
        <f t="shared" si="157"/>
        <v/>
      </c>
      <c r="E1233" t="str">
        <f t="shared" si="158"/>
        <v/>
      </c>
      <c r="F1233" s="68" t="s">
        <v>4289</v>
      </c>
      <c r="G1233">
        <f>'IPTV CA'!A1224</f>
        <v>0</v>
      </c>
      <c r="H1233" t="str">
        <f>T('IPTV CA'!B1224)</f>
        <v/>
      </c>
      <c r="I1233" t="s">
        <v>4290</v>
      </c>
      <c r="J1233" t="str">
        <f t="shared" si="159"/>
        <v/>
      </c>
      <c r="K1233" t="str">
        <f t="shared" si="156"/>
        <v/>
      </c>
      <c r="L1233" s="69"/>
      <c r="M1233">
        <f>'TMIS US'!A1224</f>
        <v>0</v>
      </c>
      <c r="N1233" t="str">
        <f>T('TMIS US'!B1224)</f>
        <v/>
      </c>
      <c r="O1233" t="s">
        <v>4290</v>
      </c>
      <c r="P1233" t="str">
        <f t="shared" si="160"/>
        <v/>
      </c>
      <c r="Q1233" t="str">
        <f t="shared" si="161"/>
        <v/>
      </c>
      <c r="R1233" s="69"/>
      <c r="S1233">
        <f>'TMIS CA'!A1224</f>
        <v>0</v>
      </c>
      <c r="T1233" t="str">
        <f>T('TMIS CA'!B1224)</f>
        <v/>
      </c>
      <c r="U1233" t="s">
        <v>4290</v>
      </c>
      <c r="V1233" t="str">
        <f t="shared" si="163"/>
        <v/>
      </c>
      <c r="W1233" t="str">
        <f t="shared" si="162"/>
        <v/>
      </c>
    </row>
    <row r="1234" spans="1:23">
      <c r="A1234">
        <f>'IPTV US'!A1225</f>
        <v>0</v>
      </c>
      <c r="B1234" t="str">
        <f>T('IPTV US'!B1225)</f>
        <v/>
      </c>
      <c r="C1234" t="s">
        <v>4290</v>
      </c>
      <c r="D1234" t="str">
        <f t="shared" si="157"/>
        <v/>
      </c>
      <c r="E1234" t="str">
        <f t="shared" si="158"/>
        <v/>
      </c>
      <c r="F1234" s="68" t="s">
        <v>4289</v>
      </c>
      <c r="G1234">
        <f>'IPTV CA'!A1225</f>
        <v>0</v>
      </c>
      <c r="H1234" t="str">
        <f>T('IPTV CA'!B1225)</f>
        <v/>
      </c>
      <c r="I1234" t="s">
        <v>4290</v>
      </c>
      <c r="J1234" t="str">
        <f t="shared" si="159"/>
        <v/>
      </c>
      <c r="K1234" t="str">
        <f t="shared" si="156"/>
        <v/>
      </c>
      <c r="L1234" s="69"/>
      <c r="M1234">
        <f>'TMIS US'!A1225</f>
        <v>0</v>
      </c>
      <c r="N1234" t="str">
        <f>T('TMIS US'!B1225)</f>
        <v/>
      </c>
      <c r="O1234" t="s">
        <v>4290</v>
      </c>
      <c r="P1234" t="str">
        <f t="shared" si="160"/>
        <v/>
      </c>
      <c r="Q1234" t="str">
        <f t="shared" si="161"/>
        <v/>
      </c>
      <c r="R1234" s="69"/>
      <c r="S1234">
        <f>'TMIS CA'!A1225</f>
        <v>0</v>
      </c>
      <c r="T1234" t="str">
        <f>T('TMIS CA'!B1225)</f>
        <v/>
      </c>
      <c r="U1234" t="s">
        <v>4290</v>
      </c>
      <c r="V1234" t="str">
        <f t="shared" si="163"/>
        <v/>
      </c>
      <c r="W1234" t="str">
        <f t="shared" si="162"/>
        <v/>
      </c>
    </row>
    <row r="1235" spans="1:23">
      <c r="A1235">
        <f>'IPTV US'!A1226</f>
        <v>0</v>
      </c>
      <c r="B1235" t="str">
        <f>T('IPTV US'!B1226)</f>
        <v/>
      </c>
      <c r="C1235" t="s">
        <v>4290</v>
      </c>
      <c r="D1235" t="str">
        <f t="shared" si="157"/>
        <v/>
      </c>
      <c r="E1235" t="str">
        <f t="shared" si="158"/>
        <v/>
      </c>
      <c r="F1235" s="68" t="s">
        <v>4289</v>
      </c>
      <c r="G1235">
        <f>'IPTV CA'!A1226</f>
        <v>0</v>
      </c>
      <c r="H1235" t="str">
        <f>T('IPTV CA'!B1226)</f>
        <v/>
      </c>
      <c r="I1235" t="s">
        <v>4290</v>
      </c>
      <c r="J1235" t="str">
        <f t="shared" si="159"/>
        <v/>
      </c>
      <c r="K1235" t="str">
        <f t="shared" si="156"/>
        <v/>
      </c>
      <c r="L1235" s="69"/>
      <c r="M1235">
        <f>'TMIS US'!A1226</f>
        <v>0</v>
      </c>
      <c r="N1235" t="str">
        <f>T('TMIS US'!B1226)</f>
        <v/>
      </c>
      <c r="O1235" t="s">
        <v>4290</v>
      </c>
      <c r="P1235" t="str">
        <f t="shared" si="160"/>
        <v/>
      </c>
      <c r="Q1235" t="str">
        <f t="shared" si="161"/>
        <v/>
      </c>
      <c r="R1235" s="69"/>
      <c r="S1235">
        <f>'TMIS CA'!A1226</f>
        <v>0</v>
      </c>
      <c r="T1235" t="str">
        <f>T('TMIS CA'!B1226)</f>
        <v/>
      </c>
      <c r="U1235" t="s">
        <v>4290</v>
      </c>
      <c r="V1235" t="str">
        <f t="shared" si="163"/>
        <v/>
      </c>
      <c r="W1235" t="str">
        <f t="shared" si="162"/>
        <v/>
      </c>
    </row>
    <row r="1236" spans="1:23">
      <c r="A1236">
        <f>'IPTV US'!A1227</f>
        <v>0</v>
      </c>
      <c r="B1236" t="str">
        <f>T('IPTV US'!B1227)</f>
        <v/>
      </c>
      <c r="C1236" t="s">
        <v>4290</v>
      </c>
      <c r="D1236" t="str">
        <f t="shared" si="157"/>
        <v/>
      </c>
      <c r="E1236" t="str">
        <f t="shared" si="158"/>
        <v/>
      </c>
      <c r="F1236" s="68" t="s">
        <v>4289</v>
      </c>
      <c r="G1236">
        <f>'IPTV CA'!A1227</f>
        <v>0</v>
      </c>
      <c r="H1236" t="str">
        <f>T('IPTV CA'!B1227)</f>
        <v/>
      </c>
      <c r="I1236" t="s">
        <v>4290</v>
      </c>
      <c r="J1236" t="str">
        <f t="shared" si="159"/>
        <v/>
      </c>
      <c r="K1236" t="str">
        <f t="shared" si="156"/>
        <v/>
      </c>
      <c r="L1236" s="69"/>
      <c r="M1236">
        <f>'TMIS US'!A1227</f>
        <v>0</v>
      </c>
      <c r="N1236" t="str">
        <f>T('TMIS US'!B1227)</f>
        <v/>
      </c>
      <c r="O1236" t="s">
        <v>4290</v>
      </c>
      <c r="P1236" t="str">
        <f t="shared" si="160"/>
        <v/>
      </c>
      <c r="Q1236" t="str">
        <f t="shared" si="161"/>
        <v/>
      </c>
      <c r="R1236" s="69"/>
      <c r="S1236">
        <f>'TMIS CA'!A1227</f>
        <v>0</v>
      </c>
      <c r="T1236" t="str">
        <f>T('TMIS CA'!B1227)</f>
        <v/>
      </c>
      <c r="U1236" t="s">
        <v>4290</v>
      </c>
      <c r="V1236" t="str">
        <f t="shared" si="163"/>
        <v/>
      </c>
      <c r="W1236" t="str">
        <f t="shared" si="162"/>
        <v/>
      </c>
    </row>
    <row r="1237" spans="1:23">
      <c r="A1237">
        <f>'IPTV US'!A1228</f>
        <v>0</v>
      </c>
      <c r="B1237" t="str">
        <f>T('IPTV US'!B1228)</f>
        <v/>
      </c>
      <c r="C1237" t="s">
        <v>4290</v>
      </c>
      <c r="D1237" t="str">
        <f t="shared" si="157"/>
        <v/>
      </c>
      <c r="E1237" t="str">
        <f t="shared" si="158"/>
        <v/>
      </c>
      <c r="F1237" s="68" t="s">
        <v>4289</v>
      </c>
      <c r="G1237">
        <f>'IPTV CA'!A1228</f>
        <v>0</v>
      </c>
      <c r="H1237" t="str">
        <f>T('IPTV CA'!B1228)</f>
        <v/>
      </c>
      <c r="I1237" t="s">
        <v>4290</v>
      </c>
      <c r="J1237" t="str">
        <f t="shared" si="159"/>
        <v/>
      </c>
      <c r="K1237" t="str">
        <f t="shared" si="156"/>
        <v/>
      </c>
      <c r="L1237" s="69"/>
      <c r="M1237">
        <f>'TMIS US'!A1228</f>
        <v>0</v>
      </c>
      <c r="N1237" t="str">
        <f>T('TMIS US'!B1228)</f>
        <v/>
      </c>
      <c r="O1237" t="s">
        <v>4290</v>
      </c>
      <c r="P1237" t="str">
        <f t="shared" si="160"/>
        <v/>
      </c>
      <c r="Q1237" t="str">
        <f t="shared" si="161"/>
        <v/>
      </c>
      <c r="R1237" s="69"/>
      <c r="S1237">
        <f>'TMIS CA'!A1228</f>
        <v>0</v>
      </c>
      <c r="T1237" t="str">
        <f>T('TMIS CA'!B1228)</f>
        <v/>
      </c>
      <c r="U1237" t="s">
        <v>4290</v>
      </c>
      <c r="V1237" t="str">
        <f t="shared" si="163"/>
        <v/>
      </c>
      <c r="W1237" t="str">
        <f t="shared" si="162"/>
        <v/>
      </c>
    </row>
    <row r="1238" spans="1:23">
      <c r="A1238">
        <f>'IPTV US'!A1229</f>
        <v>0</v>
      </c>
      <c r="B1238" t="str">
        <f>T('IPTV US'!B1229)</f>
        <v/>
      </c>
      <c r="C1238" t="s">
        <v>4290</v>
      </c>
      <c r="D1238" t="str">
        <f t="shared" si="157"/>
        <v/>
      </c>
      <c r="E1238" t="str">
        <f t="shared" si="158"/>
        <v/>
      </c>
      <c r="F1238" s="68" t="s">
        <v>4289</v>
      </c>
      <c r="G1238">
        <f>'IPTV CA'!A1229</f>
        <v>0</v>
      </c>
      <c r="H1238" t="str">
        <f>T('IPTV CA'!B1229)</f>
        <v/>
      </c>
      <c r="I1238" t="s">
        <v>4290</v>
      </c>
      <c r="J1238" t="str">
        <f t="shared" si="159"/>
        <v/>
      </c>
      <c r="K1238" t="str">
        <f t="shared" si="156"/>
        <v/>
      </c>
      <c r="L1238" s="69"/>
      <c r="M1238">
        <f>'TMIS US'!A1229</f>
        <v>0</v>
      </c>
      <c r="N1238" t="str">
        <f>T('TMIS US'!B1229)</f>
        <v/>
      </c>
      <c r="O1238" t="s">
        <v>4290</v>
      </c>
      <c r="P1238" t="str">
        <f t="shared" si="160"/>
        <v/>
      </c>
      <c r="Q1238" t="str">
        <f t="shared" si="161"/>
        <v/>
      </c>
      <c r="R1238" s="69"/>
      <c r="S1238">
        <f>'TMIS CA'!A1229</f>
        <v>0</v>
      </c>
      <c r="T1238" t="str">
        <f>T('TMIS CA'!B1229)</f>
        <v/>
      </c>
      <c r="U1238" t="s">
        <v>4290</v>
      </c>
      <c r="V1238" t="str">
        <f t="shared" si="163"/>
        <v/>
      </c>
      <c r="W1238" t="str">
        <f t="shared" si="162"/>
        <v/>
      </c>
    </row>
    <row r="1239" spans="1:23">
      <c r="A1239">
        <f>'IPTV US'!A1230</f>
        <v>0</v>
      </c>
      <c r="B1239" t="str">
        <f>T('IPTV US'!B1230)</f>
        <v/>
      </c>
      <c r="C1239" t="s">
        <v>4290</v>
      </c>
      <c r="D1239" t="str">
        <f t="shared" si="157"/>
        <v/>
      </c>
      <c r="E1239" t="str">
        <f t="shared" si="158"/>
        <v/>
      </c>
      <c r="F1239" s="68" t="s">
        <v>4289</v>
      </c>
      <c r="G1239">
        <f>'IPTV CA'!A1230</f>
        <v>0</v>
      </c>
      <c r="H1239" t="str">
        <f>T('IPTV CA'!B1230)</f>
        <v/>
      </c>
      <c r="I1239" t="s">
        <v>4290</v>
      </c>
      <c r="J1239" t="str">
        <f t="shared" si="159"/>
        <v/>
      </c>
      <c r="K1239" t="str">
        <f t="shared" si="156"/>
        <v/>
      </c>
      <c r="L1239" s="69"/>
      <c r="M1239">
        <f>'TMIS US'!A1230</f>
        <v>0</v>
      </c>
      <c r="N1239" t="str">
        <f>T('TMIS US'!B1230)</f>
        <v/>
      </c>
      <c r="O1239" t="s">
        <v>4290</v>
      </c>
      <c r="P1239" t="str">
        <f t="shared" si="160"/>
        <v/>
      </c>
      <c r="Q1239" t="str">
        <f t="shared" si="161"/>
        <v/>
      </c>
      <c r="R1239" s="69"/>
      <c r="S1239">
        <f>'TMIS CA'!A1230</f>
        <v>0</v>
      </c>
      <c r="T1239" t="str">
        <f>T('TMIS CA'!B1230)</f>
        <v/>
      </c>
      <c r="U1239" t="s">
        <v>4290</v>
      </c>
      <c r="V1239" t="str">
        <f t="shared" si="163"/>
        <v/>
      </c>
      <c r="W1239" t="str">
        <f t="shared" si="162"/>
        <v/>
      </c>
    </row>
    <row r="1240" spans="1:23">
      <c r="A1240">
        <f>'IPTV US'!A1231</f>
        <v>0</v>
      </c>
      <c r="B1240" t="str">
        <f>T('IPTV US'!B1231)</f>
        <v/>
      </c>
      <c r="C1240" t="s">
        <v>4290</v>
      </c>
      <c r="D1240" t="str">
        <f t="shared" si="157"/>
        <v/>
      </c>
      <c r="E1240" t="str">
        <f t="shared" si="158"/>
        <v/>
      </c>
      <c r="F1240" s="68" t="s">
        <v>4289</v>
      </c>
      <c r="G1240">
        <f>'IPTV CA'!A1231</f>
        <v>0</v>
      </c>
      <c r="H1240" t="str">
        <f>T('IPTV CA'!B1231)</f>
        <v/>
      </c>
      <c r="I1240" t="s">
        <v>4290</v>
      </c>
      <c r="J1240" t="str">
        <f t="shared" si="159"/>
        <v/>
      </c>
      <c r="K1240" t="str">
        <f t="shared" si="156"/>
        <v/>
      </c>
      <c r="L1240" s="69"/>
      <c r="M1240">
        <f>'TMIS US'!A1231</f>
        <v>0</v>
      </c>
      <c r="N1240" t="str">
        <f>T('TMIS US'!B1231)</f>
        <v/>
      </c>
      <c r="O1240" t="s">
        <v>4290</v>
      </c>
      <c r="P1240" t="str">
        <f t="shared" si="160"/>
        <v/>
      </c>
      <c r="Q1240" t="str">
        <f t="shared" si="161"/>
        <v/>
      </c>
      <c r="R1240" s="69"/>
      <c r="S1240">
        <f>'TMIS CA'!A1231</f>
        <v>0</v>
      </c>
      <c r="T1240" t="str">
        <f>T('TMIS CA'!B1231)</f>
        <v/>
      </c>
      <c r="U1240" t="s">
        <v>4290</v>
      </c>
      <c r="V1240" t="str">
        <f t="shared" si="163"/>
        <v/>
      </c>
      <c r="W1240" t="str">
        <f t="shared" si="162"/>
        <v/>
      </c>
    </row>
    <row r="1241" spans="1:23">
      <c r="A1241">
        <f>'IPTV US'!A1232</f>
        <v>0</v>
      </c>
      <c r="B1241" t="str">
        <f>T('IPTV US'!B1232)</f>
        <v/>
      </c>
      <c r="C1241" t="s">
        <v>4290</v>
      </c>
      <c r="D1241" t="str">
        <f t="shared" si="157"/>
        <v/>
      </c>
      <c r="E1241" t="str">
        <f t="shared" si="158"/>
        <v/>
      </c>
      <c r="F1241" s="68" t="s">
        <v>4289</v>
      </c>
      <c r="G1241">
        <f>'IPTV CA'!A1232</f>
        <v>0</v>
      </c>
      <c r="H1241" t="str">
        <f>T('IPTV CA'!B1232)</f>
        <v/>
      </c>
      <c r="I1241" t="s">
        <v>4290</v>
      </c>
      <c r="J1241" t="str">
        <f t="shared" si="159"/>
        <v/>
      </c>
      <c r="K1241" t="str">
        <f t="shared" si="156"/>
        <v/>
      </c>
      <c r="L1241" s="69"/>
      <c r="M1241">
        <f>'TMIS US'!A1232</f>
        <v>0</v>
      </c>
      <c r="N1241" t="str">
        <f>T('TMIS US'!B1232)</f>
        <v/>
      </c>
      <c r="O1241" t="s">
        <v>4290</v>
      </c>
      <c r="P1241" t="str">
        <f t="shared" si="160"/>
        <v/>
      </c>
      <c r="Q1241" t="str">
        <f t="shared" si="161"/>
        <v/>
      </c>
      <c r="R1241" s="69"/>
      <c r="S1241">
        <f>'TMIS CA'!A1232</f>
        <v>0</v>
      </c>
      <c r="T1241" t="str">
        <f>T('TMIS CA'!B1232)</f>
        <v/>
      </c>
      <c r="U1241" t="s">
        <v>4290</v>
      </c>
      <c r="V1241" t="str">
        <f t="shared" si="163"/>
        <v/>
      </c>
      <c r="W1241" t="str">
        <f t="shared" si="162"/>
        <v/>
      </c>
    </row>
    <row r="1242" spans="1:23">
      <c r="A1242">
        <f>'IPTV US'!A1233</f>
        <v>0</v>
      </c>
      <c r="B1242" t="str">
        <f>T('IPTV US'!B1233)</f>
        <v/>
      </c>
      <c r="C1242" t="s">
        <v>4290</v>
      </c>
      <c r="D1242" t="str">
        <f t="shared" si="157"/>
        <v/>
      </c>
      <c r="E1242" t="str">
        <f t="shared" si="158"/>
        <v/>
      </c>
      <c r="F1242" s="68" t="s">
        <v>4289</v>
      </c>
      <c r="G1242">
        <f>'IPTV CA'!A1233</f>
        <v>0</v>
      </c>
      <c r="H1242" t="str">
        <f>T('IPTV CA'!B1233)</f>
        <v/>
      </c>
      <c r="I1242" t="s">
        <v>4290</v>
      </c>
      <c r="J1242" t="str">
        <f t="shared" si="159"/>
        <v/>
      </c>
      <c r="K1242" t="str">
        <f t="shared" si="156"/>
        <v/>
      </c>
      <c r="L1242" s="69"/>
      <c r="M1242">
        <f>'TMIS US'!A1233</f>
        <v>0</v>
      </c>
      <c r="N1242" t="str">
        <f>T('TMIS US'!B1233)</f>
        <v/>
      </c>
      <c r="O1242" t="s">
        <v>4290</v>
      </c>
      <c r="P1242" t="str">
        <f t="shared" si="160"/>
        <v/>
      </c>
      <c r="Q1242" t="str">
        <f t="shared" si="161"/>
        <v/>
      </c>
      <c r="R1242" s="69"/>
      <c r="S1242">
        <f>'TMIS CA'!A1233</f>
        <v>0</v>
      </c>
      <c r="T1242" t="str">
        <f>T('TMIS CA'!B1233)</f>
        <v/>
      </c>
      <c r="U1242" t="s">
        <v>4290</v>
      </c>
      <c r="V1242" t="str">
        <f t="shared" si="163"/>
        <v/>
      </c>
      <c r="W1242" t="str">
        <f t="shared" si="162"/>
        <v/>
      </c>
    </row>
    <row r="1243" spans="1:23">
      <c r="A1243">
        <f>'IPTV US'!A1234</f>
        <v>0</v>
      </c>
      <c r="B1243" t="str">
        <f>T('IPTV US'!B1234)</f>
        <v/>
      </c>
      <c r="C1243" t="s">
        <v>4290</v>
      </c>
      <c r="D1243" t="str">
        <f t="shared" si="157"/>
        <v/>
      </c>
      <c r="E1243" t="str">
        <f t="shared" si="158"/>
        <v/>
      </c>
      <c r="F1243" s="68" t="s">
        <v>4289</v>
      </c>
      <c r="G1243">
        <f>'IPTV CA'!A1234</f>
        <v>0</v>
      </c>
      <c r="H1243" t="str">
        <f>T('IPTV CA'!B1234)</f>
        <v/>
      </c>
      <c r="I1243" t="s">
        <v>4290</v>
      </c>
      <c r="J1243" t="str">
        <f t="shared" si="159"/>
        <v/>
      </c>
      <c r="K1243" t="str">
        <f t="shared" si="156"/>
        <v/>
      </c>
      <c r="L1243" s="69"/>
      <c r="M1243">
        <f>'TMIS US'!A1234</f>
        <v>0</v>
      </c>
      <c r="N1243" t="str">
        <f>T('TMIS US'!B1234)</f>
        <v/>
      </c>
      <c r="O1243" t="s">
        <v>4290</v>
      </c>
      <c r="P1243" t="str">
        <f t="shared" si="160"/>
        <v/>
      </c>
      <c r="Q1243" t="str">
        <f t="shared" si="161"/>
        <v/>
      </c>
      <c r="R1243" s="69"/>
      <c r="S1243">
        <f>'TMIS CA'!A1234</f>
        <v>0</v>
      </c>
      <c r="T1243" t="str">
        <f>T('TMIS CA'!B1234)</f>
        <v/>
      </c>
      <c r="U1243" t="s">
        <v>4290</v>
      </c>
      <c r="V1243" t="str">
        <f t="shared" si="163"/>
        <v/>
      </c>
      <c r="W1243" t="str">
        <f t="shared" si="162"/>
        <v/>
      </c>
    </row>
    <row r="1244" spans="1:23">
      <c r="A1244">
        <f>'IPTV US'!A1235</f>
        <v>0</v>
      </c>
      <c r="B1244" t="str">
        <f>T('IPTV US'!B1235)</f>
        <v/>
      </c>
      <c r="C1244" t="s">
        <v>4290</v>
      </c>
      <c r="D1244" t="str">
        <f t="shared" si="157"/>
        <v/>
      </c>
      <c r="E1244" t="str">
        <f t="shared" si="158"/>
        <v/>
      </c>
      <c r="F1244" s="68" t="s">
        <v>4289</v>
      </c>
      <c r="G1244">
        <f>'IPTV CA'!A1235</f>
        <v>0</v>
      </c>
      <c r="H1244" t="str">
        <f>T('IPTV CA'!B1235)</f>
        <v/>
      </c>
      <c r="I1244" t="s">
        <v>4290</v>
      </c>
      <c r="J1244" t="str">
        <f t="shared" si="159"/>
        <v/>
      </c>
      <c r="K1244" t="str">
        <f t="shared" si="156"/>
        <v/>
      </c>
      <c r="L1244" s="69"/>
      <c r="M1244">
        <f>'TMIS US'!A1235</f>
        <v>0</v>
      </c>
      <c r="N1244" t="str">
        <f>T('TMIS US'!B1235)</f>
        <v/>
      </c>
      <c r="O1244" t="s">
        <v>4290</v>
      </c>
      <c r="P1244" t="str">
        <f t="shared" si="160"/>
        <v/>
      </c>
      <c r="Q1244" t="str">
        <f t="shared" si="161"/>
        <v/>
      </c>
      <c r="R1244" s="69"/>
      <c r="S1244">
        <f>'TMIS CA'!A1235</f>
        <v>0</v>
      </c>
      <c r="T1244" t="str">
        <f>T('TMIS CA'!B1235)</f>
        <v/>
      </c>
      <c r="U1244" t="s">
        <v>4290</v>
      </c>
      <c r="V1244" t="str">
        <f t="shared" si="163"/>
        <v/>
      </c>
      <c r="W1244" t="str">
        <f t="shared" si="162"/>
        <v/>
      </c>
    </row>
    <row r="1245" spans="1:23">
      <c r="A1245">
        <f>'IPTV US'!A1236</f>
        <v>0</v>
      </c>
      <c r="B1245" t="str">
        <f>T('IPTV US'!B1236)</f>
        <v/>
      </c>
      <c r="C1245" t="s">
        <v>4290</v>
      </c>
      <c r="D1245" t="str">
        <f t="shared" si="157"/>
        <v/>
      </c>
      <c r="E1245" t="str">
        <f t="shared" si="158"/>
        <v/>
      </c>
      <c r="F1245" s="68" t="s">
        <v>4289</v>
      </c>
      <c r="G1245">
        <f>'IPTV CA'!A1236</f>
        <v>0</v>
      </c>
      <c r="H1245" t="str">
        <f>T('IPTV CA'!B1236)</f>
        <v/>
      </c>
      <c r="I1245" t="s">
        <v>4290</v>
      </c>
      <c r="J1245" t="str">
        <f t="shared" si="159"/>
        <v/>
      </c>
      <c r="K1245" t="str">
        <f t="shared" si="156"/>
        <v/>
      </c>
      <c r="L1245" s="69"/>
      <c r="M1245">
        <f>'TMIS US'!A1236</f>
        <v>0</v>
      </c>
      <c r="N1245" t="str">
        <f>T('TMIS US'!B1236)</f>
        <v/>
      </c>
      <c r="O1245" t="s">
        <v>4290</v>
      </c>
      <c r="P1245" t="str">
        <f t="shared" si="160"/>
        <v/>
      </c>
      <c r="Q1245" t="str">
        <f t="shared" si="161"/>
        <v/>
      </c>
      <c r="R1245" s="69"/>
      <c r="S1245">
        <f>'TMIS CA'!A1236</f>
        <v>0</v>
      </c>
      <c r="T1245" t="str">
        <f>T('TMIS CA'!B1236)</f>
        <v/>
      </c>
      <c r="U1245" t="s">
        <v>4290</v>
      </c>
      <c r="V1245" t="str">
        <f t="shared" si="163"/>
        <v/>
      </c>
      <c r="W1245" t="str">
        <f t="shared" si="162"/>
        <v/>
      </c>
    </row>
    <row r="1246" spans="1:23">
      <c r="A1246">
        <f>'IPTV US'!A1237</f>
        <v>0</v>
      </c>
      <c r="B1246" t="str">
        <f>T('IPTV US'!B1237)</f>
        <v/>
      </c>
      <c r="C1246" t="s">
        <v>4290</v>
      </c>
      <c r="D1246" t="str">
        <f t="shared" si="157"/>
        <v/>
      </c>
      <c r="E1246" t="str">
        <f t="shared" si="158"/>
        <v/>
      </c>
      <c r="F1246" s="68" t="s">
        <v>4289</v>
      </c>
      <c r="G1246">
        <f>'IPTV CA'!A1237</f>
        <v>0</v>
      </c>
      <c r="H1246" t="str">
        <f>T('IPTV CA'!B1237)</f>
        <v/>
      </c>
      <c r="I1246" t="s">
        <v>4290</v>
      </c>
      <c r="J1246" t="str">
        <f t="shared" si="159"/>
        <v/>
      </c>
      <c r="K1246" t="str">
        <f t="shared" si="156"/>
        <v/>
      </c>
      <c r="L1246" s="69"/>
      <c r="M1246">
        <f>'TMIS US'!A1237</f>
        <v>0</v>
      </c>
      <c r="N1246" t="str">
        <f>T('TMIS US'!B1237)</f>
        <v/>
      </c>
      <c r="O1246" t="s">
        <v>4290</v>
      </c>
      <c r="P1246" t="str">
        <f t="shared" si="160"/>
        <v/>
      </c>
      <c r="Q1246" t="str">
        <f t="shared" si="161"/>
        <v/>
      </c>
      <c r="R1246" s="69"/>
      <c r="S1246">
        <f>'TMIS CA'!A1237</f>
        <v>0</v>
      </c>
      <c r="T1246" t="str">
        <f>T('TMIS CA'!B1237)</f>
        <v/>
      </c>
      <c r="U1246" t="s">
        <v>4290</v>
      </c>
      <c r="V1246" t="str">
        <f t="shared" si="163"/>
        <v/>
      </c>
      <c r="W1246" t="str">
        <f t="shared" si="162"/>
        <v/>
      </c>
    </row>
    <row r="1247" spans="1:23">
      <c r="A1247">
        <f>'IPTV US'!A1238</f>
        <v>0</v>
      </c>
      <c r="B1247" t="str">
        <f>T('IPTV US'!B1238)</f>
        <v/>
      </c>
      <c r="C1247" t="s">
        <v>4290</v>
      </c>
      <c r="D1247" t="str">
        <f t="shared" si="157"/>
        <v/>
      </c>
      <c r="E1247" t="str">
        <f t="shared" si="158"/>
        <v/>
      </c>
      <c r="F1247" s="68" t="s">
        <v>4289</v>
      </c>
      <c r="G1247">
        <f>'IPTV CA'!A1238</f>
        <v>0</v>
      </c>
      <c r="H1247" t="str">
        <f>T('IPTV CA'!B1238)</f>
        <v/>
      </c>
      <c r="I1247" t="s">
        <v>4290</v>
      </c>
      <c r="J1247" t="str">
        <f t="shared" si="159"/>
        <v/>
      </c>
      <c r="K1247" t="str">
        <f t="shared" si="156"/>
        <v/>
      </c>
      <c r="L1247" s="69"/>
      <c r="M1247">
        <f>'TMIS US'!A1238</f>
        <v>0</v>
      </c>
      <c r="N1247" t="str">
        <f>T('TMIS US'!B1238)</f>
        <v/>
      </c>
      <c r="O1247" t="s">
        <v>4290</v>
      </c>
      <c r="P1247" t="str">
        <f t="shared" si="160"/>
        <v/>
      </c>
      <c r="Q1247" t="str">
        <f t="shared" si="161"/>
        <v/>
      </c>
      <c r="R1247" s="69"/>
      <c r="S1247">
        <f>'TMIS CA'!A1238</f>
        <v>0</v>
      </c>
      <c r="T1247" t="str">
        <f>T('TMIS CA'!B1238)</f>
        <v/>
      </c>
      <c r="U1247" t="s">
        <v>4290</v>
      </c>
      <c r="V1247" t="str">
        <f t="shared" si="163"/>
        <v/>
      </c>
      <c r="W1247" t="str">
        <f t="shared" si="162"/>
        <v/>
      </c>
    </row>
    <row r="1248" spans="1:23">
      <c r="A1248">
        <f>'IPTV US'!A1239</f>
        <v>0</v>
      </c>
      <c r="B1248" t="str">
        <f>T('IPTV US'!B1239)</f>
        <v/>
      </c>
      <c r="C1248" t="s">
        <v>4290</v>
      </c>
      <c r="D1248" t="str">
        <f t="shared" si="157"/>
        <v/>
      </c>
      <c r="E1248" t="str">
        <f t="shared" si="158"/>
        <v/>
      </c>
      <c r="F1248" s="68" t="s">
        <v>4289</v>
      </c>
      <c r="G1248">
        <f>'IPTV CA'!A1239</f>
        <v>0</v>
      </c>
      <c r="H1248" t="str">
        <f>T('IPTV CA'!B1239)</f>
        <v/>
      </c>
      <c r="I1248" t="s">
        <v>4290</v>
      </c>
      <c r="J1248" t="str">
        <f t="shared" si="159"/>
        <v/>
      </c>
      <c r="K1248" t="str">
        <f t="shared" si="156"/>
        <v/>
      </c>
      <c r="L1248" s="69"/>
      <c r="M1248">
        <f>'TMIS US'!A1239</f>
        <v>0</v>
      </c>
      <c r="N1248" t="str">
        <f>T('TMIS US'!B1239)</f>
        <v/>
      </c>
      <c r="O1248" t="s">
        <v>4290</v>
      </c>
      <c r="P1248" t="str">
        <f t="shared" si="160"/>
        <v/>
      </c>
      <c r="Q1248" t="str">
        <f t="shared" si="161"/>
        <v/>
      </c>
      <c r="R1248" s="69"/>
      <c r="S1248">
        <f>'TMIS CA'!A1239</f>
        <v>0</v>
      </c>
      <c r="T1248" t="str">
        <f>T('TMIS CA'!B1239)</f>
        <v/>
      </c>
      <c r="U1248" t="s">
        <v>4290</v>
      </c>
      <c r="V1248" t="str">
        <f t="shared" si="163"/>
        <v/>
      </c>
      <c r="W1248" t="str">
        <f t="shared" si="162"/>
        <v/>
      </c>
    </row>
    <row r="1249" spans="1:23">
      <c r="A1249">
        <f>'IPTV US'!A1240</f>
        <v>0</v>
      </c>
      <c r="B1249" t="str">
        <f>T('IPTV US'!B1240)</f>
        <v/>
      </c>
      <c r="C1249" t="s">
        <v>4290</v>
      </c>
      <c r="D1249" t="str">
        <f t="shared" si="157"/>
        <v/>
      </c>
      <c r="E1249" t="str">
        <f t="shared" si="158"/>
        <v/>
      </c>
      <c r="F1249" s="68" t="s">
        <v>4289</v>
      </c>
      <c r="G1249">
        <f>'IPTV CA'!A1240</f>
        <v>0</v>
      </c>
      <c r="H1249" t="str">
        <f>T('IPTV CA'!B1240)</f>
        <v/>
      </c>
      <c r="I1249" t="s">
        <v>4290</v>
      </c>
      <c r="J1249" t="str">
        <f t="shared" si="159"/>
        <v/>
      </c>
      <c r="K1249" t="str">
        <f t="shared" si="156"/>
        <v/>
      </c>
      <c r="L1249" s="69"/>
      <c r="M1249">
        <f>'TMIS US'!A1240</f>
        <v>0</v>
      </c>
      <c r="N1249" t="str">
        <f>T('TMIS US'!B1240)</f>
        <v/>
      </c>
      <c r="O1249" t="s">
        <v>4290</v>
      </c>
      <c r="P1249" t="str">
        <f t="shared" si="160"/>
        <v/>
      </c>
      <c r="Q1249" t="str">
        <f t="shared" si="161"/>
        <v/>
      </c>
      <c r="R1249" s="69"/>
      <c r="S1249">
        <f>'TMIS CA'!A1240</f>
        <v>0</v>
      </c>
      <c r="T1249" t="str">
        <f>T('TMIS CA'!B1240)</f>
        <v/>
      </c>
      <c r="U1249" t="s">
        <v>4290</v>
      </c>
      <c r="V1249" t="str">
        <f t="shared" si="163"/>
        <v/>
      </c>
      <c r="W1249" t="str">
        <f t="shared" si="162"/>
        <v/>
      </c>
    </row>
    <row r="1250" spans="1:23">
      <c r="A1250">
        <f>'IPTV US'!A1241</f>
        <v>0</v>
      </c>
      <c r="B1250" t="str">
        <f>T('IPTV US'!B1241)</f>
        <v/>
      </c>
      <c r="C1250" t="s">
        <v>4290</v>
      </c>
      <c r="D1250" t="str">
        <f t="shared" si="157"/>
        <v/>
      </c>
      <c r="E1250" t="str">
        <f t="shared" si="158"/>
        <v/>
      </c>
      <c r="F1250" s="68" t="s">
        <v>4289</v>
      </c>
      <c r="G1250">
        <f>'IPTV CA'!A1241</f>
        <v>0</v>
      </c>
      <c r="H1250" t="str">
        <f>T('IPTV CA'!B1241)</f>
        <v/>
      </c>
      <c r="I1250" t="s">
        <v>4290</v>
      </c>
      <c r="J1250" t="str">
        <f t="shared" si="159"/>
        <v/>
      </c>
      <c r="K1250" t="str">
        <f t="shared" si="156"/>
        <v/>
      </c>
      <c r="L1250" s="69"/>
      <c r="M1250">
        <f>'TMIS US'!A1241</f>
        <v>0</v>
      </c>
      <c r="N1250" t="str">
        <f>T('TMIS US'!B1241)</f>
        <v/>
      </c>
      <c r="O1250" t="s">
        <v>4290</v>
      </c>
      <c r="P1250" t="str">
        <f t="shared" si="160"/>
        <v/>
      </c>
      <c r="Q1250" t="str">
        <f t="shared" si="161"/>
        <v/>
      </c>
      <c r="R1250" s="69"/>
      <c r="S1250">
        <f>'TMIS CA'!A1241</f>
        <v>0</v>
      </c>
      <c r="T1250" t="str">
        <f>T('TMIS CA'!B1241)</f>
        <v/>
      </c>
      <c r="U1250" t="s">
        <v>4290</v>
      </c>
      <c r="V1250" t="str">
        <f t="shared" si="163"/>
        <v/>
      </c>
      <c r="W1250" t="str">
        <f t="shared" si="162"/>
        <v/>
      </c>
    </row>
    <row r="1251" spans="1:23">
      <c r="A1251">
        <f>'IPTV US'!A1242</f>
        <v>0</v>
      </c>
      <c r="B1251" t="str">
        <f>T('IPTV US'!B1242)</f>
        <v/>
      </c>
      <c r="C1251" t="s">
        <v>4290</v>
      </c>
      <c r="D1251" t="str">
        <f t="shared" si="157"/>
        <v/>
      </c>
      <c r="E1251" t="str">
        <f t="shared" si="158"/>
        <v/>
      </c>
      <c r="F1251" s="68" t="s">
        <v>4289</v>
      </c>
      <c r="G1251">
        <f>'IPTV CA'!A1242</f>
        <v>0</v>
      </c>
      <c r="H1251" t="str">
        <f>T('IPTV CA'!B1242)</f>
        <v/>
      </c>
      <c r="I1251" t="s">
        <v>4290</v>
      </c>
      <c r="J1251" t="str">
        <f t="shared" si="159"/>
        <v/>
      </c>
      <c r="K1251" t="str">
        <f t="shared" si="156"/>
        <v/>
      </c>
      <c r="L1251" s="69"/>
      <c r="M1251">
        <f>'TMIS US'!A1242</f>
        <v>0</v>
      </c>
      <c r="N1251" t="str">
        <f>T('TMIS US'!B1242)</f>
        <v/>
      </c>
      <c r="O1251" t="s">
        <v>4290</v>
      </c>
      <c r="P1251" t="str">
        <f t="shared" si="160"/>
        <v/>
      </c>
      <c r="Q1251" t="str">
        <f t="shared" si="161"/>
        <v/>
      </c>
      <c r="R1251" s="69"/>
      <c r="S1251">
        <f>'TMIS CA'!A1242</f>
        <v>0</v>
      </c>
      <c r="T1251" t="str">
        <f>T('TMIS CA'!B1242)</f>
        <v/>
      </c>
      <c r="U1251" t="s">
        <v>4290</v>
      </c>
      <c r="V1251" t="str">
        <f t="shared" si="163"/>
        <v/>
      </c>
      <c r="W1251" t="str">
        <f t="shared" si="162"/>
        <v/>
      </c>
    </row>
    <row r="1252" spans="1:23">
      <c r="A1252">
        <f>'IPTV US'!A1243</f>
        <v>0</v>
      </c>
      <c r="B1252" t="str">
        <f>T('IPTV US'!B1243)</f>
        <v/>
      </c>
      <c r="C1252" t="s">
        <v>4290</v>
      </c>
      <c r="D1252" t="str">
        <f t="shared" si="157"/>
        <v/>
      </c>
      <c r="E1252" t="str">
        <f t="shared" si="158"/>
        <v/>
      </c>
      <c r="F1252" s="68" t="s">
        <v>4289</v>
      </c>
      <c r="G1252">
        <f>'IPTV CA'!A1243</f>
        <v>0</v>
      </c>
      <c r="H1252" t="str">
        <f>T('IPTV CA'!B1243)</f>
        <v/>
      </c>
      <c r="I1252" t="s">
        <v>4290</v>
      </c>
      <c r="J1252" t="str">
        <f t="shared" si="159"/>
        <v/>
      </c>
      <c r="K1252" t="str">
        <f t="shared" si="156"/>
        <v/>
      </c>
      <c r="L1252" s="69"/>
      <c r="M1252">
        <f>'TMIS US'!A1243</f>
        <v>0</v>
      </c>
      <c r="N1252" t="str">
        <f>T('TMIS US'!B1243)</f>
        <v/>
      </c>
      <c r="O1252" t="s">
        <v>4290</v>
      </c>
      <c r="P1252" t="str">
        <f t="shared" si="160"/>
        <v/>
      </c>
      <c r="Q1252" t="str">
        <f t="shared" si="161"/>
        <v/>
      </c>
      <c r="R1252" s="69"/>
      <c r="S1252">
        <f>'TMIS CA'!A1243</f>
        <v>0</v>
      </c>
      <c r="T1252" t="str">
        <f>T('TMIS CA'!B1243)</f>
        <v/>
      </c>
      <c r="U1252" t="s">
        <v>4290</v>
      </c>
      <c r="V1252" t="str">
        <f t="shared" si="163"/>
        <v/>
      </c>
      <c r="W1252" t="str">
        <f t="shared" si="162"/>
        <v/>
      </c>
    </row>
    <row r="1253" spans="1:23">
      <c r="A1253">
        <f>'IPTV US'!A1244</f>
        <v>0</v>
      </c>
      <c r="B1253" t="str">
        <f>T('IPTV US'!B1244)</f>
        <v/>
      </c>
      <c r="C1253" t="s">
        <v>4290</v>
      </c>
      <c r="D1253" t="str">
        <f t="shared" si="157"/>
        <v/>
      </c>
      <c r="E1253" t="str">
        <f t="shared" si="158"/>
        <v/>
      </c>
      <c r="F1253" s="68" t="s">
        <v>4289</v>
      </c>
      <c r="G1253">
        <f>'IPTV CA'!A1244</f>
        <v>0</v>
      </c>
      <c r="H1253" t="str">
        <f>T('IPTV CA'!B1244)</f>
        <v/>
      </c>
      <c r="I1253" t="s">
        <v>4290</v>
      </c>
      <c r="J1253" t="str">
        <f t="shared" si="159"/>
        <v/>
      </c>
      <c r="K1253" t="str">
        <f t="shared" si="156"/>
        <v/>
      </c>
      <c r="L1253" s="69"/>
      <c r="M1253">
        <f>'TMIS US'!A1244</f>
        <v>0</v>
      </c>
      <c r="N1253" t="str">
        <f>T('TMIS US'!B1244)</f>
        <v/>
      </c>
      <c r="O1253" t="s">
        <v>4290</v>
      </c>
      <c r="P1253" t="str">
        <f t="shared" si="160"/>
        <v/>
      </c>
      <c r="Q1253" t="str">
        <f t="shared" si="161"/>
        <v/>
      </c>
      <c r="R1253" s="69"/>
      <c r="S1253">
        <f>'TMIS CA'!A1244</f>
        <v>0</v>
      </c>
      <c r="T1253" t="str">
        <f>T('TMIS CA'!B1244)</f>
        <v/>
      </c>
      <c r="U1253" t="s">
        <v>4290</v>
      </c>
      <c r="V1253" t="str">
        <f t="shared" si="163"/>
        <v/>
      </c>
      <c r="W1253" t="str">
        <f t="shared" si="162"/>
        <v/>
      </c>
    </row>
    <row r="1254" spans="1:23">
      <c r="A1254">
        <f>'IPTV US'!A1245</f>
        <v>0</v>
      </c>
      <c r="B1254" t="str">
        <f>T('IPTV US'!B1245)</f>
        <v/>
      </c>
      <c r="C1254" t="s">
        <v>4290</v>
      </c>
      <c r="D1254" t="str">
        <f t="shared" si="157"/>
        <v/>
      </c>
      <c r="E1254" t="str">
        <f t="shared" si="158"/>
        <v/>
      </c>
      <c r="F1254" s="68" t="s">
        <v>4289</v>
      </c>
      <c r="G1254">
        <f>'IPTV CA'!A1245</f>
        <v>0</v>
      </c>
      <c r="H1254" t="str">
        <f>T('IPTV CA'!B1245)</f>
        <v/>
      </c>
      <c r="I1254" t="s">
        <v>4290</v>
      </c>
      <c r="J1254" t="str">
        <f t="shared" si="159"/>
        <v/>
      </c>
      <c r="K1254" t="str">
        <f t="shared" si="156"/>
        <v/>
      </c>
      <c r="L1254" s="69"/>
      <c r="M1254">
        <f>'TMIS US'!A1245</f>
        <v>0</v>
      </c>
      <c r="N1254" t="str">
        <f>T('TMIS US'!B1245)</f>
        <v/>
      </c>
      <c r="O1254" t="s">
        <v>4290</v>
      </c>
      <c r="P1254" t="str">
        <f t="shared" si="160"/>
        <v/>
      </c>
      <c r="Q1254" t="str">
        <f t="shared" si="161"/>
        <v/>
      </c>
      <c r="R1254" s="69"/>
      <c r="S1254">
        <f>'TMIS CA'!A1245</f>
        <v>0</v>
      </c>
      <c r="T1254" t="str">
        <f>T('TMIS CA'!B1245)</f>
        <v/>
      </c>
      <c r="U1254" t="s">
        <v>4290</v>
      </c>
      <c r="V1254" t="str">
        <f t="shared" si="163"/>
        <v/>
      </c>
      <c r="W1254" t="str">
        <f t="shared" si="162"/>
        <v/>
      </c>
    </row>
    <row r="1255" spans="1:23">
      <c r="A1255">
        <f>'IPTV US'!A1246</f>
        <v>0</v>
      </c>
      <c r="B1255" t="str">
        <f>T('IPTV US'!B1246)</f>
        <v/>
      </c>
      <c r="C1255" t="s">
        <v>4290</v>
      </c>
      <c r="D1255" t="str">
        <f t="shared" si="157"/>
        <v/>
      </c>
      <c r="E1255" t="str">
        <f t="shared" si="158"/>
        <v/>
      </c>
      <c r="F1255" s="68" t="s">
        <v>4289</v>
      </c>
      <c r="G1255">
        <f>'IPTV CA'!A1246</f>
        <v>0</v>
      </c>
      <c r="H1255" t="str">
        <f>T('IPTV CA'!B1246)</f>
        <v/>
      </c>
      <c r="I1255" t="s">
        <v>4290</v>
      </c>
      <c r="J1255" t="str">
        <f t="shared" si="159"/>
        <v/>
      </c>
      <c r="K1255" t="str">
        <f t="shared" si="156"/>
        <v/>
      </c>
      <c r="L1255" s="69"/>
      <c r="M1255">
        <f>'TMIS US'!A1246</f>
        <v>0</v>
      </c>
      <c r="N1255" t="str">
        <f>T('TMIS US'!B1246)</f>
        <v/>
      </c>
      <c r="O1255" t="s">
        <v>4290</v>
      </c>
      <c r="P1255" t="str">
        <f t="shared" si="160"/>
        <v/>
      </c>
      <c r="Q1255" t="str">
        <f t="shared" si="161"/>
        <v/>
      </c>
      <c r="R1255" s="69"/>
      <c r="S1255">
        <f>'TMIS CA'!A1246</f>
        <v>0</v>
      </c>
      <c r="T1255" t="str">
        <f>T('TMIS CA'!B1246)</f>
        <v/>
      </c>
      <c r="U1255" t="s">
        <v>4290</v>
      </c>
      <c r="V1255" t="str">
        <f t="shared" si="163"/>
        <v/>
      </c>
      <c r="W1255" t="str">
        <f t="shared" si="162"/>
        <v/>
      </c>
    </row>
    <row r="1256" spans="1:23">
      <c r="A1256">
        <f>'IPTV US'!A1247</f>
        <v>0</v>
      </c>
      <c r="B1256" t="str">
        <f>T('IPTV US'!B1247)</f>
        <v/>
      </c>
      <c r="C1256" t="s">
        <v>4290</v>
      </c>
      <c r="D1256" t="str">
        <f t="shared" si="157"/>
        <v/>
      </c>
      <c r="E1256" t="str">
        <f t="shared" si="158"/>
        <v/>
      </c>
      <c r="F1256" s="68" t="s">
        <v>4289</v>
      </c>
      <c r="G1256">
        <f>'IPTV CA'!A1247</f>
        <v>0</v>
      </c>
      <c r="H1256" t="str">
        <f>T('IPTV CA'!B1247)</f>
        <v/>
      </c>
      <c r="I1256" t="s">
        <v>4290</v>
      </c>
      <c r="J1256" t="str">
        <f t="shared" si="159"/>
        <v/>
      </c>
      <c r="K1256" t="str">
        <f t="shared" si="156"/>
        <v/>
      </c>
      <c r="L1256" s="69"/>
      <c r="M1256">
        <f>'TMIS US'!A1247</f>
        <v>0</v>
      </c>
      <c r="N1256" t="str">
        <f>T('TMIS US'!B1247)</f>
        <v/>
      </c>
      <c r="O1256" t="s">
        <v>4290</v>
      </c>
      <c r="P1256" t="str">
        <f t="shared" si="160"/>
        <v/>
      </c>
      <c r="Q1256" t="str">
        <f t="shared" si="161"/>
        <v/>
      </c>
      <c r="R1256" s="69"/>
      <c r="S1256">
        <f>'TMIS CA'!A1247</f>
        <v>0</v>
      </c>
      <c r="T1256" t="str">
        <f>T('TMIS CA'!B1247)</f>
        <v/>
      </c>
      <c r="U1256" t="s">
        <v>4290</v>
      </c>
      <c r="V1256" t="str">
        <f t="shared" si="163"/>
        <v/>
      </c>
      <c r="W1256" t="str">
        <f t="shared" si="162"/>
        <v/>
      </c>
    </row>
    <row r="1257" spans="1:23">
      <c r="A1257">
        <f>'IPTV US'!A1248</f>
        <v>0</v>
      </c>
      <c r="B1257" t="str">
        <f>T('IPTV US'!B1248)</f>
        <v/>
      </c>
      <c r="C1257" t="s">
        <v>4290</v>
      </c>
      <c r="D1257" t="str">
        <f t="shared" si="157"/>
        <v/>
      </c>
      <c r="E1257" t="str">
        <f t="shared" si="158"/>
        <v/>
      </c>
      <c r="F1257" s="68" t="s">
        <v>4289</v>
      </c>
      <c r="G1257">
        <f>'IPTV CA'!A1248</f>
        <v>0</v>
      </c>
      <c r="H1257" t="str">
        <f>T('IPTV CA'!B1248)</f>
        <v/>
      </c>
      <c r="I1257" t="s">
        <v>4290</v>
      </c>
      <c r="J1257" t="str">
        <f t="shared" si="159"/>
        <v/>
      </c>
      <c r="K1257" t="str">
        <f t="shared" si="156"/>
        <v/>
      </c>
      <c r="L1257" s="69"/>
      <c r="M1257">
        <f>'TMIS US'!A1248</f>
        <v>0</v>
      </c>
      <c r="N1257" t="str">
        <f>T('TMIS US'!B1248)</f>
        <v/>
      </c>
      <c r="O1257" t="s">
        <v>4290</v>
      </c>
      <c r="P1257" t="str">
        <f t="shared" si="160"/>
        <v/>
      </c>
      <c r="Q1257" t="str">
        <f t="shared" si="161"/>
        <v/>
      </c>
      <c r="R1257" s="69"/>
      <c r="S1257">
        <f>'TMIS CA'!A1248</f>
        <v>0</v>
      </c>
      <c r="T1257" t="str">
        <f>T('TMIS CA'!B1248)</f>
        <v/>
      </c>
      <c r="U1257" t="s">
        <v>4290</v>
      </c>
      <c r="V1257" t="str">
        <f t="shared" si="163"/>
        <v/>
      </c>
      <c r="W1257" t="str">
        <f t="shared" si="162"/>
        <v/>
      </c>
    </row>
    <row r="1258" spans="1:23">
      <c r="A1258">
        <f>'IPTV US'!A1249</f>
        <v>0</v>
      </c>
      <c r="B1258" t="str">
        <f>T('IPTV US'!B1249)</f>
        <v/>
      </c>
      <c r="C1258" t="s">
        <v>4290</v>
      </c>
      <c r="D1258" t="str">
        <f t="shared" si="157"/>
        <v/>
      </c>
      <c r="E1258" t="str">
        <f t="shared" si="158"/>
        <v/>
      </c>
      <c r="F1258" s="68" t="s">
        <v>4289</v>
      </c>
      <c r="G1258">
        <f>'IPTV CA'!A1249</f>
        <v>0</v>
      </c>
      <c r="H1258" t="str">
        <f>T('IPTV CA'!B1249)</f>
        <v/>
      </c>
      <c r="I1258" t="s">
        <v>4290</v>
      </c>
      <c r="J1258" t="str">
        <f t="shared" si="159"/>
        <v/>
      </c>
      <c r="K1258" t="str">
        <f t="shared" si="156"/>
        <v/>
      </c>
      <c r="L1258" s="69"/>
      <c r="M1258">
        <f>'TMIS US'!A1249</f>
        <v>0</v>
      </c>
      <c r="N1258" t="str">
        <f>T('TMIS US'!B1249)</f>
        <v/>
      </c>
      <c r="O1258" t="s">
        <v>4290</v>
      </c>
      <c r="P1258" t="str">
        <f t="shared" si="160"/>
        <v/>
      </c>
      <c r="Q1258" t="str">
        <f t="shared" si="161"/>
        <v/>
      </c>
      <c r="R1258" s="69"/>
      <c r="S1258">
        <f>'TMIS CA'!A1249</f>
        <v>0</v>
      </c>
      <c r="T1258" t="str">
        <f>T('TMIS CA'!B1249)</f>
        <v/>
      </c>
      <c r="U1258" t="s">
        <v>4290</v>
      </c>
      <c r="V1258" t="str">
        <f t="shared" si="163"/>
        <v/>
      </c>
      <c r="W1258" t="str">
        <f t="shared" si="162"/>
        <v/>
      </c>
    </row>
    <row r="1259" spans="1:23">
      <c r="A1259">
        <f>'IPTV US'!A1250</f>
        <v>0</v>
      </c>
      <c r="B1259" t="str">
        <f>T('IPTV US'!B1250)</f>
        <v/>
      </c>
      <c r="C1259" t="s">
        <v>4290</v>
      </c>
      <c r="D1259" t="str">
        <f t="shared" si="157"/>
        <v/>
      </c>
      <c r="E1259" t="str">
        <f t="shared" si="158"/>
        <v/>
      </c>
      <c r="F1259" s="68" t="s">
        <v>4289</v>
      </c>
      <c r="G1259">
        <f>'IPTV CA'!A1250</f>
        <v>0</v>
      </c>
      <c r="H1259" t="str">
        <f>T('IPTV CA'!B1250)</f>
        <v/>
      </c>
      <c r="I1259" t="s">
        <v>4290</v>
      </c>
      <c r="J1259" t="str">
        <f t="shared" si="159"/>
        <v/>
      </c>
      <c r="K1259" t="str">
        <f t="shared" si="156"/>
        <v/>
      </c>
      <c r="L1259" s="69"/>
      <c r="M1259">
        <f>'TMIS US'!A1250</f>
        <v>0</v>
      </c>
      <c r="N1259" t="str">
        <f>T('TMIS US'!B1250)</f>
        <v/>
      </c>
      <c r="O1259" t="s">
        <v>4290</v>
      </c>
      <c r="P1259" t="str">
        <f t="shared" si="160"/>
        <v/>
      </c>
      <c r="Q1259" t="str">
        <f t="shared" si="161"/>
        <v/>
      </c>
      <c r="R1259" s="69"/>
      <c r="S1259">
        <f>'TMIS CA'!A1250</f>
        <v>0</v>
      </c>
      <c r="T1259" t="str">
        <f>T('TMIS CA'!B1250)</f>
        <v/>
      </c>
      <c r="U1259" t="s">
        <v>4290</v>
      </c>
      <c r="V1259" t="str">
        <f t="shared" si="163"/>
        <v/>
      </c>
      <c r="W1259" t="str">
        <f t="shared" si="162"/>
        <v/>
      </c>
    </row>
    <row r="1260" spans="1:23">
      <c r="A1260">
        <f>'IPTV US'!A1251</f>
        <v>0</v>
      </c>
      <c r="B1260" t="str">
        <f>T('IPTV US'!B1251)</f>
        <v/>
      </c>
      <c r="C1260" t="s">
        <v>4290</v>
      </c>
      <c r="D1260" t="str">
        <f t="shared" si="157"/>
        <v/>
      </c>
      <c r="E1260" t="str">
        <f t="shared" si="158"/>
        <v/>
      </c>
      <c r="F1260" s="68" t="s">
        <v>4289</v>
      </c>
      <c r="G1260">
        <f>'IPTV CA'!A1251</f>
        <v>0</v>
      </c>
      <c r="H1260" t="str">
        <f>T('IPTV CA'!B1251)</f>
        <v/>
      </c>
      <c r="I1260" t="s">
        <v>4290</v>
      </c>
      <c r="J1260" t="str">
        <f t="shared" si="159"/>
        <v/>
      </c>
      <c r="K1260" t="str">
        <f t="shared" si="156"/>
        <v/>
      </c>
      <c r="L1260" s="69"/>
      <c r="M1260">
        <f>'TMIS US'!A1251</f>
        <v>0</v>
      </c>
      <c r="N1260" t="str">
        <f>T('TMIS US'!B1251)</f>
        <v/>
      </c>
      <c r="O1260" t="s">
        <v>4290</v>
      </c>
      <c r="P1260" t="str">
        <f t="shared" si="160"/>
        <v/>
      </c>
      <c r="Q1260" t="str">
        <f t="shared" si="161"/>
        <v/>
      </c>
      <c r="R1260" s="69"/>
      <c r="S1260">
        <f>'TMIS CA'!A1251</f>
        <v>0</v>
      </c>
      <c r="T1260" t="str">
        <f>T('TMIS CA'!B1251)</f>
        <v/>
      </c>
      <c r="U1260" t="s">
        <v>4290</v>
      </c>
      <c r="V1260" t="str">
        <f t="shared" si="163"/>
        <v/>
      </c>
      <c r="W1260" t="str">
        <f t="shared" si="162"/>
        <v/>
      </c>
    </row>
    <row r="1261" spans="1:23">
      <c r="A1261">
        <f>'IPTV US'!A1252</f>
        <v>0</v>
      </c>
      <c r="B1261" t="str">
        <f>T('IPTV US'!B1252)</f>
        <v/>
      </c>
      <c r="C1261" t="s">
        <v>4290</v>
      </c>
      <c r="D1261" t="str">
        <f t="shared" si="157"/>
        <v/>
      </c>
      <c r="E1261" t="str">
        <f t="shared" si="158"/>
        <v/>
      </c>
      <c r="F1261" s="68" t="s">
        <v>4289</v>
      </c>
      <c r="G1261">
        <f>'IPTV CA'!A1252</f>
        <v>0</v>
      </c>
      <c r="H1261" t="str">
        <f>T('IPTV CA'!B1252)</f>
        <v/>
      </c>
      <c r="I1261" t="s">
        <v>4290</v>
      </c>
      <c r="J1261" t="str">
        <f t="shared" si="159"/>
        <v/>
      </c>
      <c r="K1261" t="str">
        <f t="shared" ref="K1261:K1324" si="164">IF(I1261="Vacant",IF(H1261="","","Please Notify - Channel Added"),"")</f>
        <v/>
      </c>
      <c r="L1261" s="69"/>
      <c r="M1261">
        <f>'TMIS US'!A1252</f>
        <v>0</v>
      </c>
      <c r="N1261" t="str">
        <f>T('TMIS US'!B1252)</f>
        <v/>
      </c>
      <c r="O1261" t="s">
        <v>4290</v>
      </c>
      <c r="P1261" t="str">
        <f t="shared" si="160"/>
        <v/>
      </c>
      <c r="Q1261" t="str">
        <f t="shared" si="161"/>
        <v/>
      </c>
      <c r="R1261" s="69"/>
      <c r="S1261">
        <f>'TMIS CA'!A1252</f>
        <v>0</v>
      </c>
      <c r="T1261" t="str">
        <f>T('TMIS CA'!B1252)</f>
        <v/>
      </c>
      <c r="U1261" t="s">
        <v>4290</v>
      </c>
      <c r="V1261" t="str">
        <f t="shared" si="163"/>
        <v/>
      </c>
      <c r="W1261" t="str">
        <f t="shared" si="162"/>
        <v/>
      </c>
    </row>
    <row r="1262" spans="1:23">
      <c r="A1262">
        <f>'IPTV US'!A1253</f>
        <v>0</v>
      </c>
      <c r="B1262" t="str">
        <f>T('IPTV US'!B1253)</f>
        <v/>
      </c>
      <c r="C1262" t="s">
        <v>4290</v>
      </c>
      <c r="D1262" t="str">
        <f t="shared" si="157"/>
        <v/>
      </c>
      <c r="E1262" t="str">
        <f t="shared" si="158"/>
        <v/>
      </c>
      <c r="F1262" s="68" t="s">
        <v>4289</v>
      </c>
      <c r="G1262">
        <f>'IPTV CA'!A1253</f>
        <v>0</v>
      </c>
      <c r="H1262" t="str">
        <f>T('IPTV CA'!B1253)</f>
        <v/>
      </c>
      <c r="I1262" t="s">
        <v>4290</v>
      </c>
      <c r="J1262" t="str">
        <f t="shared" si="159"/>
        <v/>
      </c>
      <c r="K1262" t="str">
        <f t="shared" si="164"/>
        <v/>
      </c>
      <c r="L1262" s="69"/>
      <c r="M1262">
        <f>'TMIS US'!A1253</f>
        <v>0</v>
      </c>
      <c r="N1262" t="str">
        <f>T('TMIS US'!B1253)</f>
        <v/>
      </c>
      <c r="O1262" t="s">
        <v>4290</v>
      </c>
      <c r="P1262" t="str">
        <f t="shared" si="160"/>
        <v/>
      </c>
      <c r="Q1262" t="str">
        <f t="shared" si="161"/>
        <v/>
      </c>
      <c r="R1262" s="69"/>
      <c r="S1262">
        <f>'TMIS CA'!A1253</f>
        <v>0</v>
      </c>
      <c r="T1262" t="str">
        <f>T('TMIS CA'!B1253)</f>
        <v/>
      </c>
      <c r="U1262" t="s">
        <v>4290</v>
      </c>
      <c r="V1262" t="str">
        <f t="shared" si="163"/>
        <v/>
      </c>
      <c r="W1262" t="str">
        <f t="shared" si="162"/>
        <v/>
      </c>
    </row>
    <row r="1263" spans="1:23">
      <c r="A1263">
        <f>'IPTV US'!A1254</f>
        <v>0</v>
      </c>
      <c r="B1263" t="str">
        <f>T('IPTV US'!B1254)</f>
        <v/>
      </c>
      <c r="C1263" t="s">
        <v>4290</v>
      </c>
      <c r="D1263" t="str">
        <f t="shared" si="157"/>
        <v/>
      </c>
      <c r="E1263" t="str">
        <f t="shared" si="158"/>
        <v/>
      </c>
      <c r="F1263" s="68" t="s">
        <v>4289</v>
      </c>
      <c r="G1263">
        <f>'IPTV CA'!A1254</f>
        <v>0</v>
      </c>
      <c r="H1263" t="str">
        <f>T('IPTV CA'!B1254)</f>
        <v/>
      </c>
      <c r="I1263" t="s">
        <v>4290</v>
      </c>
      <c r="J1263" t="str">
        <f t="shared" si="159"/>
        <v/>
      </c>
      <c r="K1263" t="str">
        <f t="shared" si="164"/>
        <v/>
      </c>
      <c r="L1263" s="69"/>
      <c r="M1263">
        <f>'TMIS US'!A1254</f>
        <v>0</v>
      </c>
      <c r="N1263" t="str">
        <f>T('TMIS US'!B1254)</f>
        <v/>
      </c>
      <c r="O1263" t="s">
        <v>4290</v>
      </c>
      <c r="P1263" t="str">
        <f t="shared" si="160"/>
        <v/>
      </c>
      <c r="Q1263" t="str">
        <f t="shared" si="161"/>
        <v/>
      </c>
      <c r="R1263" s="69"/>
      <c r="S1263">
        <f>'TMIS CA'!A1254</f>
        <v>0</v>
      </c>
      <c r="T1263" t="str">
        <f>T('TMIS CA'!B1254)</f>
        <v/>
      </c>
      <c r="U1263" t="s">
        <v>4290</v>
      </c>
      <c r="V1263" t="str">
        <f t="shared" si="163"/>
        <v/>
      </c>
      <c r="W1263" t="str">
        <f t="shared" si="162"/>
        <v/>
      </c>
    </row>
    <row r="1264" spans="1:23">
      <c r="A1264">
        <f>'IPTV US'!A1255</f>
        <v>0</v>
      </c>
      <c r="B1264" t="str">
        <f>T('IPTV US'!B1255)</f>
        <v/>
      </c>
      <c r="C1264" t="s">
        <v>4290</v>
      </c>
      <c r="D1264" t="str">
        <f t="shared" si="157"/>
        <v/>
      </c>
      <c r="E1264" t="str">
        <f t="shared" si="158"/>
        <v/>
      </c>
      <c r="F1264" s="68" t="s">
        <v>4289</v>
      </c>
      <c r="G1264">
        <f>'IPTV CA'!A1255</f>
        <v>0</v>
      </c>
      <c r="H1264" t="str">
        <f>T('IPTV CA'!B1255)</f>
        <v/>
      </c>
      <c r="I1264" t="s">
        <v>4290</v>
      </c>
      <c r="J1264" t="str">
        <f t="shared" si="159"/>
        <v/>
      </c>
      <c r="K1264" t="str">
        <f t="shared" si="164"/>
        <v/>
      </c>
      <c r="L1264" s="69"/>
      <c r="M1264">
        <f>'TMIS US'!A1255</f>
        <v>0</v>
      </c>
      <c r="N1264" t="str">
        <f>T('TMIS US'!B1255)</f>
        <v/>
      </c>
      <c r="O1264" t="s">
        <v>4290</v>
      </c>
      <c r="P1264" t="str">
        <f t="shared" si="160"/>
        <v/>
      </c>
      <c r="Q1264" t="str">
        <f t="shared" si="161"/>
        <v/>
      </c>
      <c r="R1264" s="69"/>
      <c r="S1264">
        <f>'TMIS CA'!A1255</f>
        <v>0</v>
      </c>
      <c r="T1264" t="str">
        <f>T('TMIS CA'!B1255)</f>
        <v/>
      </c>
      <c r="U1264" t="s">
        <v>4290</v>
      </c>
      <c r="V1264" t="str">
        <f t="shared" si="163"/>
        <v/>
      </c>
      <c r="W1264" t="str">
        <f t="shared" si="162"/>
        <v/>
      </c>
    </row>
    <row r="1265" spans="1:23">
      <c r="A1265">
        <f>'IPTV US'!A1256</f>
        <v>0</v>
      </c>
      <c r="B1265" t="str">
        <f>T('IPTV US'!B1256)</f>
        <v/>
      </c>
      <c r="C1265" t="s">
        <v>4290</v>
      </c>
      <c r="D1265" t="str">
        <f t="shared" si="157"/>
        <v/>
      </c>
      <c r="E1265" t="str">
        <f t="shared" si="158"/>
        <v/>
      </c>
      <c r="F1265" s="68" t="s">
        <v>4289</v>
      </c>
      <c r="G1265">
        <f>'IPTV CA'!A1256</f>
        <v>0</v>
      </c>
      <c r="H1265" t="str">
        <f>T('IPTV CA'!B1256)</f>
        <v/>
      </c>
      <c r="I1265" t="s">
        <v>4290</v>
      </c>
      <c r="J1265" t="str">
        <f t="shared" si="159"/>
        <v/>
      </c>
      <c r="K1265" t="str">
        <f t="shared" si="164"/>
        <v/>
      </c>
      <c r="L1265" s="69"/>
      <c r="M1265">
        <f>'TMIS US'!A1256</f>
        <v>0</v>
      </c>
      <c r="N1265" t="str">
        <f>T('TMIS US'!B1256)</f>
        <v/>
      </c>
      <c r="O1265" t="s">
        <v>4290</v>
      </c>
      <c r="P1265" t="str">
        <f t="shared" si="160"/>
        <v/>
      </c>
      <c r="Q1265" t="str">
        <f t="shared" si="161"/>
        <v/>
      </c>
      <c r="R1265" s="69"/>
      <c r="S1265">
        <f>'TMIS CA'!A1256</f>
        <v>0</v>
      </c>
      <c r="T1265" t="str">
        <f>T('TMIS CA'!B1256)</f>
        <v/>
      </c>
      <c r="U1265" t="s">
        <v>4290</v>
      </c>
      <c r="V1265" t="str">
        <f t="shared" si="163"/>
        <v/>
      </c>
      <c r="W1265" t="str">
        <f t="shared" si="162"/>
        <v/>
      </c>
    </row>
    <row r="1266" spans="1:23">
      <c r="A1266">
        <f>'IPTV US'!A1257</f>
        <v>0</v>
      </c>
      <c r="B1266" t="str">
        <f>T('IPTV US'!B1257)</f>
        <v/>
      </c>
      <c r="C1266" t="s">
        <v>4290</v>
      </c>
      <c r="D1266" t="str">
        <f t="shared" si="157"/>
        <v/>
      </c>
      <c r="E1266" t="str">
        <f t="shared" si="158"/>
        <v/>
      </c>
      <c r="F1266" s="68" t="s">
        <v>4289</v>
      </c>
      <c r="G1266">
        <f>'IPTV CA'!A1257</f>
        <v>0</v>
      </c>
      <c r="H1266" t="str">
        <f>T('IPTV CA'!B1257)</f>
        <v/>
      </c>
      <c r="I1266" t="s">
        <v>4290</v>
      </c>
      <c r="J1266" t="str">
        <f t="shared" si="159"/>
        <v/>
      </c>
      <c r="K1266" t="str">
        <f t="shared" si="164"/>
        <v/>
      </c>
      <c r="L1266" s="69"/>
      <c r="M1266">
        <f>'TMIS US'!A1257</f>
        <v>0</v>
      </c>
      <c r="N1266" t="str">
        <f>T('TMIS US'!B1257)</f>
        <v/>
      </c>
      <c r="O1266" t="s">
        <v>4290</v>
      </c>
      <c r="P1266" t="str">
        <f t="shared" si="160"/>
        <v/>
      </c>
      <c r="Q1266" t="str">
        <f t="shared" si="161"/>
        <v/>
      </c>
      <c r="R1266" s="69"/>
      <c r="S1266">
        <f>'TMIS CA'!A1257</f>
        <v>0</v>
      </c>
      <c r="T1266" t="str">
        <f>T('TMIS CA'!B1257)</f>
        <v/>
      </c>
      <c r="U1266" t="s">
        <v>4290</v>
      </c>
      <c r="V1266" t="str">
        <f t="shared" si="163"/>
        <v/>
      </c>
      <c r="W1266" t="str">
        <f t="shared" si="162"/>
        <v/>
      </c>
    </row>
    <row r="1267" spans="1:23">
      <c r="A1267">
        <f>'IPTV US'!A1258</f>
        <v>0</v>
      </c>
      <c r="B1267" t="str">
        <f>T('IPTV US'!B1258)</f>
        <v/>
      </c>
      <c r="C1267" t="s">
        <v>4290</v>
      </c>
      <c r="D1267" t="str">
        <f t="shared" si="157"/>
        <v/>
      </c>
      <c r="E1267" t="str">
        <f t="shared" si="158"/>
        <v/>
      </c>
      <c r="F1267" s="68" t="s">
        <v>4289</v>
      </c>
      <c r="G1267">
        <f>'IPTV CA'!A1258</f>
        <v>0</v>
      </c>
      <c r="H1267" t="str">
        <f>T('IPTV CA'!B1258)</f>
        <v/>
      </c>
      <c r="I1267" t="s">
        <v>4290</v>
      </c>
      <c r="J1267" t="str">
        <f t="shared" si="159"/>
        <v/>
      </c>
      <c r="K1267" t="str">
        <f t="shared" si="164"/>
        <v/>
      </c>
      <c r="L1267" s="69"/>
      <c r="M1267">
        <f>'TMIS US'!A1258</f>
        <v>0</v>
      </c>
      <c r="N1267" t="str">
        <f>T('TMIS US'!B1258)</f>
        <v/>
      </c>
      <c r="O1267" t="s">
        <v>4290</v>
      </c>
      <c r="P1267" t="str">
        <f t="shared" si="160"/>
        <v/>
      </c>
      <c r="Q1267" t="str">
        <f t="shared" si="161"/>
        <v/>
      </c>
      <c r="R1267" s="69"/>
      <c r="S1267">
        <f>'TMIS CA'!A1258</f>
        <v>0</v>
      </c>
      <c r="T1267" t="str">
        <f>T('TMIS CA'!B1258)</f>
        <v/>
      </c>
      <c r="U1267" t="s">
        <v>4290</v>
      </c>
      <c r="V1267" t="str">
        <f t="shared" si="163"/>
        <v/>
      </c>
      <c r="W1267" t="str">
        <f t="shared" si="162"/>
        <v/>
      </c>
    </row>
    <row r="1268" spans="1:23">
      <c r="A1268">
        <f>'IPTV US'!A1259</f>
        <v>0</v>
      </c>
      <c r="B1268" t="str">
        <f>T('IPTV US'!B1259)</f>
        <v/>
      </c>
      <c r="C1268" t="s">
        <v>4290</v>
      </c>
      <c r="D1268" t="str">
        <f t="shared" si="157"/>
        <v/>
      </c>
      <c r="E1268" t="str">
        <f t="shared" si="158"/>
        <v/>
      </c>
      <c r="F1268" s="68" t="s">
        <v>4289</v>
      </c>
      <c r="G1268">
        <f>'IPTV CA'!A1259</f>
        <v>0</v>
      </c>
      <c r="H1268" t="str">
        <f>T('IPTV CA'!B1259)</f>
        <v/>
      </c>
      <c r="I1268" t="s">
        <v>4290</v>
      </c>
      <c r="J1268" t="str">
        <f t="shared" si="159"/>
        <v/>
      </c>
      <c r="K1268" t="str">
        <f t="shared" si="164"/>
        <v/>
      </c>
      <c r="L1268" s="69"/>
      <c r="M1268">
        <f>'TMIS US'!A1259</f>
        <v>0</v>
      </c>
      <c r="N1268" t="str">
        <f>T('TMIS US'!B1259)</f>
        <v/>
      </c>
      <c r="O1268" t="s">
        <v>4290</v>
      </c>
      <c r="P1268" t="str">
        <f t="shared" si="160"/>
        <v/>
      </c>
      <c r="Q1268" t="str">
        <f t="shared" si="161"/>
        <v/>
      </c>
      <c r="R1268" s="69"/>
      <c r="S1268">
        <f>'TMIS CA'!A1259</f>
        <v>0</v>
      </c>
      <c r="T1268" t="str">
        <f>T('TMIS CA'!B1259)</f>
        <v/>
      </c>
      <c r="U1268" t="s">
        <v>4290</v>
      </c>
      <c r="V1268" t="str">
        <f t="shared" si="163"/>
        <v/>
      </c>
      <c r="W1268" t="str">
        <f t="shared" si="162"/>
        <v/>
      </c>
    </row>
    <row r="1269" spans="1:23">
      <c r="A1269">
        <f>'IPTV US'!A1260</f>
        <v>0</v>
      </c>
      <c r="B1269" t="str">
        <f>T('IPTV US'!B1260)</f>
        <v/>
      </c>
      <c r="C1269" t="s">
        <v>4290</v>
      </c>
      <c r="D1269" t="str">
        <f t="shared" si="157"/>
        <v/>
      </c>
      <c r="E1269" t="str">
        <f t="shared" si="158"/>
        <v/>
      </c>
      <c r="F1269" s="68" t="s">
        <v>4289</v>
      </c>
      <c r="G1269">
        <f>'IPTV CA'!A1260</f>
        <v>0</v>
      </c>
      <c r="H1269" t="str">
        <f>T('IPTV CA'!B1260)</f>
        <v/>
      </c>
      <c r="I1269" t="s">
        <v>4290</v>
      </c>
      <c r="J1269" t="str">
        <f t="shared" si="159"/>
        <v/>
      </c>
      <c r="K1269" t="str">
        <f t="shared" si="164"/>
        <v/>
      </c>
      <c r="L1269" s="69"/>
      <c r="M1269">
        <f>'TMIS US'!A1260</f>
        <v>0</v>
      </c>
      <c r="N1269" t="str">
        <f>T('TMIS US'!B1260)</f>
        <v/>
      </c>
      <c r="O1269" t="s">
        <v>4290</v>
      </c>
      <c r="P1269" t="str">
        <f t="shared" si="160"/>
        <v/>
      </c>
      <c r="Q1269" t="str">
        <f t="shared" si="161"/>
        <v/>
      </c>
      <c r="R1269" s="69"/>
      <c r="S1269">
        <f>'TMIS CA'!A1260</f>
        <v>0</v>
      </c>
      <c r="T1269" t="str">
        <f>T('TMIS CA'!B1260)</f>
        <v/>
      </c>
      <c r="U1269" t="s">
        <v>4290</v>
      </c>
      <c r="V1269" t="str">
        <f t="shared" si="163"/>
        <v/>
      </c>
      <c r="W1269" t="str">
        <f t="shared" si="162"/>
        <v/>
      </c>
    </row>
    <row r="1270" spans="1:23">
      <c r="A1270">
        <f>'IPTV US'!A1261</f>
        <v>0</v>
      </c>
      <c r="B1270" t="str">
        <f>T('IPTV US'!B1261)</f>
        <v/>
      </c>
      <c r="C1270" t="s">
        <v>4290</v>
      </c>
      <c r="D1270" t="str">
        <f t="shared" si="157"/>
        <v/>
      </c>
      <c r="E1270" t="str">
        <f t="shared" si="158"/>
        <v/>
      </c>
      <c r="F1270" s="68" t="s">
        <v>4289</v>
      </c>
      <c r="G1270">
        <f>'IPTV CA'!A1261</f>
        <v>0</v>
      </c>
      <c r="H1270" t="str">
        <f>T('IPTV CA'!B1261)</f>
        <v/>
      </c>
      <c r="I1270" t="s">
        <v>4290</v>
      </c>
      <c r="J1270" t="str">
        <f t="shared" si="159"/>
        <v/>
      </c>
      <c r="K1270" t="str">
        <f t="shared" si="164"/>
        <v/>
      </c>
      <c r="L1270" s="69"/>
      <c r="M1270">
        <f>'TMIS US'!A1261</f>
        <v>0</v>
      </c>
      <c r="N1270" t="str">
        <f>T('TMIS US'!B1261)</f>
        <v/>
      </c>
      <c r="O1270" t="s">
        <v>4290</v>
      </c>
      <c r="P1270" t="str">
        <f t="shared" si="160"/>
        <v/>
      </c>
      <c r="Q1270" t="str">
        <f t="shared" si="161"/>
        <v/>
      </c>
      <c r="R1270" s="69"/>
      <c r="S1270">
        <f>'TMIS CA'!A1261</f>
        <v>0</v>
      </c>
      <c r="T1270" t="str">
        <f>T('TMIS CA'!B1261)</f>
        <v/>
      </c>
      <c r="U1270" t="s">
        <v>4290</v>
      </c>
      <c r="V1270" t="str">
        <f t="shared" si="163"/>
        <v/>
      </c>
      <c r="W1270" t="str">
        <f t="shared" si="162"/>
        <v/>
      </c>
    </row>
    <row r="1271" spans="1:23">
      <c r="A1271">
        <f>'IPTV US'!A1262</f>
        <v>0</v>
      </c>
      <c r="B1271" t="str">
        <f>T('IPTV US'!B1262)</f>
        <v/>
      </c>
      <c r="C1271" t="s">
        <v>4290</v>
      </c>
      <c r="D1271" t="str">
        <f t="shared" si="157"/>
        <v/>
      </c>
      <c r="E1271" t="str">
        <f t="shared" si="158"/>
        <v/>
      </c>
      <c r="F1271" s="68" t="s">
        <v>4289</v>
      </c>
      <c r="G1271">
        <f>'IPTV CA'!A1262</f>
        <v>0</v>
      </c>
      <c r="H1271" t="str">
        <f>T('IPTV CA'!B1262)</f>
        <v/>
      </c>
      <c r="I1271" t="s">
        <v>4290</v>
      </c>
      <c r="J1271" t="str">
        <f t="shared" si="159"/>
        <v/>
      </c>
      <c r="K1271" t="str">
        <f t="shared" si="164"/>
        <v/>
      </c>
      <c r="L1271" s="69"/>
      <c r="M1271">
        <f>'TMIS US'!A1262</f>
        <v>0</v>
      </c>
      <c r="N1271" t="str">
        <f>T('TMIS US'!B1262)</f>
        <v/>
      </c>
      <c r="O1271" t="s">
        <v>4290</v>
      </c>
      <c r="P1271" t="str">
        <f t="shared" si="160"/>
        <v/>
      </c>
      <c r="Q1271" t="str">
        <f t="shared" si="161"/>
        <v/>
      </c>
      <c r="R1271" s="69"/>
      <c r="S1271">
        <f>'TMIS CA'!A1262</f>
        <v>0</v>
      </c>
      <c r="T1271" t="str">
        <f>T('TMIS CA'!B1262)</f>
        <v/>
      </c>
      <c r="U1271" t="s">
        <v>4290</v>
      </c>
      <c r="V1271" t="str">
        <f t="shared" si="163"/>
        <v/>
      </c>
      <c r="W1271" t="str">
        <f t="shared" si="162"/>
        <v/>
      </c>
    </row>
    <row r="1272" spans="1:23">
      <c r="A1272">
        <f>'IPTV US'!A1263</f>
        <v>0</v>
      </c>
      <c r="B1272" t="str">
        <f>T('IPTV US'!B1263)</f>
        <v/>
      </c>
      <c r="C1272" t="s">
        <v>4290</v>
      </c>
      <c r="D1272" t="str">
        <f t="shared" si="157"/>
        <v/>
      </c>
      <c r="E1272" t="str">
        <f t="shared" si="158"/>
        <v/>
      </c>
      <c r="F1272" s="68" t="s">
        <v>4289</v>
      </c>
      <c r="G1272">
        <f>'IPTV CA'!A1263</f>
        <v>0</v>
      </c>
      <c r="H1272" t="str">
        <f>T('IPTV CA'!B1263)</f>
        <v/>
      </c>
      <c r="I1272" t="s">
        <v>4290</v>
      </c>
      <c r="J1272" t="str">
        <f t="shared" si="159"/>
        <v/>
      </c>
      <c r="K1272" t="str">
        <f t="shared" si="164"/>
        <v/>
      </c>
      <c r="L1272" s="69"/>
      <c r="M1272">
        <f>'TMIS US'!A1263</f>
        <v>0</v>
      </c>
      <c r="N1272" t="str">
        <f>T('TMIS US'!B1263)</f>
        <v/>
      </c>
      <c r="O1272" t="s">
        <v>4290</v>
      </c>
      <c r="P1272" t="str">
        <f t="shared" si="160"/>
        <v/>
      </c>
      <c r="Q1272" t="str">
        <f t="shared" si="161"/>
        <v/>
      </c>
      <c r="R1272" s="69"/>
      <c r="S1272">
        <f>'TMIS CA'!A1263</f>
        <v>0</v>
      </c>
      <c r="T1272" t="str">
        <f>T('TMIS CA'!B1263)</f>
        <v/>
      </c>
      <c r="U1272" t="s">
        <v>4290</v>
      </c>
      <c r="V1272" t="str">
        <f t="shared" si="163"/>
        <v/>
      </c>
      <c r="W1272" t="str">
        <f t="shared" si="162"/>
        <v/>
      </c>
    </row>
    <row r="1273" spans="1:23">
      <c r="A1273">
        <f>'IPTV US'!A1264</f>
        <v>0</v>
      </c>
      <c r="B1273" t="str">
        <f>T('IPTV US'!B1264)</f>
        <v/>
      </c>
      <c r="C1273" t="s">
        <v>4290</v>
      </c>
      <c r="D1273" t="str">
        <f t="shared" si="157"/>
        <v/>
      </c>
      <c r="E1273" t="str">
        <f t="shared" si="158"/>
        <v/>
      </c>
      <c r="F1273" s="68" t="s">
        <v>4289</v>
      </c>
      <c r="G1273">
        <f>'IPTV CA'!A1264</f>
        <v>0</v>
      </c>
      <c r="H1273" t="str">
        <f>T('IPTV CA'!B1264)</f>
        <v/>
      </c>
      <c r="I1273" t="s">
        <v>4290</v>
      </c>
      <c r="J1273" t="str">
        <f t="shared" si="159"/>
        <v/>
      </c>
      <c r="K1273" t="str">
        <f t="shared" si="164"/>
        <v/>
      </c>
      <c r="L1273" s="69"/>
      <c r="M1273">
        <f>'TMIS US'!A1264</f>
        <v>0</v>
      </c>
      <c r="N1273" t="str">
        <f>T('TMIS US'!B1264)</f>
        <v/>
      </c>
      <c r="O1273" t="s">
        <v>4290</v>
      </c>
      <c r="P1273" t="str">
        <f t="shared" si="160"/>
        <v/>
      </c>
      <c r="Q1273" t="str">
        <f t="shared" si="161"/>
        <v/>
      </c>
      <c r="R1273" s="69"/>
      <c r="S1273">
        <f>'TMIS CA'!A1264</f>
        <v>0</v>
      </c>
      <c r="T1273" t="str">
        <f>T('TMIS CA'!B1264)</f>
        <v/>
      </c>
      <c r="U1273" t="s">
        <v>4290</v>
      </c>
      <c r="V1273" t="str">
        <f t="shared" si="163"/>
        <v/>
      </c>
      <c r="W1273" t="str">
        <f t="shared" si="162"/>
        <v/>
      </c>
    </row>
    <row r="1274" spans="1:23">
      <c r="A1274">
        <f>'IPTV US'!A1265</f>
        <v>0</v>
      </c>
      <c r="B1274" t="str">
        <f>T('IPTV US'!B1265)</f>
        <v/>
      </c>
      <c r="C1274" t="s">
        <v>4290</v>
      </c>
      <c r="D1274" t="str">
        <f t="shared" si="157"/>
        <v/>
      </c>
      <c r="E1274" t="str">
        <f t="shared" si="158"/>
        <v/>
      </c>
      <c r="F1274" s="68" t="s">
        <v>4289</v>
      </c>
      <c r="G1274">
        <f>'IPTV CA'!A1265</f>
        <v>0</v>
      </c>
      <c r="H1274" t="str">
        <f>T('IPTV CA'!B1265)</f>
        <v/>
      </c>
      <c r="I1274" t="s">
        <v>4290</v>
      </c>
      <c r="J1274" t="str">
        <f t="shared" si="159"/>
        <v/>
      </c>
      <c r="K1274" t="str">
        <f t="shared" si="164"/>
        <v/>
      </c>
      <c r="L1274" s="69"/>
      <c r="M1274">
        <f>'TMIS US'!A1265</f>
        <v>0</v>
      </c>
      <c r="N1274" t="str">
        <f>T('TMIS US'!B1265)</f>
        <v/>
      </c>
      <c r="O1274" t="s">
        <v>4290</v>
      </c>
      <c r="P1274" t="str">
        <f t="shared" si="160"/>
        <v/>
      </c>
      <c r="Q1274" t="str">
        <f t="shared" si="161"/>
        <v/>
      </c>
      <c r="R1274" s="69"/>
      <c r="S1274">
        <f>'TMIS CA'!A1265</f>
        <v>0</v>
      </c>
      <c r="T1274" t="str">
        <f>T('TMIS CA'!B1265)</f>
        <v/>
      </c>
      <c r="U1274" t="s">
        <v>4290</v>
      </c>
      <c r="V1274" t="str">
        <f t="shared" si="163"/>
        <v/>
      </c>
      <c r="W1274" t="str">
        <f t="shared" si="162"/>
        <v/>
      </c>
    </row>
    <row r="1275" spans="1:23">
      <c r="A1275">
        <f>'IPTV US'!A1266</f>
        <v>0</v>
      </c>
      <c r="B1275" t="str">
        <f>T('IPTV US'!B1266)</f>
        <v/>
      </c>
      <c r="C1275" t="s">
        <v>4290</v>
      </c>
      <c r="D1275" t="str">
        <f t="shared" si="157"/>
        <v/>
      </c>
      <c r="E1275" t="str">
        <f t="shared" si="158"/>
        <v/>
      </c>
      <c r="F1275" s="68" t="s">
        <v>4289</v>
      </c>
      <c r="G1275">
        <f>'IPTV CA'!A1266</f>
        <v>0</v>
      </c>
      <c r="H1275" t="str">
        <f>T('IPTV CA'!B1266)</f>
        <v/>
      </c>
      <c r="I1275" t="s">
        <v>4290</v>
      </c>
      <c r="J1275" t="str">
        <f t="shared" si="159"/>
        <v/>
      </c>
      <c r="K1275" t="str">
        <f t="shared" si="164"/>
        <v/>
      </c>
      <c r="L1275" s="69"/>
      <c r="M1275">
        <f>'TMIS US'!A1266</f>
        <v>0</v>
      </c>
      <c r="N1275" t="str">
        <f>T('TMIS US'!B1266)</f>
        <v/>
      </c>
      <c r="O1275" t="s">
        <v>4290</v>
      </c>
      <c r="P1275" t="str">
        <f t="shared" si="160"/>
        <v/>
      </c>
      <c r="Q1275" t="str">
        <f t="shared" si="161"/>
        <v/>
      </c>
      <c r="R1275" s="69"/>
      <c r="S1275">
        <f>'TMIS CA'!A1266</f>
        <v>0</v>
      </c>
      <c r="T1275" t="str">
        <f>T('TMIS CA'!B1266)</f>
        <v/>
      </c>
      <c r="U1275" t="s">
        <v>4290</v>
      </c>
      <c r="V1275" t="str">
        <f t="shared" si="163"/>
        <v/>
      </c>
      <c r="W1275" t="str">
        <f t="shared" si="162"/>
        <v/>
      </c>
    </row>
    <row r="1276" spans="1:23">
      <c r="A1276">
        <f>'IPTV US'!A1267</f>
        <v>0</v>
      </c>
      <c r="B1276" t="str">
        <f>T('IPTV US'!B1267)</f>
        <v/>
      </c>
      <c r="C1276" t="s">
        <v>4290</v>
      </c>
      <c r="D1276" t="str">
        <f t="shared" si="157"/>
        <v/>
      </c>
      <c r="E1276" t="str">
        <f t="shared" si="158"/>
        <v/>
      </c>
      <c r="F1276" s="68" t="s">
        <v>4289</v>
      </c>
      <c r="G1276">
        <f>'IPTV CA'!A1267</f>
        <v>0</v>
      </c>
      <c r="H1276" t="str">
        <f>T('IPTV CA'!B1267)</f>
        <v/>
      </c>
      <c r="I1276" t="s">
        <v>4290</v>
      </c>
      <c r="J1276" t="str">
        <f t="shared" si="159"/>
        <v/>
      </c>
      <c r="K1276" t="str">
        <f t="shared" si="164"/>
        <v/>
      </c>
      <c r="L1276" s="69"/>
      <c r="M1276">
        <f>'TMIS US'!A1267</f>
        <v>0</v>
      </c>
      <c r="N1276" t="str">
        <f>T('TMIS US'!B1267)</f>
        <v/>
      </c>
      <c r="O1276" t="s">
        <v>4290</v>
      </c>
      <c r="P1276" t="str">
        <f t="shared" si="160"/>
        <v/>
      </c>
      <c r="Q1276" t="str">
        <f t="shared" si="161"/>
        <v/>
      </c>
      <c r="R1276" s="69"/>
      <c r="S1276">
        <f>'TMIS CA'!A1267</f>
        <v>0</v>
      </c>
      <c r="T1276" t="str">
        <f>T('TMIS CA'!B1267)</f>
        <v/>
      </c>
      <c r="U1276" t="s">
        <v>4290</v>
      </c>
      <c r="V1276" t="str">
        <f t="shared" si="163"/>
        <v/>
      </c>
      <c r="W1276" t="str">
        <f t="shared" si="162"/>
        <v/>
      </c>
    </row>
    <row r="1277" spans="1:23">
      <c r="A1277">
        <f>'IPTV US'!A1268</f>
        <v>0</v>
      </c>
      <c r="B1277" t="str">
        <f>T('IPTV US'!B1268)</f>
        <v/>
      </c>
      <c r="C1277" t="s">
        <v>4290</v>
      </c>
      <c r="D1277" t="str">
        <f t="shared" si="157"/>
        <v/>
      </c>
      <c r="E1277" t="str">
        <f t="shared" si="158"/>
        <v/>
      </c>
      <c r="F1277" s="68" t="s">
        <v>4289</v>
      </c>
      <c r="G1277">
        <f>'IPTV CA'!A1268</f>
        <v>0</v>
      </c>
      <c r="H1277" t="str">
        <f>T('IPTV CA'!B1268)</f>
        <v/>
      </c>
      <c r="I1277" t="s">
        <v>4290</v>
      </c>
      <c r="J1277" t="str">
        <f t="shared" si="159"/>
        <v/>
      </c>
      <c r="K1277" t="str">
        <f t="shared" si="164"/>
        <v/>
      </c>
      <c r="L1277" s="69"/>
      <c r="M1277">
        <f>'TMIS US'!A1268</f>
        <v>0</v>
      </c>
      <c r="N1277" t="str">
        <f>T('TMIS US'!B1268)</f>
        <v/>
      </c>
      <c r="O1277" t="s">
        <v>4290</v>
      </c>
      <c r="P1277" t="str">
        <f t="shared" si="160"/>
        <v/>
      </c>
      <c r="Q1277" t="str">
        <f t="shared" si="161"/>
        <v/>
      </c>
      <c r="R1277" s="69"/>
      <c r="S1277">
        <f>'TMIS CA'!A1268</f>
        <v>0</v>
      </c>
      <c r="T1277" t="str">
        <f>T('TMIS CA'!B1268)</f>
        <v/>
      </c>
      <c r="U1277" t="s">
        <v>4290</v>
      </c>
      <c r="V1277" t="str">
        <f t="shared" si="163"/>
        <v/>
      </c>
      <c r="W1277" t="str">
        <f t="shared" si="162"/>
        <v/>
      </c>
    </row>
    <row r="1278" spans="1:23">
      <c r="A1278">
        <f>'IPTV US'!A1269</f>
        <v>0</v>
      </c>
      <c r="B1278" t="str">
        <f>T('IPTV US'!B1269)</f>
        <v/>
      </c>
      <c r="C1278" t="s">
        <v>4290</v>
      </c>
      <c r="D1278" t="str">
        <f t="shared" si="157"/>
        <v/>
      </c>
      <c r="E1278" t="str">
        <f t="shared" si="158"/>
        <v/>
      </c>
      <c r="F1278" s="68" t="s">
        <v>4289</v>
      </c>
      <c r="G1278">
        <f>'IPTV CA'!A1269</f>
        <v>0</v>
      </c>
      <c r="H1278" t="str">
        <f>T('IPTV CA'!B1269)</f>
        <v/>
      </c>
      <c r="I1278" t="s">
        <v>4290</v>
      </c>
      <c r="J1278" t="str">
        <f t="shared" si="159"/>
        <v/>
      </c>
      <c r="K1278" t="str">
        <f t="shared" si="164"/>
        <v/>
      </c>
      <c r="L1278" s="69"/>
      <c r="M1278">
        <f>'TMIS US'!A1269</f>
        <v>0</v>
      </c>
      <c r="N1278" t="str">
        <f>T('TMIS US'!B1269)</f>
        <v/>
      </c>
      <c r="O1278" t="s">
        <v>4290</v>
      </c>
      <c r="P1278" t="str">
        <f t="shared" si="160"/>
        <v/>
      </c>
      <c r="Q1278" t="str">
        <f t="shared" si="161"/>
        <v/>
      </c>
      <c r="R1278" s="69"/>
      <c r="S1278">
        <f>'TMIS CA'!A1269</f>
        <v>0</v>
      </c>
      <c r="T1278" t="str">
        <f>T('TMIS CA'!B1269)</f>
        <v/>
      </c>
      <c r="U1278" t="s">
        <v>4290</v>
      </c>
      <c r="V1278" t="str">
        <f t="shared" si="163"/>
        <v/>
      </c>
      <c r="W1278" t="str">
        <f t="shared" si="162"/>
        <v/>
      </c>
    </row>
    <row r="1279" spans="1:23">
      <c r="A1279">
        <f>'IPTV US'!A1270</f>
        <v>0</v>
      </c>
      <c r="B1279" t="str">
        <f>T('IPTV US'!B1270)</f>
        <v/>
      </c>
      <c r="C1279" t="s">
        <v>4290</v>
      </c>
      <c r="D1279" t="str">
        <f t="shared" si="157"/>
        <v/>
      </c>
      <c r="E1279" t="str">
        <f t="shared" si="158"/>
        <v/>
      </c>
      <c r="F1279" s="68" t="s">
        <v>4289</v>
      </c>
      <c r="G1279">
        <f>'IPTV CA'!A1270</f>
        <v>0</v>
      </c>
      <c r="H1279" t="str">
        <f>T('IPTV CA'!B1270)</f>
        <v/>
      </c>
      <c r="I1279" t="s">
        <v>4290</v>
      </c>
      <c r="J1279" t="str">
        <f t="shared" si="159"/>
        <v/>
      </c>
      <c r="K1279" t="str">
        <f t="shared" si="164"/>
        <v/>
      </c>
      <c r="L1279" s="69"/>
      <c r="M1279">
        <f>'TMIS US'!A1270</f>
        <v>0</v>
      </c>
      <c r="N1279" t="str">
        <f>T('TMIS US'!B1270)</f>
        <v/>
      </c>
      <c r="O1279" t="s">
        <v>4290</v>
      </c>
      <c r="P1279" t="str">
        <f t="shared" si="160"/>
        <v/>
      </c>
      <c r="Q1279" t="str">
        <f t="shared" si="161"/>
        <v/>
      </c>
      <c r="R1279" s="69"/>
      <c r="S1279">
        <f>'TMIS CA'!A1270</f>
        <v>0</v>
      </c>
      <c r="T1279" t="str">
        <f>T('TMIS CA'!B1270)</f>
        <v/>
      </c>
      <c r="U1279" t="s">
        <v>4290</v>
      </c>
      <c r="V1279" t="str">
        <f t="shared" si="163"/>
        <v/>
      </c>
      <c r="W1279" t="str">
        <f t="shared" si="162"/>
        <v/>
      </c>
    </row>
    <row r="1280" spans="1:23">
      <c r="A1280">
        <f>'IPTV US'!A1271</f>
        <v>0</v>
      </c>
      <c r="B1280" t="str">
        <f>T('IPTV US'!B1271)</f>
        <v/>
      </c>
      <c r="C1280" t="s">
        <v>4290</v>
      </c>
      <c r="D1280" t="str">
        <f t="shared" si="157"/>
        <v/>
      </c>
      <c r="E1280" t="str">
        <f t="shared" si="158"/>
        <v/>
      </c>
      <c r="F1280" s="68" t="s">
        <v>4289</v>
      </c>
      <c r="G1280">
        <f>'IPTV CA'!A1271</f>
        <v>0</v>
      </c>
      <c r="H1280" t="str">
        <f>T('IPTV CA'!B1271)</f>
        <v/>
      </c>
      <c r="I1280" t="s">
        <v>4290</v>
      </c>
      <c r="J1280" t="str">
        <f t="shared" si="159"/>
        <v/>
      </c>
      <c r="K1280" t="str">
        <f t="shared" si="164"/>
        <v/>
      </c>
      <c r="L1280" s="69"/>
      <c r="M1280">
        <f>'TMIS US'!A1271</f>
        <v>0</v>
      </c>
      <c r="N1280" t="str">
        <f>T('TMIS US'!B1271)</f>
        <v/>
      </c>
      <c r="O1280" t="s">
        <v>4290</v>
      </c>
      <c r="P1280" t="str">
        <f t="shared" si="160"/>
        <v/>
      </c>
      <c r="Q1280" t="str">
        <f t="shared" si="161"/>
        <v/>
      </c>
      <c r="R1280" s="69"/>
      <c r="S1280">
        <f>'TMIS CA'!A1271</f>
        <v>0</v>
      </c>
      <c r="T1280" t="str">
        <f>T('TMIS CA'!B1271)</f>
        <v/>
      </c>
      <c r="U1280" t="s">
        <v>4290</v>
      </c>
      <c r="V1280" t="str">
        <f t="shared" si="163"/>
        <v/>
      </c>
      <c r="W1280" t="str">
        <f t="shared" si="162"/>
        <v/>
      </c>
    </row>
    <row r="1281" spans="1:23">
      <c r="A1281">
        <f>'IPTV US'!A1272</f>
        <v>0</v>
      </c>
      <c r="B1281" t="str">
        <f>T('IPTV US'!B1272)</f>
        <v/>
      </c>
      <c r="C1281" t="s">
        <v>4290</v>
      </c>
      <c r="D1281" t="str">
        <f t="shared" si="157"/>
        <v/>
      </c>
      <c r="E1281" t="str">
        <f t="shared" si="158"/>
        <v/>
      </c>
      <c r="F1281" s="68" t="s">
        <v>4289</v>
      </c>
      <c r="G1281">
        <f>'IPTV CA'!A1272</f>
        <v>0</v>
      </c>
      <c r="H1281" t="str">
        <f>T('IPTV CA'!B1272)</f>
        <v/>
      </c>
      <c r="I1281" t="s">
        <v>4290</v>
      </c>
      <c r="J1281" t="str">
        <f t="shared" si="159"/>
        <v/>
      </c>
      <c r="K1281" t="str">
        <f t="shared" si="164"/>
        <v/>
      </c>
      <c r="L1281" s="69"/>
      <c r="M1281">
        <f>'TMIS US'!A1272</f>
        <v>0</v>
      </c>
      <c r="N1281" t="str">
        <f>T('TMIS US'!B1272)</f>
        <v/>
      </c>
      <c r="O1281" t="s">
        <v>4290</v>
      </c>
      <c r="P1281" t="str">
        <f t="shared" si="160"/>
        <v/>
      </c>
      <c r="Q1281" t="str">
        <f t="shared" si="161"/>
        <v/>
      </c>
      <c r="R1281" s="69"/>
      <c r="S1281">
        <f>'TMIS CA'!A1272</f>
        <v>0</v>
      </c>
      <c r="T1281" t="str">
        <f>T('TMIS CA'!B1272)</f>
        <v/>
      </c>
      <c r="U1281" t="s">
        <v>4290</v>
      </c>
      <c r="V1281" t="str">
        <f t="shared" si="163"/>
        <v/>
      </c>
      <c r="W1281" t="str">
        <f t="shared" si="162"/>
        <v/>
      </c>
    </row>
    <row r="1282" spans="1:23">
      <c r="A1282">
        <f>'IPTV US'!A1273</f>
        <v>0</v>
      </c>
      <c r="B1282" t="str">
        <f>T('IPTV US'!B1273)</f>
        <v/>
      </c>
      <c r="C1282" t="s">
        <v>4290</v>
      </c>
      <c r="D1282" t="str">
        <f t="shared" si="157"/>
        <v/>
      </c>
      <c r="E1282" t="str">
        <f t="shared" si="158"/>
        <v/>
      </c>
      <c r="F1282" s="68" t="s">
        <v>4289</v>
      </c>
      <c r="G1282">
        <f>'IPTV CA'!A1273</f>
        <v>0</v>
      </c>
      <c r="H1282" t="str">
        <f>T('IPTV CA'!B1273)</f>
        <v/>
      </c>
      <c r="I1282" t="s">
        <v>4290</v>
      </c>
      <c r="J1282" t="str">
        <f t="shared" si="159"/>
        <v/>
      </c>
      <c r="K1282" t="str">
        <f t="shared" si="164"/>
        <v/>
      </c>
      <c r="L1282" s="69"/>
      <c r="M1282">
        <f>'TMIS US'!A1273</f>
        <v>0</v>
      </c>
      <c r="N1282" t="str">
        <f>T('TMIS US'!B1273)</f>
        <v/>
      </c>
      <c r="O1282" t="s">
        <v>4290</v>
      </c>
      <c r="P1282" t="str">
        <f t="shared" si="160"/>
        <v/>
      </c>
      <c r="Q1282" t="str">
        <f t="shared" si="161"/>
        <v/>
      </c>
      <c r="R1282" s="69"/>
      <c r="S1282">
        <f>'TMIS CA'!A1273</f>
        <v>0</v>
      </c>
      <c r="T1282" t="str">
        <f>T('TMIS CA'!B1273)</f>
        <v/>
      </c>
      <c r="U1282" t="s">
        <v>4290</v>
      </c>
      <c r="V1282" t="str">
        <f t="shared" si="163"/>
        <v/>
      </c>
      <c r="W1282" t="str">
        <f t="shared" si="162"/>
        <v/>
      </c>
    </row>
    <row r="1283" spans="1:23">
      <c r="A1283">
        <f>'IPTV US'!A1274</f>
        <v>0</v>
      </c>
      <c r="B1283" t="str">
        <f>T('IPTV US'!B1274)</f>
        <v/>
      </c>
      <c r="C1283" t="s">
        <v>4290</v>
      </c>
      <c r="D1283" t="str">
        <f t="shared" si="157"/>
        <v/>
      </c>
      <c r="E1283" t="str">
        <f t="shared" si="158"/>
        <v/>
      </c>
      <c r="F1283" s="68" t="s">
        <v>4289</v>
      </c>
      <c r="G1283">
        <f>'IPTV CA'!A1274</f>
        <v>0</v>
      </c>
      <c r="H1283" t="str">
        <f>T('IPTV CA'!B1274)</f>
        <v/>
      </c>
      <c r="I1283" t="s">
        <v>4290</v>
      </c>
      <c r="J1283" t="str">
        <f t="shared" si="159"/>
        <v/>
      </c>
      <c r="K1283" t="str">
        <f t="shared" si="164"/>
        <v/>
      </c>
      <c r="L1283" s="69"/>
      <c r="M1283">
        <f>'TMIS US'!A1274</f>
        <v>0</v>
      </c>
      <c r="N1283" t="str">
        <f>T('TMIS US'!B1274)</f>
        <v/>
      </c>
      <c r="O1283" t="s">
        <v>4290</v>
      </c>
      <c r="P1283" t="str">
        <f t="shared" si="160"/>
        <v/>
      </c>
      <c r="Q1283" t="str">
        <f t="shared" si="161"/>
        <v/>
      </c>
      <c r="R1283" s="69"/>
      <c r="S1283">
        <f>'TMIS CA'!A1274</f>
        <v>0</v>
      </c>
      <c r="T1283" t="str">
        <f>T('TMIS CA'!B1274)</f>
        <v/>
      </c>
      <c r="U1283" t="s">
        <v>4290</v>
      </c>
      <c r="V1283" t="str">
        <f t="shared" si="163"/>
        <v/>
      </c>
      <c r="W1283" t="str">
        <f t="shared" si="162"/>
        <v/>
      </c>
    </row>
    <row r="1284" spans="1:23">
      <c r="A1284">
        <f>'IPTV US'!A1275</f>
        <v>0</v>
      </c>
      <c r="B1284" t="str">
        <f>T('IPTV US'!B1275)</f>
        <v/>
      </c>
      <c r="C1284" t="s">
        <v>4290</v>
      </c>
      <c r="D1284" t="str">
        <f t="shared" si="157"/>
        <v/>
      </c>
      <c r="E1284" t="str">
        <f t="shared" si="158"/>
        <v/>
      </c>
      <c r="F1284" s="68" t="s">
        <v>4289</v>
      </c>
      <c r="G1284">
        <f>'IPTV CA'!A1275</f>
        <v>0</v>
      </c>
      <c r="H1284" t="str">
        <f>T('IPTV CA'!B1275)</f>
        <v/>
      </c>
      <c r="I1284" t="s">
        <v>4290</v>
      </c>
      <c r="J1284" t="str">
        <f t="shared" si="159"/>
        <v/>
      </c>
      <c r="K1284" t="str">
        <f t="shared" si="164"/>
        <v/>
      </c>
      <c r="L1284" s="69"/>
      <c r="M1284">
        <f>'TMIS US'!A1275</f>
        <v>0</v>
      </c>
      <c r="N1284" t="str">
        <f>T('TMIS US'!B1275)</f>
        <v/>
      </c>
      <c r="O1284" t="s">
        <v>4290</v>
      </c>
      <c r="P1284" t="str">
        <f t="shared" si="160"/>
        <v/>
      </c>
      <c r="Q1284" t="str">
        <f t="shared" si="161"/>
        <v/>
      </c>
      <c r="R1284" s="69"/>
      <c r="S1284">
        <f>'TMIS CA'!A1275</f>
        <v>0</v>
      </c>
      <c r="T1284" t="str">
        <f>T('TMIS CA'!B1275)</f>
        <v/>
      </c>
      <c r="U1284" t="s">
        <v>4290</v>
      </c>
      <c r="V1284" t="str">
        <f t="shared" si="163"/>
        <v/>
      </c>
      <c r="W1284" t="str">
        <f t="shared" si="162"/>
        <v/>
      </c>
    </row>
    <row r="1285" spans="1:23">
      <c r="A1285">
        <f>'IPTV US'!A1276</f>
        <v>0</v>
      </c>
      <c r="B1285" t="str">
        <f>T('IPTV US'!B1276)</f>
        <v/>
      </c>
      <c r="C1285" t="s">
        <v>4290</v>
      </c>
      <c r="D1285" t="str">
        <f t="shared" si="157"/>
        <v/>
      </c>
      <c r="E1285" t="str">
        <f t="shared" si="158"/>
        <v/>
      </c>
      <c r="F1285" s="68" t="s">
        <v>4289</v>
      </c>
      <c r="G1285">
        <f>'IPTV CA'!A1276</f>
        <v>0</v>
      </c>
      <c r="H1285" t="str">
        <f>T('IPTV CA'!B1276)</f>
        <v/>
      </c>
      <c r="I1285" t="s">
        <v>4290</v>
      </c>
      <c r="J1285" t="str">
        <f t="shared" si="159"/>
        <v/>
      </c>
      <c r="K1285" t="str">
        <f t="shared" si="164"/>
        <v/>
      </c>
      <c r="L1285" s="69"/>
      <c r="M1285">
        <f>'TMIS US'!A1276</f>
        <v>0</v>
      </c>
      <c r="N1285" t="str">
        <f>T('TMIS US'!B1276)</f>
        <v/>
      </c>
      <c r="O1285" t="s">
        <v>4290</v>
      </c>
      <c r="P1285" t="str">
        <f t="shared" si="160"/>
        <v/>
      </c>
      <c r="Q1285" t="str">
        <f t="shared" si="161"/>
        <v/>
      </c>
      <c r="R1285" s="69"/>
      <c r="S1285">
        <f>'TMIS CA'!A1276</f>
        <v>0</v>
      </c>
      <c r="T1285" t="str">
        <f>T('TMIS CA'!B1276)</f>
        <v/>
      </c>
      <c r="U1285" t="s">
        <v>4290</v>
      </c>
      <c r="V1285" t="str">
        <f t="shared" si="163"/>
        <v/>
      </c>
      <c r="W1285" t="str">
        <f t="shared" si="162"/>
        <v/>
      </c>
    </row>
    <row r="1286" spans="1:23">
      <c r="A1286">
        <f>'IPTV US'!A1277</f>
        <v>0</v>
      </c>
      <c r="B1286" t="str">
        <f>T('IPTV US'!B1277)</f>
        <v/>
      </c>
      <c r="C1286" t="s">
        <v>4290</v>
      </c>
      <c r="D1286" t="str">
        <f t="shared" si="157"/>
        <v/>
      </c>
      <c r="E1286" t="str">
        <f t="shared" si="158"/>
        <v/>
      </c>
      <c r="F1286" s="68" t="s">
        <v>4289</v>
      </c>
      <c r="G1286">
        <f>'IPTV CA'!A1277</f>
        <v>0</v>
      </c>
      <c r="H1286" t="str">
        <f>T('IPTV CA'!B1277)</f>
        <v/>
      </c>
      <c r="I1286" t="s">
        <v>4290</v>
      </c>
      <c r="J1286" t="str">
        <f t="shared" si="159"/>
        <v/>
      </c>
      <c r="K1286" t="str">
        <f t="shared" si="164"/>
        <v/>
      </c>
      <c r="L1286" s="69"/>
      <c r="M1286">
        <f>'TMIS US'!A1277</f>
        <v>0</v>
      </c>
      <c r="N1286" t="str">
        <f>T('TMIS US'!B1277)</f>
        <v/>
      </c>
      <c r="O1286" t="s">
        <v>4290</v>
      </c>
      <c r="P1286" t="str">
        <f t="shared" si="160"/>
        <v/>
      </c>
      <c r="Q1286" t="str">
        <f t="shared" si="161"/>
        <v/>
      </c>
      <c r="R1286" s="69"/>
      <c r="S1286">
        <f>'TMIS CA'!A1277</f>
        <v>0</v>
      </c>
      <c r="T1286" t="str">
        <f>T('TMIS CA'!B1277)</f>
        <v/>
      </c>
      <c r="U1286" t="s">
        <v>4290</v>
      </c>
      <c r="V1286" t="str">
        <f t="shared" si="163"/>
        <v/>
      </c>
      <c r="W1286" t="str">
        <f t="shared" si="162"/>
        <v/>
      </c>
    </row>
    <row r="1287" spans="1:23">
      <c r="A1287">
        <f>'IPTV US'!A1278</f>
        <v>0</v>
      </c>
      <c r="B1287" t="str">
        <f>T('IPTV US'!B1278)</f>
        <v/>
      </c>
      <c r="C1287" t="s">
        <v>4290</v>
      </c>
      <c r="D1287" t="str">
        <f t="shared" si="157"/>
        <v/>
      </c>
      <c r="E1287" t="str">
        <f t="shared" si="158"/>
        <v/>
      </c>
      <c r="F1287" s="68" t="s">
        <v>4289</v>
      </c>
      <c r="G1287">
        <f>'IPTV CA'!A1278</f>
        <v>0</v>
      </c>
      <c r="H1287" t="str">
        <f>T('IPTV CA'!B1278)</f>
        <v/>
      </c>
      <c r="I1287" t="s">
        <v>4290</v>
      </c>
      <c r="J1287" t="str">
        <f t="shared" si="159"/>
        <v/>
      </c>
      <c r="K1287" t="str">
        <f t="shared" si="164"/>
        <v/>
      </c>
      <c r="L1287" s="69"/>
      <c r="M1287">
        <f>'TMIS US'!A1278</f>
        <v>0</v>
      </c>
      <c r="N1287" t="str">
        <f>T('TMIS US'!B1278)</f>
        <v/>
      </c>
      <c r="O1287" t="s">
        <v>4290</v>
      </c>
      <c r="P1287" t="str">
        <f t="shared" si="160"/>
        <v/>
      </c>
      <c r="Q1287" t="str">
        <f t="shared" si="161"/>
        <v/>
      </c>
      <c r="R1287" s="69"/>
      <c r="S1287">
        <f>'TMIS CA'!A1278</f>
        <v>0</v>
      </c>
      <c r="T1287" t="str">
        <f>T('TMIS CA'!B1278)</f>
        <v/>
      </c>
      <c r="U1287" t="s">
        <v>4290</v>
      </c>
      <c r="V1287" t="str">
        <f t="shared" si="163"/>
        <v/>
      </c>
      <c r="W1287" t="str">
        <f t="shared" si="162"/>
        <v/>
      </c>
    </row>
    <row r="1288" spans="1:23">
      <c r="A1288">
        <f>'IPTV US'!A1279</f>
        <v>0</v>
      </c>
      <c r="B1288" t="str">
        <f>T('IPTV US'!B1279)</f>
        <v/>
      </c>
      <c r="C1288" t="s">
        <v>4290</v>
      </c>
      <c r="D1288" t="str">
        <f t="shared" si="157"/>
        <v/>
      </c>
      <c r="E1288" t="str">
        <f t="shared" si="158"/>
        <v/>
      </c>
      <c r="F1288" s="68" t="s">
        <v>4289</v>
      </c>
      <c r="G1288">
        <f>'IPTV CA'!A1279</f>
        <v>0</v>
      </c>
      <c r="H1288" t="str">
        <f>T('IPTV CA'!B1279)</f>
        <v/>
      </c>
      <c r="I1288" t="s">
        <v>4290</v>
      </c>
      <c r="J1288" t="str">
        <f t="shared" si="159"/>
        <v/>
      </c>
      <c r="K1288" t="str">
        <f t="shared" si="164"/>
        <v/>
      </c>
      <c r="L1288" s="69"/>
      <c r="M1288">
        <f>'TMIS US'!A1279</f>
        <v>0</v>
      </c>
      <c r="N1288" t="str">
        <f>T('TMIS US'!B1279)</f>
        <v/>
      </c>
      <c r="O1288" t="s">
        <v>4290</v>
      </c>
      <c r="P1288" t="str">
        <f t="shared" si="160"/>
        <v/>
      </c>
      <c r="Q1288" t="str">
        <f t="shared" si="161"/>
        <v/>
      </c>
      <c r="R1288" s="69"/>
      <c r="S1288">
        <f>'TMIS CA'!A1279</f>
        <v>0</v>
      </c>
      <c r="T1288" t="str">
        <f>T('TMIS CA'!B1279)</f>
        <v/>
      </c>
      <c r="U1288" t="s">
        <v>4290</v>
      </c>
      <c r="V1288" t="str">
        <f t="shared" si="163"/>
        <v/>
      </c>
      <c r="W1288" t="str">
        <f t="shared" si="162"/>
        <v/>
      </c>
    </row>
    <row r="1289" spans="1:23">
      <c r="A1289">
        <f>'IPTV US'!A1280</f>
        <v>0</v>
      </c>
      <c r="B1289" t="str">
        <f>T('IPTV US'!B1280)</f>
        <v/>
      </c>
      <c r="C1289" t="s">
        <v>4290</v>
      </c>
      <c r="D1289" t="str">
        <f t="shared" si="157"/>
        <v/>
      </c>
      <c r="E1289" t="str">
        <f t="shared" si="158"/>
        <v/>
      </c>
      <c r="F1289" s="68" t="s">
        <v>4289</v>
      </c>
      <c r="G1289">
        <f>'IPTV CA'!A1280</f>
        <v>0</v>
      </c>
      <c r="H1289" t="str">
        <f>T('IPTV CA'!B1280)</f>
        <v/>
      </c>
      <c r="I1289" t="s">
        <v>4290</v>
      </c>
      <c r="J1289" t="str">
        <f t="shared" si="159"/>
        <v/>
      </c>
      <c r="K1289" t="str">
        <f t="shared" si="164"/>
        <v/>
      </c>
      <c r="L1289" s="69"/>
      <c r="M1289">
        <f>'TMIS US'!A1280</f>
        <v>0</v>
      </c>
      <c r="N1289" t="str">
        <f>T('TMIS US'!B1280)</f>
        <v/>
      </c>
      <c r="O1289" t="s">
        <v>4290</v>
      </c>
      <c r="P1289" t="str">
        <f t="shared" si="160"/>
        <v/>
      </c>
      <c r="Q1289" t="str">
        <f t="shared" si="161"/>
        <v/>
      </c>
      <c r="R1289" s="69"/>
      <c r="S1289">
        <f>'TMIS CA'!A1280</f>
        <v>0</v>
      </c>
      <c r="T1289" t="str">
        <f>T('TMIS CA'!B1280)</f>
        <v/>
      </c>
      <c r="U1289" t="s">
        <v>4290</v>
      </c>
      <c r="V1289" t="str">
        <f t="shared" si="163"/>
        <v/>
      </c>
      <c r="W1289" t="str">
        <f t="shared" si="162"/>
        <v/>
      </c>
    </row>
    <row r="1290" spans="1:23">
      <c r="A1290">
        <f>'IPTV US'!A1281</f>
        <v>0</v>
      </c>
      <c r="B1290" t="str">
        <f>T('IPTV US'!B1281)</f>
        <v/>
      </c>
      <c r="C1290" t="s">
        <v>4290</v>
      </c>
      <c r="D1290" t="str">
        <f t="shared" si="157"/>
        <v/>
      </c>
      <c r="E1290" t="str">
        <f t="shared" si="158"/>
        <v/>
      </c>
      <c r="F1290" s="68" t="s">
        <v>4289</v>
      </c>
      <c r="G1290">
        <f>'IPTV CA'!A1281</f>
        <v>0</v>
      </c>
      <c r="H1290" t="str">
        <f>T('IPTV CA'!B1281)</f>
        <v/>
      </c>
      <c r="I1290" t="s">
        <v>4290</v>
      </c>
      <c r="J1290" t="str">
        <f t="shared" si="159"/>
        <v/>
      </c>
      <c r="K1290" t="str">
        <f t="shared" si="164"/>
        <v/>
      </c>
      <c r="L1290" s="69"/>
      <c r="M1290">
        <f>'TMIS US'!A1281</f>
        <v>0</v>
      </c>
      <c r="N1290" t="str">
        <f>T('TMIS US'!B1281)</f>
        <v/>
      </c>
      <c r="O1290" t="s">
        <v>4290</v>
      </c>
      <c r="P1290" t="str">
        <f t="shared" si="160"/>
        <v/>
      </c>
      <c r="Q1290" t="str">
        <f t="shared" si="161"/>
        <v/>
      </c>
      <c r="R1290" s="69"/>
      <c r="S1290">
        <f>'TMIS CA'!A1281</f>
        <v>0</v>
      </c>
      <c r="T1290" t="str">
        <f>T('TMIS CA'!B1281)</f>
        <v/>
      </c>
      <c r="U1290" t="s">
        <v>4290</v>
      </c>
      <c r="V1290" t="str">
        <f t="shared" si="163"/>
        <v/>
      </c>
      <c r="W1290" t="str">
        <f t="shared" si="162"/>
        <v/>
      </c>
    </row>
    <row r="1291" spans="1:23">
      <c r="A1291">
        <f>'IPTV US'!A1282</f>
        <v>0</v>
      </c>
      <c r="B1291" t="str">
        <f>T('IPTV US'!B1282)</f>
        <v/>
      </c>
      <c r="C1291" t="s">
        <v>4290</v>
      </c>
      <c r="D1291" t="str">
        <f t="shared" ref="D1291:D1354" si="165">IF(C1291="Active",IF(B1291="","Please Notify - Channel Removed",""),"")</f>
        <v/>
      </c>
      <c r="E1291" t="str">
        <f t="shared" ref="E1291:E1354" si="166">IF(C1291="Vacant",IF(B1291="","","Please Notify - Channel Added"),"")</f>
        <v/>
      </c>
      <c r="F1291" s="68" t="s">
        <v>4289</v>
      </c>
      <c r="G1291">
        <f>'IPTV CA'!A1282</f>
        <v>0</v>
      </c>
      <c r="H1291" t="str">
        <f>T('IPTV CA'!B1282)</f>
        <v/>
      </c>
      <c r="I1291" t="s">
        <v>4290</v>
      </c>
      <c r="J1291" t="str">
        <f t="shared" ref="J1291:J1354" si="167">IF(I1291="Active",IF(H1291="","Please Notify - Channel Removed",""),"")</f>
        <v/>
      </c>
      <c r="K1291" t="str">
        <f t="shared" si="164"/>
        <v/>
      </c>
      <c r="L1291" s="69"/>
      <c r="M1291">
        <f>'TMIS US'!A1282</f>
        <v>0</v>
      </c>
      <c r="N1291" t="str">
        <f>T('TMIS US'!B1282)</f>
        <v/>
      </c>
      <c r="O1291" t="s">
        <v>4290</v>
      </c>
      <c r="P1291" t="str">
        <f t="shared" ref="P1291:P1354" si="168">IF(O1291="Active",IF(N1291="","Please Notify - Channel Removed",""),"")</f>
        <v/>
      </c>
      <c r="Q1291" t="str">
        <f t="shared" si="161"/>
        <v/>
      </c>
      <c r="R1291" s="69"/>
      <c r="S1291">
        <f>'TMIS CA'!A1282</f>
        <v>0</v>
      </c>
      <c r="T1291" t="str">
        <f>T('TMIS CA'!B1282)</f>
        <v/>
      </c>
      <c r="U1291" t="s">
        <v>4290</v>
      </c>
      <c r="V1291" t="str">
        <f t="shared" si="163"/>
        <v/>
      </c>
      <c r="W1291" t="str">
        <f t="shared" si="162"/>
        <v/>
      </c>
    </row>
    <row r="1292" spans="1:23">
      <c r="A1292">
        <f>'IPTV US'!A1283</f>
        <v>0</v>
      </c>
      <c r="B1292" t="str">
        <f>T('IPTV US'!B1283)</f>
        <v/>
      </c>
      <c r="C1292" t="s">
        <v>4290</v>
      </c>
      <c r="D1292" t="str">
        <f t="shared" si="165"/>
        <v/>
      </c>
      <c r="E1292" t="str">
        <f t="shared" si="166"/>
        <v/>
      </c>
      <c r="F1292" s="68" t="s">
        <v>4289</v>
      </c>
      <c r="G1292">
        <f>'IPTV CA'!A1283</f>
        <v>0</v>
      </c>
      <c r="H1292" t="str">
        <f>T('IPTV CA'!B1283)</f>
        <v/>
      </c>
      <c r="I1292" t="s">
        <v>4290</v>
      </c>
      <c r="J1292" t="str">
        <f t="shared" si="167"/>
        <v/>
      </c>
      <c r="K1292" t="str">
        <f t="shared" si="164"/>
        <v/>
      </c>
      <c r="L1292" s="69"/>
      <c r="M1292">
        <f>'TMIS US'!A1283</f>
        <v>0</v>
      </c>
      <c r="N1292" t="str">
        <f>T('TMIS US'!B1283)</f>
        <v/>
      </c>
      <c r="O1292" t="s">
        <v>4290</v>
      </c>
      <c r="P1292" t="str">
        <f t="shared" si="168"/>
        <v/>
      </c>
      <c r="Q1292" t="str">
        <f t="shared" ref="Q1292:Q1355" si="169">IF(O1292="Vacant",IF(N1292="","","Please Notify - Channel Added"),"")</f>
        <v/>
      </c>
      <c r="R1292" s="69"/>
      <c r="S1292">
        <f>'TMIS CA'!A1283</f>
        <v>0</v>
      </c>
      <c r="T1292" t="str">
        <f>T('TMIS CA'!B1283)</f>
        <v/>
      </c>
      <c r="U1292" t="s">
        <v>4290</v>
      </c>
      <c r="V1292" t="str">
        <f t="shared" si="163"/>
        <v/>
      </c>
      <c r="W1292" t="str">
        <f t="shared" ref="W1292:W1355" si="170">IF(U1292="Vacant",IF(T1292="","","Please Notify - Channel Added"),"")</f>
        <v/>
      </c>
    </row>
    <row r="1293" spans="1:23">
      <c r="A1293">
        <f>'IPTV US'!A1284</f>
        <v>0</v>
      </c>
      <c r="B1293" t="str">
        <f>T('IPTV US'!B1284)</f>
        <v/>
      </c>
      <c r="C1293" t="s">
        <v>4290</v>
      </c>
      <c r="D1293" t="str">
        <f t="shared" si="165"/>
        <v/>
      </c>
      <c r="E1293" t="str">
        <f t="shared" si="166"/>
        <v/>
      </c>
      <c r="F1293" s="68" t="s">
        <v>4289</v>
      </c>
      <c r="G1293">
        <f>'IPTV CA'!A1284</f>
        <v>0</v>
      </c>
      <c r="H1293" t="str">
        <f>T('IPTV CA'!B1284)</f>
        <v/>
      </c>
      <c r="I1293" t="s">
        <v>4290</v>
      </c>
      <c r="J1293" t="str">
        <f t="shared" si="167"/>
        <v/>
      </c>
      <c r="K1293" t="str">
        <f t="shared" si="164"/>
        <v/>
      </c>
      <c r="L1293" s="69"/>
      <c r="M1293">
        <f>'TMIS US'!A1284</f>
        <v>0</v>
      </c>
      <c r="N1293" t="str">
        <f>T('TMIS US'!B1284)</f>
        <v/>
      </c>
      <c r="O1293" t="s">
        <v>4290</v>
      </c>
      <c r="P1293" t="str">
        <f t="shared" si="168"/>
        <v/>
      </c>
      <c r="Q1293" t="str">
        <f t="shared" si="169"/>
        <v/>
      </c>
      <c r="R1293" s="69"/>
      <c r="S1293">
        <f>'TMIS CA'!A1284</f>
        <v>0</v>
      </c>
      <c r="T1293" t="str">
        <f>T('TMIS CA'!B1284)</f>
        <v/>
      </c>
      <c r="U1293" t="s">
        <v>4290</v>
      </c>
      <c r="V1293" t="str">
        <f t="shared" si="163"/>
        <v/>
      </c>
      <c r="W1293" t="str">
        <f t="shared" si="170"/>
        <v/>
      </c>
    </row>
    <row r="1294" spans="1:23">
      <c r="A1294">
        <f>'IPTV US'!A1285</f>
        <v>0</v>
      </c>
      <c r="B1294" t="str">
        <f>T('IPTV US'!B1285)</f>
        <v/>
      </c>
      <c r="C1294" t="s">
        <v>4290</v>
      </c>
      <c r="D1294" t="str">
        <f t="shared" si="165"/>
        <v/>
      </c>
      <c r="E1294" t="str">
        <f t="shared" si="166"/>
        <v/>
      </c>
      <c r="F1294" s="68" t="s">
        <v>4289</v>
      </c>
      <c r="G1294">
        <f>'IPTV CA'!A1285</f>
        <v>0</v>
      </c>
      <c r="H1294" t="str">
        <f>T('IPTV CA'!B1285)</f>
        <v/>
      </c>
      <c r="I1294" t="s">
        <v>4290</v>
      </c>
      <c r="J1294" t="str">
        <f t="shared" si="167"/>
        <v/>
      </c>
      <c r="K1294" t="str">
        <f t="shared" si="164"/>
        <v/>
      </c>
      <c r="L1294" s="69"/>
      <c r="M1294">
        <f>'TMIS US'!A1285</f>
        <v>0</v>
      </c>
      <c r="N1294" t="str">
        <f>T('TMIS US'!B1285)</f>
        <v/>
      </c>
      <c r="O1294" t="s">
        <v>4290</v>
      </c>
      <c r="P1294" t="str">
        <f t="shared" si="168"/>
        <v/>
      </c>
      <c r="Q1294" t="str">
        <f t="shared" si="169"/>
        <v/>
      </c>
      <c r="R1294" s="69"/>
      <c r="S1294">
        <f>'TMIS CA'!A1285</f>
        <v>0</v>
      </c>
      <c r="T1294" t="str">
        <f>T('TMIS CA'!B1285)</f>
        <v/>
      </c>
      <c r="U1294" t="s">
        <v>4290</v>
      </c>
      <c r="V1294" t="str">
        <f t="shared" ref="V1294:V1357" si="171">IF(U1294="Active",IF(T1294="","Please Notify - Channel Removed",""),"")</f>
        <v/>
      </c>
      <c r="W1294" t="str">
        <f t="shared" si="170"/>
        <v/>
      </c>
    </row>
    <row r="1295" spans="1:23">
      <c r="A1295">
        <f>'IPTV US'!A1286</f>
        <v>0</v>
      </c>
      <c r="B1295" t="str">
        <f>T('IPTV US'!B1286)</f>
        <v/>
      </c>
      <c r="C1295" t="s">
        <v>4290</v>
      </c>
      <c r="D1295" t="str">
        <f t="shared" si="165"/>
        <v/>
      </c>
      <c r="E1295" t="str">
        <f t="shared" si="166"/>
        <v/>
      </c>
      <c r="F1295" s="68" t="s">
        <v>4289</v>
      </c>
      <c r="G1295">
        <f>'IPTV CA'!A1286</f>
        <v>0</v>
      </c>
      <c r="H1295" t="str">
        <f>T('IPTV CA'!B1286)</f>
        <v/>
      </c>
      <c r="I1295" t="s">
        <v>4290</v>
      </c>
      <c r="J1295" t="str">
        <f t="shared" si="167"/>
        <v/>
      </c>
      <c r="K1295" t="str">
        <f t="shared" si="164"/>
        <v/>
      </c>
      <c r="L1295" s="69"/>
      <c r="M1295">
        <f>'TMIS US'!A1286</f>
        <v>0</v>
      </c>
      <c r="N1295" t="str">
        <f>T('TMIS US'!B1286)</f>
        <v/>
      </c>
      <c r="O1295" t="s">
        <v>4290</v>
      </c>
      <c r="P1295" t="str">
        <f t="shared" si="168"/>
        <v/>
      </c>
      <c r="Q1295" t="str">
        <f t="shared" si="169"/>
        <v/>
      </c>
      <c r="R1295" s="69"/>
      <c r="S1295">
        <f>'TMIS CA'!A1286</f>
        <v>0</v>
      </c>
      <c r="T1295" t="str">
        <f>T('TMIS CA'!B1286)</f>
        <v/>
      </c>
      <c r="U1295" t="s">
        <v>4290</v>
      </c>
      <c r="V1295" t="str">
        <f t="shared" si="171"/>
        <v/>
      </c>
      <c r="W1295" t="str">
        <f t="shared" si="170"/>
        <v/>
      </c>
    </row>
    <row r="1296" spans="1:23">
      <c r="A1296">
        <f>'IPTV US'!A1287</f>
        <v>0</v>
      </c>
      <c r="B1296" t="str">
        <f>T('IPTV US'!B1287)</f>
        <v/>
      </c>
      <c r="C1296" t="s">
        <v>4290</v>
      </c>
      <c r="D1296" t="str">
        <f t="shared" si="165"/>
        <v/>
      </c>
      <c r="E1296" t="str">
        <f t="shared" si="166"/>
        <v/>
      </c>
      <c r="F1296" s="68" t="s">
        <v>4289</v>
      </c>
      <c r="G1296">
        <f>'IPTV CA'!A1287</f>
        <v>0</v>
      </c>
      <c r="H1296" t="str">
        <f>T('IPTV CA'!B1287)</f>
        <v/>
      </c>
      <c r="I1296" t="s">
        <v>4290</v>
      </c>
      <c r="J1296" t="str">
        <f t="shared" si="167"/>
        <v/>
      </c>
      <c r="K1296" t="str">
        <f t="shared" si="164"/>
        <v/>
      </c>
      <c r="L1296" s="69"/>
      <c r="M1296">
        <f>'TMIS US'!A1287</f>
        <v>0</v>
      </c>
      <c r="N1296" t="str">
        <f>T('TMIS US'!B1287)</f>
        <v/>
      </c>
      <c r="O1296" t="s">
        <v>4290</v>
      </c>
      <c r="P1296" t="str">
        <f t="shared" si="168"/>
        <v/>
      </c>
      <c r="Q1296" t="str">
        <f t="shared" si="169"/>
        <v/>
      </c>
      <c r="R1296" s="69"/>
      <c r="S1296">
        <f>'TMIS CA'!A1287</f>
        <v>0</v>
      </c>
      <c r="T1296" t="str">
        <f>T('TMIS CA'!B1287)</f>
        <v/>
      </c>
      <c r="U1296" t="s">
        <v>4290</v>
      </c>
      <c r="V1296" t="str">
        <f t="shared" si="171"/>
        <v/>
      </c>
      <c r="W1296" t="str">
        <f t="shared" si="170"/>
        <v/>
      </c>
    </row>
    <row r="1297" spans="1:23">
      <c r="A1297">
        <f>'IPTV US'!A1288</f>
        <v>0</v>
      </c>
      <c r="B1297" t="str">
        <f>T('IPTV US'!B1288)</f>
        <v/>
      </c>
      <c r="C1297" t="s">
        <v>4290</v>
      </c>
      <c r="D1297" t="str">
        <f t="shared" si="165"/>
        <v/>
      </c>
      <c r="E1297" t="str">
        <f t="shared" si="166"/>
        <v/>
      </c>
      <c r="F1297" s="68" t="s">
        <v>4289</v>
      </c>
      <c r="G1297">
        <f>'IPTV CA'!A1288</f>
        <v>0</v>
      </c>
      <c r="H1297" t="str">
        <f>T('IPTV CA'!B1288)</f>
        <v/>
      </c>
      <c r="I1297" t="s">
        <v>4290</v>
      </c>
      <c r="J1297" t="str">
        <f t="shared" si="167"/>
        <v/>
      </c>
      <c r="K1297" t="str">
        <f t="shared" si="164"/>
        <v/>
      </c>
      <c r="L1297" s="69"/>
      <c r="M1297">
        <f>'TMIS US'!A1288</f>
        <v>0</v>
      </c>
      <c r="N1297" t="str">
        <f>T('TMIS US'!B1288)</f>
        <v/>
      </c>
      <c r="O1297" t="s">
        <v>4290</v>
      </c>
      <c r="P1297" t="str">
        <f t="shared" si="168"/>
        <v/>
      </c>
      <c r="Q1297" t="str">
        <f t="shared" si="169"/>
        <v/>
      </c>
      <c r="R1297" s="69"/>
      <c r="S1297">
        <f>'TMIS CA'!A1288</f>
        <v>0</v>
      </c>
      <c r="T1297" t="str">
        <f>T('TMIS CA'!B1288)</f>
        <v/>
      </c>
      <c r="U1297" t="s">
        <v>4290</v>
      </c>
      <c r="V1297" t="str">
        <f t="shared" si="171"/>
        <v/>
      </c>
      <c r="W1297" t="str">
        <f t="shared" si="170"/>
        <v/>
      </c>
    </row>
    <row r="1298" spans="1:23">
      <c r="A1298">
        <f>'IPTV US'!A1289</f>
        <v>0</v>
      </c>
      <c r="B1298" t="str">
        <f>T('IPTV US'!B1289)</f>
        <v/>
      </c>
      <c r="C1298" t="s">
        <v>4290</v>
      </c>
      <c r="D1298" t="str">
        <f t="shared" si="165"/>
        <v/>
      </c>
      <c r="E1298" t="str">
        <f t="shared" si="166"/>
        <v/>
      </c>
      <c r="F1298" s="68" t="s">
        <v>4289</v>
      </c>
      <c r="G1298">
        <f>'IPTV CA'!A1289</f>
        <v>0</v>
      </c>
      <c r="H1298" t="str">
        <f>T('IPTV CA'!B1289)</f>
        <v/>
      </c>
      <c r="I1298" t="s">
        <v>4290</v>
      </c>
      <c r="J1298" t="str">
        <f t="shared" si="167"/>
        <v/>
      </c>
      <c r="K1298" t="str">
        <f t="shared" si="164"/>
        <v/>
      </c>
      <c r="L1298" s="69"/>
      <c r="M1298">
        <f>'TMIS US'!A1289</f>
        <v>0</v>
      </c>
      <c r="N1298" t="str">
        <f>T('TMIS US'!B1289)</f>
        <v/>
      </c>
      <c r="O1298" t="s">
        <v>4290</v>
      </c>
      <c r="P1298" t="str">
        <f t="shared" si="168"/>
        <v/>
      </c>
      <c r="Q1298" t="str">
        <f t="shared" si="169"/>
        <v/>
      </c>
      <c r="R1298" s="69"/>
      <c r="S1298">
        <f>'TMIS CA'!A1289</f>
        <v>0</v>
      </c>
      <c r="T1298" t="str">
        <f>T('TMIS CA'!B1289)</f>
        <v/>
      </c>
      <c r="U1298" t="s">
        <v>4290</v>
      </c>
      <c r="V1298" t="str">
        <f t="shared" si="171"/>
        <v/>
      </c>
      <c r="W1298" t="str">
        <f t="shared" si="170"/>
        <v/>
      </c>
    </row>
    <row r="1299" spans="1:23">
      <c r="A1299">
        <f>'IPTV US'!A1290</f>
        <v>0</v>
      </c>
      <c r="B1299" t="str">
        <f>T('IPTV US'!B1290)</f>
        <v/>
      </c>
      <c r="C1299" t="s">
        <v>4290</v>
      </c>
      <c r="D1299" t="str">
        <f t="shared" si="165"/>
        <v/>
      </c>
      <c r="E1299" t="str">
        <f t="shared" si="166"/>
        <v/>
      </c>
      <c r="F1299" s="68" t="s">
        <v>4289</v>
      </c>
      <c r="G1299">
        <f>'IPTV CA'!A1290</f>
        <v>0</v>
      </c>
      <c r="H1299" t="str">
        <f>T('IPTV CA'!B1290)</f>
        <v/>
      </c>
      <c r="I1299" t="s">
        <v>4290</v>
      </c>
      <c r="J1299" t="str">
        <f t="shared" si="167"/>
        <v/>
      </c>
      <c r="K1299" t="str">
        <f t="shared" si="164"/>
        <v/>
      </c>
      <c r="L1299" s="69"/>
      <c r="M1299">
        <f>'TMIS US'!A1290</f>
        <v>0</v>
      </c>
      <c r="N1299" t="str">
        <f>T('TMIS US'!B1290)</f>
        <v/>
      </c>
      <c r="O1299" t="s">
        <v>4290</v>
      </c>
      <c r="P1299" t="str">
        <f t="shared" si="168"/>
        <v/>
      </c>
      <c r="Q1299" t="str">
        <f t="shared" si="169"/>
        <v/>
      </c>
      <c r="R1299" s="69"/>
      <c r="S1299">
        <f>'TMIS CA'!A1290</f>
        <v>0</v>
      </c>
      <c r="T1299" t="str">
        <f>T('TMIS CA'!B1290)</f>
        <v/>
      </c>
      <c r="U1299" t="s">
        <v>4290</v>
      </c>
      <c r="V1299" t="str">
        <f t="shared" si="171"/>
        <v/>
      </c>
      <c r="W1299" t="str">
        <f t="shared" si="170"/>
        <v/>
      </c>
    </row>
    <row r="1300" spans="1:23">
      <c r="A1300">
        <f>'IPTV US'!A1291</f>
        <v>0</v>
      </c>
      <c r="B1300" t="str">
        <f>T('IPTV US'!B1291)</f>
        <v/>
      </c>
      <c r="C1300" t="s">
        <v>4290</v>
      </c>
      <c r="D1300" t="str">
        <f t="shared" si="165"/>
        <v/>
      </c>
      <c r="E1300" t="str">
        <f t="shared" si="166"/>
        <v/>
      </c>
      <c r="F1300" s="68" t="s">
        <v>4289</v>
      </c>
      <c r="G1300">
        <f>'IPTV CA'!A1291</f>
        <v>0</v>
      </c>
      <c r="H1300" t="str">
        <f>T('IPTV CA'!B1291)</f>
        <v/>
      </c>
      <c r="I1300" t="s">
        <v>4290</v>
      </c>
      <c r="J1300" t="str">
        <f t="shared" si="167"/>
        <v/>
      </c>
      <c r="K1300" t="str">
        <f t="shared" si="164"/>
        <v/>
      </c>
      <c r="L1300" s="69"/>
      <c r="M1300">
        <f>'TMIS US'!A1291</f>
        <v>0</v>
      </c>
      <c r="N1300" t="str">
        <f>T('TMIS US'!B1291)</f>
        <v/>
      </c>
      <c r="O1300" t="s">
        <v>4290</v>
      </c>
      <c r="P1300" t="str">
        <f t="shared" si="168"/>
        <v/>
      </c>
      <c r="Q1300" t="str">
        <f t="shared" si="169"/>
        <v/>
      </c>
      <c r="R1300" s="69"/>
      <c r="S1300">
        <f>'TMIS CA'!A1291</f>
        <v>0</v>
      </c>
      <c r="T1300" t="str">
        <f>T('TMIS CA'!B1291)</f>
        <v/>
      </c>
      <c r="U1300" t="s">
        <v>4290</v>
      </c>
      <c r="V1300" t="str">
        <f t="shared" si="171"/>
        <v/>
      </c>
      <c r="W1300" t="str">
        <f t="shared" si="170"/>
        <v/>
      </c>
    </row>
    <row r="1301" spans="1:23">
      <c r="A1301">
        <f>'IPTV US'!A1292</f>
        <v>0</v>
      </c>
      <c r="B1301" t="str">
        <f>T('IPTV US'!B1292)</f>
        <v/>
      </c>
      <c r="C1301" t="s">
        <v>4290</v>
      </c>
      <c r="D1301" t="str">
        <f t="shared" si="165"/>
        <v/>
      </c>
      <c r="E1301" t="str">
        <f t="shared" si="166"/>
        <v/>
      </c>
      <c r="F1301" s="68" t="s">
        <v>4289</v>
      </c>
      <c r="G1301">
        <f>'IPTV CA'!A1292</f>
        <v>0</v>
      </c>
      <c r="H1301" t="str">
        <f>T('IPTV CA'!B1292)</f>
        <v/>
      </c>
      <c r="I1301" t="s">
        <v>4290</v>
      </c>
      <c r="J1301" t="str">
        <f t="shared" si="167"/>
        <v/>
      </c>
      <c r="K1301" t="str">
        <f t="shared" si="164"/>
        <v/>
      </c>
      <c r="L1301" s="69"/>
      <c r="M1301">
        <f>'TMIS US'!A1292</f>
        <v>0</v>
      </c>
      <c r="N1301" t="str">
        <f>T('TMIS US'!B1292)</f>
        <v/>
      </c>
      <c r="O1301" t="s">
        <v>4290</v>
      </c>
      <c r="P1301" t="str">
        <f t="shared" si="168"/>
        <v/>
      </c>
      <c r="Q1301" t="str">
        <f t="shared" si="169"/>
        <v/>
      </c>
      <c r="R1301" s="69"/>
      <c r="S1301">
        <f>'TMIS CA'!A1292</f>
        <v>0</v>
      </c>
      <c r="T1301" t="str">
        <f>T('TMIS CA'!B1292)</f>
        <v/>
      </c>
      <c r="U1301" t="s">
        <v>4290</v>
      </c>
      <c r="V1301" t="str">
        <f t="shared" si="171"/>
        <v/>
      </c>
      <c r="W1301" t="str">
        <f t="shared" si="170"/>
        <v/>
      </c>
    </row>
    <row r="1302" spans="1:23">
      <c r="A1302">
        <f>'IPTV US'!A1293</f>
        <v>0</v>
      </c>
      <c r="B1302" t="str">
        <f>T('IPTV US'!B1293)</f>
        <v/>
      </c>
      <c r="C1302" t="s">
        <v>4290</v>
      </c>
      <c r="D1302" t="str">
        <f t="shared" si="165"/>
        <v/>
      </c>
      <c r="E1302" t="str">
        <f t="shared" si="166"/>
        <v/>
      </c>
      <c r="F1302" s="68" t="s">
        <v>4289</v>
      </c>
      <c r="G1302">
        <f>'IPTV CA'!A1293</f>
        <v>0</v>
      </c>
      <c r="H1302" t="str">
        <f>T('IPTV CA'!B1293)</f>
        <v/>
      </c>
      <c r="I1302" t="s">
        <v>4290</v>
      </c>
      <c r="J1302" t="str">
        <f t="shared" si="167"/>
        <v/>
      </c>
      <c r="K1302" t="str">
        <f t="shared" si="164"/>
        <v/>
      </c>
      <c r="L1302" s="69"/>
      <c r="M1302">
        <f>'TMIS US'!A1293</f>
        <v>0</v>
      </c>
      <c r="N1302" t="str">
        <f>T('TMIS US'!B1293)</f>
        <v/>
      </c>
      <c r="O1302" t="s">
        <v>4290</v>
      </c>
      <c r="P1302" t="str">
        <f t="shared" si="168"/>
        <v/>
      </c>
      <c r="Q1302" t="str">
        <f t="shared" si="169"/>
        <v/>
      </c>
      <c r="R1302" s="69"/>
      <c r="S1302">
        <f>'TMIS CA'!A1293</f>
        <v>0</v>
      </c>
      <c r="T1302" t="str">
        <f>T('TMIS CA'!B1293)</f>
        <v/>
      </c>
      <c r="U1302" t="s">
        <v>4290</v>
      </c>
      <c r="V1302" t="str">
        <f t="shared" si="171"/>
        <v/>
      </c>
      <c r="W1302" t="str">
        <f t="shared" si="170"/>
        <v/>
      </c>
    </row>
    <row r="1303" spans="1:23">
      <c r="A1303">
        <f>'IPTV US'!A1294</f>
        <v>0</v>
      </c>
      <c r="B1303" t="str">
        <f>T('IPTV US'!B1294)</f>
        <v/>
      </c>
      <c r="C1303" t="s">
        <v>4290</v>
      </c>
      <c r="D1303" t="str">
        <f t="shared" si="165"/>
        <v/>
      </c>
      <c r="E1303" t="str">
        <f t="shared" si="166"/>
        <v/>
      </c>
      <c r="F1303" s="68" t="s">
        <v>4289</v>
      </c>
      <c r="G1303">
        <f>'IPTV CA'!A1294</f>
        <v>0</v>
      </c>
      <c r="H1303" t="str">
        <f>T('IPTV CA'!B1294)</f>
        <v/>
      </c>
      <c r="I1303" t="s">
        <v>4290</v>
      </c>
      <c r="J1303" t="str">
        <f t="shared" si="167"/>
        <v/>
      </c>
      <c r="K1303" t="str">
        <f t="shared" si="164"/>
        <v/>
      </c>
      <c r="L1303" s="69"/>
      <c r="M1303">
        <f>'TMIS US'!A1294</f>
        <v>0</v>
      </c>
      <c r="N1303" t="str">
        <f>T('TMIS US'!B1294)</f>
        <v/>
      </c>
      <c r="O1303" t="s">
        <v>4290</v>
      </c>
      <c r="P1303" t="str">
        <f t="shared" si="168"/>
        <v/>
      </c>
      <c r="Q1303" t="str">
        <f t="shared" si="169"/>
        <v/>
      </c>
      <c r="R1303" s="69"/>
      <c r="S1303">
        <f>'TMIS CA'!A1294</f>
        <v>0</v>
      </c>
      <c r="T1303" t="str">
        <f>T('TMIS CA'!B1294)</f>
        <v/>
      </c>
      <c r="U1303" t="s">
        <v>4290</v>
      </c>
      <c r="V1303" t="str">
        <f t="shared" si="171"/>
        <v/>
      </c>
      <c r="W1303" t="str">
        <f t="shared" si="170"/>
        <v/>
      </c>
    </row>
    <row r="1304" spans="1:23">
      <c r="A1304">
        <f>'IPTV US'!A1295</f>
        <v>0</v>
      </c>
      <c r="B1304" t="str">
        <f>T('IPTV US'!B1295)</f>
        <v/>
      </c>
      <c r="C1304" t="s">
        <v>4290</v>
      </c>
      <c r="D1304" t="str">
        <f t="shared" si="165"/>
        <v/>
      </c>
      <c r="E1304" t="str">
        <f t="shared" si="166"/>
        <v/>
      </c>
      <c r="F1304" s="68" t="s">
        <v>4289</v>
      </c>
      <c r="G1304">
        <f>'IPTV CA'!A1295</f>
        <v>0</v>
      </c>
      <c r="H1304" t="str">
        <f>T('IPTV CA'!B1295)</f>
        <v/>
      </c>
      <c r="I1304" t="s">
        <v>4290</v>
      </c>
      <c r="J1304" t="str">
        <f t="shared" si="167"/>
        <v/>
      </c>
      <c r="K1304" t="str">
        <f t="shared" si="164"/>
        <v/>
      </c>
      <c r="L1304" s="69"/>
      <c r="M1304">
        <f>'TMIS US'!A1295</f>
        <v>0</v>
      </c>
      <c r="N1304" t="str">
        <f>T('TMIS US'!B1295)</f>
        <v/>
      </c>
      <c r="O1304" t="s">
        <v>4290</v>
      </c>
      <c r="P1304" t="str">
        <f t="shared" si="168"/>
        <v/>
      </c>
      <c r="Q1304" t="str">
        <f t="shared" si="169"/>
        <v/>
      </c>
      <c r="R1304" s="69"/>
      <c r="S1304">
        <f>'TMIS CA'!A1295</f>
        <v>0</v>
      </c>
      <c r="T1304" t="str">
        <f>T('TMIS CA'!B1295)</f>
        <v/>
      </c>
      <c r="U1304" t="s">
        <v>4290</v>
      </c>
      <c r="V1304" t="str">
        <f t="shared" si="171"/>
        <v/>
      </c>
      <c r="W1304" t="str">
        <f t="shared" si="170"/>
        <v/>
      </c>
    </row>
    <row r="1305" spans="1:23">
      <c r="A1305">
        <f>'IPTV US'!A1296</f>
        <v>0</v>
      </c>
      <c r="B1305" t="str">
        <f>T('IPTV US'!B1296)</f>
        <v/>
      </c>
      <c r="C1305" t="s">
        <v>4290</v>
      </c>
      <c r="D1305" t="str">
        <f t="shared" si="165"/>
        <v/>
      </c>
      <c r="E1305" t="str">
        <f t="shared" si="166"/>
        <v/>
      </c>
      <c r="F1305" s="68" t="s">
        <v>4289</v>
      </c>
      <c r="G1305">
        <f>'IPTV CA'!A1296</f>
        <v>0</v>
      </c>
      <c r="H1305" t="str">
        <f>T('IPTV CA'!B1296)</f>
        <v/>
      </c>
      <c r="I1305" t="s">
        <v>4290</v>
      </c>
      <c r="J1305" t="str">
        <f t="shared" si="167"/>
        <v/>
      </c>
      <c r="K1305" t="str">
        <f t="shared" si="164"/>
        <v/>
      </c>
      <c r="L1305" s="69"/>
      <c r="M1305">
        <f>'TMIS US'!A1296</f>
        <v>0</v>
      </c>
      <c r="N1305" t="str">
        <f>T('TMIS US'!B1296)</f>
        <v/>
      </c>
      <c r="O1305" t="s">
        <v>4290</v>
      </c>
      <c r="P1305" t="str">
        <f t="shared" si="168"/>
        <v/>
      </c>
      <c r="Q1305" t="str">
        <f t="shared" si="169"/>
        <v/>
      </c>
      <c r="R1305" s="69"/>
      <c r="S1305">
        <f>'TMIS CA'!A1296</f>
        <v>0</v>
      </c>
      <c r="T1305" t="str">
        <f>T('TMIS CA'!B1296)</f>
        <v/>
      </c>
      <c r="U1305" t="s">
        <v>4290</v>
      </c>
      <c r="V1305" t="str">
        <f t="shared" si="171"/>
        <v/>
      </c>
      <c r="W1305" t="str">
        <f t="shared" si="170"/>
        <v/>
      </c>
    </row>
    <row r="1306" spans="1:23">
      <c r="A1306">
        <f>'IPTV US'!A1297</f>
        <v>0</v>
      </c>
      <c r="B1306" t="str">
        <f>T('IPTV US'!B1297)</f>
        <v/>
      </c>
      <c r="C1306" t="s">
        <v>4290</v>
      </c>
      <c r="D1306" t="str">
        <f t="shared" si="165"/>
        <v/>
      </c>
      <c r="E1306" t="str">
        <f t="shared" si="166"/>
        <v/>
      </c>
      <c r="F1306" s="68" t="s">
        <v>4289</v>
      </c>
      <c r="G1306">
        <f>'IPTV CA'!A1297</f>
        <v>0</v>
      </c>
      <c r="H1306" t="str">
        <f>T('IPTV CA'!B1297)</f>
        <v/>
      </c>
      <c r="I1306" t="s">
        <v>4290</v>
      </c>
      <c r="J1306" t="str">
        <f t="shared" si="167"/>
        <v/>
      </c>
      <c r="K1306" t="str">
        <f t="shared" si="164"/>
        <v/>
      </c>
      <c r="L1306" s="69"/>
      <c r="M1306">
        <f>'TMIS US'!A1297</f>
        <v>0</v>
      </c>
      <c r="N1306" t="str">
        <f>T('TMIS US'!B1297)</f>
        <v/>
      </c>
      <c r="O1306" t="s">
        <v>4290</v>
      </c>
      <c r="P1306" t="str">
        <f t="shared" si="168"/>
        <v/>
      </c>
      <c r="Q1306" t="str">
        <f t="shared" si="169"/>
        <v/>
      </c>
      <c r="R1306" s="69"/>
      <c r="S1306">
        <f>'TMIS CA'!A1297</f>
        <v>0</v>
      </c>
      <c r="T1306" t="str">
        <f>T('TMIS CA'!B1297)</f>
        <v/>
      </c>
      <c r="U1306" t="s">
        <v>4290</v>
      </c>
      <c r="V1306" t="str">
        <f t="shared" si="171"/>
        <v/>
      </c>
      <c r="W1306" t="str">
        <f t="shared" si="170"/>
        <v/>
      </c>
    </row>
    <row r="1307" spans="1:23">
      <c r="A1307">
        <f>'IPTV US'!A1298</f>
        <v>0</v>
      </c>
      <c r="B1307" t="str">
        <f>T('IPTV US'!B1298)</f>
        <v/>
      </c>
      <c r="C1307" t="s">
        <v>4290</v>
      </c>
      <c r="D1307" t="str">
        <f t="shared" si="165"/>
        <v/>
      </c>
      <c r="E1307" t="str">
        <f t="shared" si="166"/>
        <v/>
      </c>
      <c r="F1307" s="68" t="s">
        <v>4289</v>
      </c>
      <c r="G1307">
        <f>'IPTV CA'!A1298</f>
        <v>0</v>
      </c>
      <c r="H1307" t="str">
        <f>T('IPTV CA'!B1298)</f>
        <v/>
      </c>
      <c r="I1307" t="s">
        <v>4290</v>
      </c>
      <c r="J1307" t="str">
        <f t="shared" si="167"/>
        <v/>
      </c>
      <c r="K1307" t="str">
        <f t="shared" si="164"/>
        <v/>
      </c>
      <c r="L1307" s="69"/>
      <c r="M1307">
        <f>'TMIS US'!A1298</f>
        <v>0</v>
      </c>
      <c r="N1307" t="str">
        <f>T('TMIS US'!B1298)</f>
        <v/>
      </c>
      <c r="O1307" t="s">
        <v>4290</v>
      </c>
      <c r="P1307" t="str">
        <f t="shared" si="168"/>
        <v/>
      </c>
      <c r="Q1307" t="str">
        <f t="shared" si="169"/>
        <v/>
      </c>
      <c r="R1307" s="69"/>
      <c r="S1307">
        <f>'TMIS CA'!A1298</f>
        <v>0</v>
      </c>
      <c r="T1307" t="str">
        <f>T('TMIS CA'!B1298)</f>
        <v/>
      </c>
      <c r="U1307" t="s">
        <v>4290</v>
      </c>
      <c r="V1307" t="str">
        <f t="shared" si="171"/>
        <v/>
      </c>
      <c r="W1307" t="str">
        <f t="shared" si="170"/>
        <v/>
      </c>
    </row>
    <row r="1308" spans="1:23">
      <c r="A1308">
        <f>'IPTV US'!A1299</f>
        <v>0</v>
      </c>
      <c r="B1308" t="str">
        <f>T('IPTV US'!B1299)</f>
        <v/>
      </c>
      <c r="C1308" t="s">
        <v>4290</v>
      </c>
      <c r="D1308" t="str">
        <f t="shared" si="165"/>
        <v/>
      </c>
      <c r="E1308" t="str">
        <f t="shared" si="166"/>
        <v/>
      </c>
      <c r="F1308" s="68" t="s">
        <v>4289</v>
      </c>
      <c r="G1308">
        <f>'IPTV CA'!A1299</f>
        <v>0</v>
      </c>
      <c r="H1308" t="str">
        <f>T('IPTV CA'!B1299)</f>
        <v/>
      </c>
      <c r="I1308" t="s">
        <v>4290</v>
      </c>
      <c r="J1308" t="str">
        <f t="shared" si="167"/>
        <v/>
      </c>
      <c r="K1308" t="str">
        <f t="shared" si="164"/>
        <v/>
      </c>
      <c r="L1308" s="69"/>
      <c r="M1308">
        <f>'TMIS US'!A1299</f>
        <v>0</v>
      </c>
      <c r="N1308" t="str">
        <f>T('TMIS US'!B1299)</f>
        <v/>
      </c>
      <c r="O1308" t="s">
        <v>4290</v>
      </c>
      <c r="P1308" t="str">
        <f t="shared" si="168"/>
        <v/>
      </c>
      <c r="Q1308" t="str">
        <f t="shared" si="169"/>
        <v/>
      </c>
      <c r="R1308" s="69"/>
      <c r="S1308">
        <f>'TMIS CA'!A1299</f>
        <v>0</v>
      </c>
      <c r="T1308" t="str">
        <f>T('TMIS CA'!B1299)</f>
        <v/>
      </c>
      <c r="U1308" t="s">
        <v>4290</v>
      </c>
      <c r="V1308" t="str">
        <f t="shared" si="171"/>
        <v/>
      </c>
      <c r="W1308" t="str">
        <f t="shared" si="170"/>
        <v/>
      </c>
    </row>
    <row r="1309" spans="1:23">
      <c r="A1309">
        <f>'IPTV US'!A1300</f>
        <v>0</v>
      </c>
      <c r="B1309" t="str">
        <f>T('IPTV US'!B1300)</f>
        <v/>
      </c>
      <c r="C1309" t="s">
        <v>4290</v>
      </c>
      <c r="D1309" t="str">
        <f t="shared" si="165"/>
        <v/>
      </c>
      <c r="E1309" t="str">
        <f t="shared" si="166"/>
        <v/>
      </c>
      <c r="F1309" s="68" t="s">
        <v>4289</v>
      </c>
      <c r="G1309">
        <f>'IPTV CA'!A1300</f>
        <v>0</v>
      </c>
      <c r="H1309" t="str">
        <f>T('IPTV CA'!B1300)</f>
        <v/>
      </c>
      <c r="I1309" t="s">
        <v>4290</v>
      </c>
      <c r="J1309" t="str">
        <f t="shared" si="167"/>
        <v/>
      </c>
      <c r="K1309" t="str">
        <f t="shared" si="164"/>
        <v/>
      </c>
      <c r="L1309" s="69"/>
      <c r="M1309">
        <f>'TMIS US'!A1300</f>
        <v>0</v>
      </c>
      <c r="N1309" t="str">
        <f>T('TMIS US'!B1300)</f>
        <v/>
      </c>
      <c r="O1309" t="s">
        <v>4290</v>
      </c>
      <c r="P1309" t="str">
        <f t="shared" si="168"/>
        <v/>
      </c>
      <c r="Q1309" t="str">
        <f t="shared" si="169"/>
        <v/>
      </c>
      <c r="R1309" s="69"/>
      <c r="S1309">
        <f>'TMIS CA'!A1300</f>
        <v>0</v>
      </c>
      <c r="T1309" t="str">
        <f>T('TMIS CA'!B1300)</f>
        <v/>
      </c>
      <c r="U1309" t="s">
        <v>4290</v>
      </c>
      <c r="V1309" t="str">
        <f t="shared" si="171"/>
        <v/>
      </c>
      <c r="W1309" t="str">
        <f t="shared" si="170"/>
        <v/>
      </c>
    </row>
    <row r="1310" spans="1:23">
      <c r="A1310">
        <f>'IPTV US'!A1301</f>
        <v>0</v>
      </c>
      <c r="B1310" t="str">
        <f>T('IPTV US'!B1301)</f>
        <v/>
      </c>
      <c r="C1310" t="s">
        <v>4290</v>
      </c>
      <c r="D1310" t="str">
        <f t="shared" si="165"/>
        <v/>
      </c>
      <c r="E1310" t="str">
        <f t="shared" si="166"/>
        <v/>
      </c>
      <c r="F1310" s="68" t="s">
        <v>4289</v>
      </c>
      <c r="G1310">
        <f>'IPTV CA'!A1301</f>
        <v>0</v>
      </c>
      <c r="H1310" t="str">
        <f>T('IPTV CA'!B1301)</f>
        <v/>
      </c>
      <c r="I1310" t="s">
        <v>4290</v>
      </c>
      <c r="J1310" t="str">
        <f t="shared" si="167"/>
        <v/>
      </c>
      <c r="K1310" t="str">
        <f t="shared" si="164"/>
        <v/>
      </c>
      <c r="L1310" s="69"/>
      <c r="M1310">
        <f>'TMIS US'!A1301</f>
        <v>0</v>
      </c>
      <c r="N1310" t="str">
        <f>T('TMIS US'!B1301)</f>
        <v/>
      </c>
      <c r="O1310" t="s">
        <v>4290</v>
      </c>
      <c r="P1310" t="str">
        <f t="shared" si="168"/>
        <v/>
      </c>
      <c r="Q1310" t="str">
        <f t="shared" si="169"/>
        <v/>
      </c>
      <c r="R1310" s="69"/>
      <c r="S1310">
        <f>'TMIS CA'!A1301</f>
        <v>0</v>
      </c>
      <c r="T1310" t="str">
        <f>T('TMIS CA'!B1301)</f>
        <v/>
      </c>
      <c r="U1310" t="s">
        <v>4290</v>
      </c>
      <c r="V1310" t="str">
        <f t="shared" si="171"/>
        <v/>
      </c>
      <c r="W1310" t="str">
        <f t="shared" si="170"/>
        <v/>
      </c>
    </row>
    <row r="1311" spans="1:23">
      <c r="A1311">
        <f>'IPTV US'!A1302</f>
        <v>0</v>
      </c>
      <c r="B1311" t="str">
        <f>T('IPTV US'!B1302)</f>
        <v/>
      </c>
      <c r="C1311" t="s">
        <v>4290</v>
      </c>
      <c r="D1311" t="str">
        <f t="shared" si="165"/>
        <v/>
      </c>
      <c r="E1311" t="str">
        <f t="shared" si="166"/>
        <v/>
      </c>
      <c r="F1311" s="68" t="s">
        <v>4289</v>
      </c>
      <c r="G1311">
        <f>'IPTV CA'!A1302</f>
        <v>0</v>
      </c>
      <c r="H1311" t="str">
        <f>T('IPTV CA'!B1302)</f>
        <v/>
      </c>
      <c r="I1311" t="s">
        <v>4290</v>
      </c>
      <c r="J1311" t="str">
        <f t="shared" si="167"/>
        <v/>
      </c>
      <c r="K1311" t="str">
        <f t="shared" si="164"/>
        <v/>
      </c>
      <c r="L1311" s="69"/>
      <c r="M1311">
        <f>'TMIS US'!A1302</f>
        <v>0</v>
      </c>
      <c r="N1311" t="str">
        <f>T('TMIS US'!B1302)</f>
        <v/>
      </c>
      <c r="O1311" t="s">
        <v>4290</v>
      </c>
      <c r="P1311" t="str">
        <f t="shared" si="168"/>
        <v/>
      </c>
      <c r="Q1311" t="str">
        <f t="shared" si="169"/>
        <v/>
      </c>
      <c r="R1311" s="69"/>
      <c r="S1311">
        <f>'TMIS CA'!A1302</f>
        <v>0</v>
      </c>
      <c r="T1311" t="str">
        <f>T('TMIS CA'!B1302)</f>
        <v/>
      </c>
      <c r="U1311" t="s">
        <v>4290</v>
      </c>
      <c r="V1311" t="str">
        <f t="shared" si="171"/>
        <v/>
      </c>
      <c r="W1311" t="str">
        <f t="shared" si="170"/>
        <v/>
      </c>
    </row>
    <row r="1312" spans="1:23">
      <c r="A1312">
        <f>'IPTV US'!A1303</f>
        <v>0</v>
      </c>
      <c r="B1312" t="str">
        <f>T('IPTV US'!B1303)</f>
        <v/>
      </c>
      <c r="C1312" t="s">
        <v>4290</v>
      </c>
      <c r="D1312" t="str">
        <f t="shared" si="165"/>
        <v/>
      </c>
      <c r="E1312" t="str">
        <f t="shared" si="166"/>
        <v/>
      </c>
      <c r="F1312" s="68" t="s">
        <v>4289</v>
      </c>
      <c r="G1312">
        <f>'IPTV CA'!A1303</f>
        <v>0</v>
      </c>
      <c r="H1312" t="str">
        <f>T('IPTV CA'!B1303)</f>
        <v/>
      </c>
      <c r="I1312" t="s">
        <v>4290</v>
      </c>
      <c r="J1312" t="str">
        <f t="shared" si="167"/>
        <v/>
      </c>
      <c r="K1312" t="str">
        <f t="shared" si="164"/>
        <v/>
      </c>
      <c r="L1312" s="69"/>
      <c r="M1312">
        <f>'TMIS US'!A1303</f>
        <v>0</v>
      </c>
      <c r="N1312" t="str">
        <f>T('TMIS US'!B1303)</f>
        <v/>
      </c>
      <c r="O1312" t="s">
        <v>4290</v>
      </c>
      <c r="P1312" t="str">
        <f t="shared" si="168"/>
        <v/>
      </c>
      <c r="Q1312" t="str">
        <f t="shared" si="169"/>
        <v/>
      </c>
      <c r="R1312" s="69"/>
      <c r="S1312">
        <f>'TMIS CA'!A1303</f>
        <v>0</v>
      </c>
      <c r="T1312" t="str">
        <f>T('TMIS CA'!B1303)</f>
        <v/>
      </c>
      <c r="U1312" t="s">
        <v>4290</v>
      </c>
      <c r="V1312" t="str">
        <f t="shared" si="171"/>
        <v/>
      </c>
      <c r="W1312" t="str">
        <f t="shared" si="170"/>
        <v/>
      </c>
    </row>
    <row r="1313" spans="1:23">
      <c r="A1313">
        <f>'IPTV US'!A1304</f>
        <v>0</v>
      </c>
      <c r="B1313" t="str">
        <f>T('IPTV US'!B1304)</f>
        <v/>
      </c>
      <c r="C1313" t="s">
        <v>4290</v>
      </c>
      <c r="D1313" t="str">
        <f t="shared" si="165"/>
        <v/>
      </c>
      <c r="E1313" t="str">
        <f t="shared" si="166"/>
        <v/>
      </c>
      <c r="F1313" s="68" t="s">
        <v>4289</v>
      </c>
      <c r="G1313">
        <f>'IPTV CA'!A1304</f>
        <v>0</v>
      </c>
      <c r="H1313" t="str">
        <f>T('IPTV CA'!B1304)</f>
        <v/>
      </c>
      <c r="I1313" t="s">
        <v>4290</v>
      </c>
      <c r="J1313" t="str">
        <f t="shared" si="167"/>
        <v/>
      </c>
      <c r="K1313" t="str">
        <f t="shared" si="164"/>
        <v/>
      </c>
      <c r="L1313" s="69"/>
      <c r="M1313">
        <f>'TMIS US'!A1304</f>
        <v>0</v>
      </c>
      <c r="N1313" t="str">
        <f>T('TMIS US'!B1304)</f>
        <v/>
      </c>
      <c r="O1313" t="s">
        <v>4290</v>
      </c>
      <c r="P1313" t="str">
        <f t="shared" si="168"/>
        <v/>
      </c>
      <c r="Q1313" t="str">
        <f t="shared" si="169"/>
        <v/>
      </c>
      <c r="R1313" s="69"/>
      <c r="S1313">
        <f>'TMIS CA'!A1304</f>
        <v>0</v>
      </c>
      <c r="T1313" t="str">
        <f>T('TMIS CA'!B1304)</f>
        <v/>
      </c>
      <c r="U1313" t="s">
        <v>4290</v>
      </c>
      <c r="V1313" t="str">
        <f t="shared" si="171"/>
        <v/>
      </c>
      <c r="W1313" t="str">
        <f t="shared" si="170"/>
        <v/>
      </c>
    </row>
    <row r="1314" spans="1:23">
      <c r="A1314">
        <f>'IPTV US'!A1305</f>
        <v>0</v>
      </c>
      <c r="B1314" t="str">
        <f>T('IPTV US'!B1305)</f>
        <v/>
      </c>
      <c r="C1314" t="s">
        <v>4290</v>
      </c>
      <c r="D1314" t="str">
        <f t="shared" si="165"/>
        <v/>
      </c>
      <c r="E1314" t="str">
        <f t="shared" si="166"/>
        <v/>
      </c>
      <c r="F1314" s="68" t="s">
        <v>4289</v>
      </c>
      <c r="G1314">
        <f>'IPTV CA'!A1305</f>
        <v>0</v>
      </c>
      <c r="H1314" t="str">
        <f>T('IPTV CA'!B1305)</f>
        <v/>
      </c>
      <c r="I1314" t="s">
        <v>4290</v>
      </c>
      <c r="J1314" t="str">
        <f t="shared" si="167"/>
        <v/>
      </c>
      <c r="K1314" t="str">
        <f t="shared" si="164"/>
        <v/>
      </c>
      <c r="L1314" s="69"/>
      <c r="M1314">
        <f>'TMIS US'!A1305</f>
        <v>0</v>
      </c>
      <c r="N1314" t="str">
        <f>T('TMIS US'!B1305)</f>
        <v/>
      </c>
      <c r="O1314" t="s">
        <v>4290</v>
      </c>
      <c r="P1314" t="str">
        <f t="shared" si="168"/>
        <v/>
      </c>
      <c r="Q1314" t="str">
        <f t="shared" si="169"/>
        <v/>
      </c>
      <c r="R1314" s="69"/>
      <c r="S1314">
        <f>'TMIS CA'!A1305</f>
        <v>0</v>
      </c>
      <c r="T1314" t="str">
        <f>T('TMIS CA'!B1305)</f>
        <v/>
      </c>
      <c r="U1314" t="s">
        <v>4290</v>
      </c>
      <c r="V1314" t="str">
        <f t="shared" si="171"/>
        <v/>
      </c>
      <c r="W1314" t="str">
        <f t="shared" si="170"/>
        <v/>
      </c>
    </row>
    <row r="1315" spans="1:23">
      <c r="A1315">
        <f>'IPTV US'!A1306</f>
        <v>0</v>
      </c>
      <c r="B1315" t="str">
        <f>T('IPTV US'!B1306)</f>
        <v/>
      </c>
      <c r="C1315" t="s">
        <v>4290</v>
      </c>
      <c r="D1315" t="str">
        <f t="shared" si="165"/>
        <v/>
      </c>
      <c r="E1315" t="str">
        <f t="shared" si="166"/>
        <v/>
      </c>
      <c r="F1315" s="68" t="s">
        <v>4289</v>
      </c>
      <c r="G1315">
        <f>'IPTV CA'!A1306</f>
        <v>0</v>
      </c>
      <c r="H1315" t="str">
        <f>T('IPTV CA'!B1306)</f>
        <v/>
      </c>
      <c r="I1315" t="s">
        <v>4290</v>
      </c>
      <c r="J1315" t="str">
        <f t="shared" si="167"/>
        <v/>
      </c>
      <c r="K1315" t="str">
        <f t="shared" si="164"/>
        <v/>
      </c>
      <c r="L1315" s="69"/>
      <c r="M1315">
        <f>'TMIS US'!A1306</f>
        <v>0</v>
      </c>
      <c r="N1315" t="str">
        <f>T('TMIS US'!B1306)</f>
        <v/>
      </c>
      <c r="O1315" t="s">
        <v>4290</v>
      </c>
      <c r="P1315" t="str">
        <f t="shared" si="168"/>
        <v/>
      </c>
      <c r="Q1315" t="str">
        <f t="shared" si="169"/>
        <v/>
      </c>
      <c r="R1315" s="69"/>
      <c r="S1315">
        <f>'TMIS CA'!A1306</f>
        <v>0</v>
      </c>
      <c r="T1315" t="str">
        <f>T('TMIS CA'!B1306)</f>
        <v/>
      </c>
      <c r="U1315" t="s">
        <v>4290</v>
      </c>
      <c r="V1315" t="str">
        <f t="shared" si="171"/>
        <v/>
      </c>
      <c r="W1315" t="str">
        <f t="shared" si="170"/>
        <v/>
      </c>
    </row>
    <row r="1316" spans="1:23">
      <c r="A1316">
        <f>'IPTV US'!A1307</f>
        <v>0</v>
      </c>
      <c r="B1316" t="str">
        <f>T('IPTV US'!B1307)</f>
        <v/>
      </c>
      <c r="C1316" t="s">
        <v>4290</v>
      </c>
      <c r="D1316" t="str">
        <f t="shared" si="165"/>
        <v/>
      </c>
      <c r="E1316" t="str">
        <f t="shared" si="166"/>
        <v/>
      </c>
      <c r="F1316" s="68" t="s">
        <v>4289</v>
      </c>
      <c r="G1316">
        <f>'IPTV CA'!A1307</f>
        <v>0</v>
      </c>
      <c r="H1316" t="str">
        <f>T('IPTV CA'!B1307)</f>
        <v/>
      </c>
      <c r="I1316" t="s">
        <v>4290</v>
      </c>
      <c r="J1316" t="str">
        <f t="shared" si="167"/>
        <v/>
      </c>
      <c r="K1316" t="str">
        <f t="shared" si="164"/>
        <v/>
      </c>
      <c r="L1316" s="69"/>
      <c r="M1316">
        <f>'TMIS US'!A1307</f>
        <v>0</v>
      </c>
      <c r="N1316" t="str">
        <f>T('TMIS US'!B1307)</f>
        <v/>
      </c>
      <c r="O1316" t="s">
        <v>4290</v>
      </c>
      <c r="P1316" t="str">
        <f t="shared" si="168"/>
        <v/>
      </c>
      <c r="Q1316" t="str">
        <f t="shared" si="169"/>
        <v/>
      </c>
      <c r="R1316" s="69"/>
      <c r="S1316">
        <f>'TMIS CA'!A1307</f>
        <v>0</v>
      </c>
      <c r="T1316" t="str">
        <f>T('TMIS CA'!B1307)</f>
        <v/>
      </c>
      <c r="U1316" t="s">
        <v>4290</v>
      </c>
      <c r="V1316" t="str">
        <f t="shared" si="171"/>
        <v/>
      </c>
      <c r="W1316" t="str">
        <f t="shared" si="170"/>
        <v/>
      </c>
    </row>
    <row r="1317" spans="1:23">
      <c r="A1317">
        <f>'IPTV US'!A1308</f>
        <v>0</v>
      </c>
      <c r="B1317" t="str">
        <f>T('IPTV US'!B1308)</f>
        <v/>
      </c>
      <c r="C1317" t="s">
        <v>4290</v>
      </c>
      <c r="D1317" t="str">
        <f t="shared" si="165"/>
        <v/>
      </c>
      <c r="E1317" t="str">
        <f t="shared" si="166"/>
        <v/>
      </c>
      <c r="F1317" s="68" t="s">
        <v>4289</v>
      </c>
      <c r="G1317">
        <f>'IPTV CA'!A1308</f>
        <v>0</v>
      </c>
      <c r="H1317" t="str">
        <f>T('IPTV CA'!B1308)</f>
        <v/>
      </c>
      <c r="I1317" t="s">
        <v>4290</v>
      </c>
      <c r="J1317" t="str">
        <f t="shared" si="167"/>
        <v/>
      </c>
      <c r="K1317" t="str">
        <f t="shared" si="164"/>
        <v/>
      </c>
      <c r="L1317" s="69"/>
      <c r="M1317">
        <f>'TMIS US'!A1308</f>
        <v>0</v>
      </c>
      <c r="N1317" t="str">
        <f>T('TMIS US'!B1308)</f>
        <v/>
      </c>
      <c r="O1317" t="s">
        <v>4290</v>
      </c>
      <c r="P1317" t="str">
        <f t="shared" si="168"/>
        <v/>
      </c>
      <c r="Q1317" t="str">
        <f t="shared" si="169"/>
        <v/>
      </c>
      <c r="R1317" s="69"/>
      <c r="S1317">
        <f>'TMIS CA'!A1308</f>
        <v>0</v>
      </c>
      <c r="T1317" t="str">
        <f>T('TMIS CA'!B1308)</f>
        <v/>
      </c>
      <c r="U1317" t="s">
        <v>4290</v>
      </c>
      <c r="V1317" t="str">
        <f t="shared" si="171"/>
        <v/>
      </c>
      <c r="W1317" t="str">
        <f t="shared" si="170"/>
        <v/>
      </c>
    </row>
    <row r="1318" spans="1:23">
      <c r="A1318">
        <f>'IPTV US'!A1309</f>
        <v>0</v>
      </c>
      <c r="B1318" t="str">
        <f>T('IPTV US'!B1309)</f>
        <v/>
      </c>
      <c r="C1318" t="s">
        <v>4290</v>
      </c>
      <c r="D1318" t="str">
        <f t="shared" si="165"/>
        <v/>
      </c>
      <c r="E1318" t="str">
        <f t="shared" si="166"/>
        <v/>
      </c>
      <c r="F1318" s="68" t="s">
        <v>4289</v>
      </c>
      <c r="G1318">
        <f>'IPTV CA'!A1309</f>
        <v>0</v>
      </c>
      <c r="H1318" t="str">
        <f>T('IPTV CA'!B1309)</f>
        <v/>
      </c>
      <c r="I1318" t="s">
        <v>4290</v>
      </c>
      <c r="J1318" t="str">
        <f t="shared" si="167"/>
        <v/>
      </c>
      <c r="K1318" t="str">
        <f t="shared" si="164"/>
        <v/>
      </c>
      <c r="L1318" s="69"/>
      <c r="M1318">
        <f>'TMIS US'!A1309</f>
        <v>0</v>
      </c>
      <c r="N1318" t="str">
        <f>T('TMIS US'!B1309)</f>
        <v/>
      </c>
      <c r="O1318" t="s">
        <v>4290</v>
      </c>
      <c r="P1318" t="str">
        <f t="shared" si="168"/>
        <v/>
      </c>
      <c r="Q1318" t="str">
        <f t="shared" si="169"/>
        <v/>
      </c>
      <c r="R1318" s="69"/>
      <c r="S1318">
        <f>'TMIS CA'!A1309</f>
        <v>0</v>
      </c>
      <c r="T1318" t="str">
        <f>T('TMIS CA'!B1309)</f>
        <v/>
      </c>
      <c r="U1318" t="s">
        <v>4290</v>
      </c>
      <c r="V1318" t="str">
        <f t="shared" si="171"/>
        <v/>
      </c>
      <c r="W1318" t="str">
        <f t="shared" si="170"/>
        <v/>
      </c>
    </row>
    <row r="1319" spans="1:23">
      <c r="A1319">
        <f>'IPTV US'!A1310</f>
        <v>0</v>
      </c>
      <c r="B1319" t="str">
        <f>T('IPTV US'!B1310)</f>
        <v/>
      </c>
      <c r="C1319" t="s">
        <v>4290</v>
      </c>
      <c r="D1319" t="str">
        <f t="shared" si="165"/>
        <v/>
      </c>
      <c r="E1319" t="str">
        <f t="shared" si="166"/>
        <v/>
      </c>
      <c r="F1319" s="68" t="s">
        <v>4289</v>
      </c>
      <c r="G1319">
        <f>'IPTV CA'!A1310</f>
        <v>0</v>
      </c>
      <c r="H1319" t="str">
        <f>T('IPTV CA'!B1310)</f>
        <v/>
      </c>
      <c r="I1319" t="s">
        <v>4290</v>
      </c>
      <c r="J1319" t="str">
        <f t="shared" si="167"/>
        <v/>
      </c>
      <c r="K1319" t="str">
        <f t="shared" si="164"/>
        <v/>
      </c>
      <c r="L1319" s="69"/>
      <c r="M1319">
        <f>'TMIS US'!A1310</f>
        <v>0</v>
      </c>
      <c r="N1319" t="str">
        <f>T('TMIS US'!B1310)</f>
        <v/>
      </c>
      <c r="O1319" t="s">
        <v>4290</v>
      </c>
      <c r="P1319" t="str">
        <f t="shared" si="168"/>
        <v/>
      </c>
      <c r="Q1319" t="str">
        <f t="shared" si="169"/>
        <v/>
      </c>
      <c r="R1319" s="69"/>
      <c r="S1319">
        <f>'TMIS CA'!A1310</f>
        <v>0</v>
      </c>
      <c r="T1319" t="str">
        <f>T('TMIS CA'!B1310)</f>
        <v/>
      </c>
      <c r="U1319" t="s">
        <v>4290</v>
      </c>
      <c r="V1319" t="str">
        <f t="shared" si="171"/>
        <v/>
      </c>
      <c r="W1319" t="str">
        <f t="shared" si="170"/>
        <v/>
      </c>
    </row>
    <row r="1320" spans="1:23">
      <c r="A1320">
        <f>'IPTV US'!A1311</f>
        <v>0</v>
      </c>
      <c r="B1320" t="str">
        <f>T('IPTV US'!B1311)</f>
        <v/>
      </c>
      <c r="C1320" t="s">
        <v>4290</v>
      </c>
      <c r="D1320" t="str">
        <f t="shared" si="165"/>
        <v/>
      </c>
      <c r="E1320" t="str">
        <f t="shared" si="166"/>
        <v/>
      </c>
      <c r="F1320" s="68" t="s">
        <v>4289</v>
      </c>
      <c r="G1320">
        <f>'IPTV CA'!A1311</f>
        <v>0</v>
      </c>
      <c r="H1320" t="str">
        <f>T('IPTV CA'!B1311)</f>
        <v/>
      </c>
      <c r="I1320" t="s">
        <v>4290</v>
      </c>
      <c r="J1320" t="str">
        <f t="shared" si="167"/>
        <v/>
      </c>
      <c r="K1320" t="str">
        <f t="shared" si="164"/>
        <v/>
      </c>
      <c r="L1320" s="69"/>
      <c r="M1320">
        <f>'TMIS US'!A1311</f>
        <v>0</v>
      </c>
      <c r="N1320" t="str">
        <f>T('TMIS US'!B1311)</f>
        <v/>
      </c>
      <c r="O1320" t="s">
        <v>4290</v>
      </c>
      <c r="P1320" t="str">
        <f t="shared" si="168"/>
        <v/>
      </c>
      <c r="Q1320" t="str">
        <f t="shared" si="169"/>
        <v/>
      </c>
      <c r="R1320" s="69"/>
      <c r="S1320">
        <f>'TMIS CA'!A1311</f>
        <v>0</v>
      </c>
      <c r="T1320" t="str">
        <f>T('TMIS CA'!B1311)</f>
        <v/>
      </c>
      <c r="U1320" t="s">
        <v>4290</v>
      </c>
      <c r="V1320" t="str">
        <f t="shared" si="171"/>
        <v/>
      </c>
      <c r="W1320" t="str">
        <f t="shared" si="170"/>
        <v/>
      </c>
    </row>
    <row r="1321" spans="1:23">
      <c r="A1321">
        <f>'IPTV US'!A1312</f>
        <v>0</v>
      </c>
      <c r="B1321" t="str">
        <f>T('IPTV US'!B1312)</f>
        <v/>
      </c>
      <c r="C1321" t="s">
        <v>4290</v>
      </c>
      <c r="D1321" t="str">
        <f t="shared" si="165"/>
        <v/>
      </c>
      <c r="E1321" t="str">
        <f t="shared" si="166"/>
        <v/>
      </c>
      <c r="F1321" s="68" t="s">
        <v>4289</v>
      </c>
      <c r="G1321">
        <f>'IPTV CA'!A1312</f>
        <v>0</v>
      </c>
      <c r="H1321" t="str">
        <f>T('IPTV CA'!B1312)</f>
        <v/>
      </c>
      <c r="I1321" t="s">
        <v>4290</v>
      </c>
      <c r="J1321" t="str">
        <f t="shared" si="167"/>
        <v/>
      </c>
      <c r="K1321" t="str">
        <f t="shared" si="164"/>
        <v/>
      </c>
      <c r="L1321" s="69"/>
      <c r="M1321">
        <f>'TMIS US'!A1312</f>
        <v>0</v>
      </c>
      <c r="N1321" t="str">
        <f>T('TMIS US'!B1312)</f>
        <v/>
      </c>
      <c r="O1321" t="s">
        <v>4290</v>
      </c>
      <c r="P1321" t="str">
        <f t="shared" si="168"/>
        <v/>
      </c>
      <c r="Q1321" t="str">
        <f t="shared" si="169"/>
        <v/>
      </c>
      <c r="R1321" s="69"/>
      <c r="S1321">
        <f>'TMIS CA'!A1312</f>
        <v>0</v>
      </c>
      <c r="T1321" t="str">
        <f>T('TMIS CA'!B1312)</f>
        <v/>
      </c>
      <c r="U1321" t="s">
        <v>4290</v>
      </c>
      <c r="V1321" t="str">
        <f t="shared" si="171"/>
        <v/>
      </c>
      <c r="W1321" t="str">
        <f t="shared" si="170"/>
        <v/>
      </c>
    </row>
    <row r="1322" spans="1:23">
      <c r="A1322">
        <f>'IPTV US'!A1313</f>
        <v>0</v>
      </c>
      <c r="B1322" t="str">
        <f>T('IPTV US'!B1313)</f>
        <v/>
      </c>
      <c r="C1322" t="s">
        <v>4290</v>
      </c>
      <c r="D1322" t="str">
        <f t="shared" si="165"/>
        <v/>
      </c>
      <c r="E1322" t="str">
        <f t="shared" si="166"/>
        <v/>
      </c>
      <c r="F1322" s="68" t="s">
        <v>4289</v>
      </c>
      <c r="G1322">
        <f>'IPTV CA'!A1313</f>
        <v>0</v>
      </c>
      <c r="H1322" t="str">
        <f>T('IPTV CA'!B1313)</f>
        <v/>
      </c>
      <c r="I1322" t="s">
        <v>4290</v>
      </c>
      <c r="J1322" t="str">
        <f t="shared" si="167"/>
        <v/>
      </c>
      <c r="K1322" t="str">
        <f t="shared" si="164"/>
        <v/>
      </c>
      <c r="L1322" s="69"/>
      <c r="M1322">
        <f>'TMIS US'!A1313</f>
        <v>0</v>
      </c>
      <c r="N1322" t="str">
        <f>T('TMIS US'!B1313)</f>
        <v/>
      </c>
      <c r="O1322" t="s">
        <v>4290</v>
      </c>
      <c r="P1322" t="str">
        <f t="shared" si="168"/>
        <v/>
      </c>
      <c r="Q1322" t="str">
        <f t="shared" si="169"/>
        <v/>
      </c>
      <c r="R1322" s="69"/>
      <c r="S1322">
        <f>'TMIS CA'!A1313</f>
        <v>0</v>
      </c>
      <c r="T1322" t="str">
        <f>T('TMIS CA'!B1313)</f>
        <v/>
      </c>
      <c r="U1322" t="s">
        <v>4290</v>
      </c>
      <c r="V1322" t="str">
        <f t="shared" si="171"/>
        <v/>
      </c>
      <c r="W1322" t="str">
        <f t="shared" si="170"/>
        <v/>
      </c>
    </row>
    <row r="1323" spans="1:23">
      <c r="A1323">
        <f>'IPTV US'!A1314</f>
        <v>0</v>
      </c>
      <c r="B1323" t="str">
        <f>T('IPTV US'!B1314)</f>
        <v/>
      </c>
      <c r="C1323" t="s">
        <v>4290</v>
      </c>
      <c r="D1323" t="str">
        <f t="shared" si="165"/>
        <v/>
      </c>
      <c r="E1323" t="str">
        <f t="shared" si="166"/>
        <v/>
      </c>
      <c r="F1323" s="68" t="s">
        <v>4289</v>
      </c>
      <c r="G1323">
        <f>'IPTV CA'!A1314</f>
        <v>0</v>
      </c>
      <c r="H1323" t="str">
        <f>T('IPTV CA'!B1314)</f>
        <v/>
      </c>
      <c r="I1323" t="s">
        <v>4290</v>
      </c>
      <c r="J1323" t="str">
        <f t="shared" si="167"/>
        <v/>
      </c>
      <c r="K1323" t="str">
        <f t="shared" si="164"/>
        <v/>
      </c>
      <c r="L1323" s="69"/>
      <c r="M1323">
        <f>'TMIS US'!A1314</f>
        <v>0</v>
      </c>
      <c r="N1323" t="str">
        <f>T('TMIS US'!B1314)</f>
        <v/>
      </c>
      <c r="O1323" t="s">
        <v>4290</v>
      </c>
      <c r="P1323" t="str">
        <f t="shared" si="168"/>
        <v/>
      </c>
      <c r="Q1323" t="str">
        <f t="shared" si="169"/>
        <v/>
      </c>
      <c r="R1323" s="69"/>
      <c r="S1323">
        <f>'TMIS CA'!A1314</f>
        <v>0</v>
      </c>
      <c r="T1323" t="str">
        <f>T('TMIS CA'!B1314)</f>
        <v/>
      </c>
      <c r="U1323" t="s">
        <v>4290</v>
      </c>
      <c r="V1323" t="str">
        <f t="shared" si="171"/>
        <v/>
      </c>
      <c r="W1323" t="str">
        <f t="shared" si="170"/>
        <v/>
      </c>
    </row>
    <row r="1324" spans="1:23">
      <c r="A1324">
        <f>'IPTV US'!A1315</f>
        <v>0</v>
      </c>
      <c r="B1324" t="str">
        <f>T('IPTV US'!B1315)</f>
        <v/>
      </c>
      <c r="C1324" t="s">
        <v>4290</v>
      </c>
      <c r="D1324" t="str">
        <f t="shared" si="165"/>
        <v/>
      </c>
      <c r="E1324" t="str">
        <f t="shared" si="166"/>
        <v/>
      </c>
      <c r="F1324" s="68" t="s">
        <v>4289</v>
      </c>
      <c r="G1324">
        <f>'IPTV CA'!A1315</f>
        <v>0</v>
      </c>
      <c r="H1324" t="str">
        <f>T('IPTV CA'!B1315)</f>
        <v/>
      </c>
      <c r="I1324" t="s">
        <v>4290</v>
      </c>
      <c r="J1324" t="str">
        <f t="shared" si="167"/>
        <v/>
      </c>
      <c r="K1324" t="str">
        <f t="shared" si="164"/>
        <v/>
      </c>
      <c r="L1324" s="69"/>
      <c r="M1324">
        <f>'TMIS US'!A1315</f>
        <v>0</v>
      </c>
      <c r="N1324" t="str">
        <f>T('TMIS US'!B1315)</f>
        <v/>
      </c>
      <c r="O1324" t="s">
        <v>4290</v>
      </c>
      <c r="P1324" t="str">
        <f t="shared" si="168"/>
        <v/>
      </c>
      <c r="Q1324" t="str">
        <f t="shared" si="169"/>
        <v/>
      </c>
      <c r="R1324" s="69"/>
      <c r="S1324">
        <f>'TMIS CA'!A1315</f>
        <v>0</v>
      </c>
      <c r="T1324" t="str">
        <f>T('TMIS CA'!B1315)</f>
        <v/>
      </c>
      <c r="U1324" t="s">
        <v>4290</v>
      </c>
      <c r="V1324" t="str">
        <f t="shared" si="171"/>
        <v/>
      </c>
      <c r="W1324" t="str">
        <f t="shared" si="170"/>
        <v/>
      </c>
    </row>
    <row r="1325" spans="1:23">
      <c r="A1325">
        <f>'IPTV US'!A1316</f>
        <v>0</v>
      </c>
      <c r="B1325" t="str">
        <f>T('IPTV US'!B1316)</f>
        <v/>
      </c>
      <c r="C1325" t="s">
        <v>4290</v>
      </c>
      <c r="D1325" t="str">
        <f t="shared" si="165"/>
        <v/>
      </c>
      <c r="E1325" t="str">
        <f t="shared" si="166"/>
        <v/>
      </c>
      <c r="F1325" s="68" t="s">
        <v>4289</v>
      </c>
      <c r="G1325">
        <f>'IPTV CA'!A1316</f>
        <v>0</v>
      </c>
      <c r="H1325" t="str">
        <f>T('IPTV CA'!B1316)</f>
        <v/>
      </c>
      <c r="I1325" t="s">
        <v>4290</v>
      </c>
      <c r="J1325" t="str">
        <f t="shared" si="167"/>
        <v/>
      </c>
      <c r="K1325" t="str">
        <f t="shared" ref="K1325:K1388" si="172">IF(I1325="Vacant",IF(H1325="","","Please Notify - Channel Added"),"")</f>
        <v/>
      </c>
      <c r="L1325" s="69"/>
      <c r="M1325">
        <f>'TMIS US'!A1316</f>
        <v>0</v>
      </c>
      <c r="N1325" t="str">
        <f>T('TMIS US'!B1316)</f>
        <v/>
      </c>
      <c r="O1325" t="s">
        <v>4290</v>
      </c>
      <c r="P1325" t="str">
        <f t="shared" si="168"/>
        <v/>
      </c>
      <c r="Q1325" t="str">
        <f t="shared" si="169"/>
        <v/>
      </c>
      <c r="R1325" s="69"/>
      <c r="S1325">
        <f>'TMIS CA'!A1316</f>
        <v>0</v>
      </c>
      <c r="T1325" t="str">
        <f>T('TMIS CA'!B1316)</f>
        <v/>
      </c>
      <c r="U1325" t="s">
        <v>4290</v>
      </c>
      <c r="V1325" t="str">
        <f t="shared" si="171"/>
        <v/>
      </c>
      <c r="W1325" t="str">
        <f t="shared" si="170"/>
        <v/>
      </c>
    </row>
    <row r="1326" spans="1:23">
      <c r="A1326">
        <f>'IPTV US'!A1317</f>
        <v>0</v>
      </c>
      <c r="B1326" t="str">
        <f>T('IPTV US'!B1317)</f>
        <v/>
      </c>
      <c r="C1326" t="s">
        <v>4290</v>
      </c>
      <c r="D1326" t="str">
        <f t="shared" si="165"/>
        <v/>
      </c>
      <c r="E1326" t="str">
        <f t="shared" si="166"/>
        <v/>
      </c>
      <c r="F1326" s="68" t="s">
        <v>4289</v>
      </c>
      <c r="G1326">
        <f>'IPTV CA'!A1317</f>
        <v>0</v>
      </c>
      <c r="H1326" t="str">
        <f>T('IPTV CA'!B1317)</f>
        <v/>
      </c>
      <c r="I1326" t="s">
        <v>4290</v>
      </c>
      <c r="J1326" t="str">
        <f t="shared" si="167"/>
        <v/>
      </c>
      <c r="K1326" t="str">
        <f t="shared" si="172"/>
        <v/>
      </c>
      <c r="L1326" s="69"/>
      <c r="M1326">
        <f>'TMIS US'!A1317</f>
        <v>0</v>
      </c>
      <c r="N1326" t="str">
        <f>T('TMIS US'!B1317)</f>
        <v/>
      </c>
      <c r="O1326" t="s">
        <v>4290</v>
      </c>
      <c r="P1326" t="str">
        <f t="shared" si="168"/>
        <v/>
      </c>
      <c r="Q1326" t="str">
        <f t="shared" si="169"/>
        <v/>
      </c>
      <c r="R1326" s="69"/>
      <c r="S1326">
        <f>'TMIS CA'!A1317</f>
        <v>0</v>
      </c>
      <c r="T1326" t="str">
        <f>T('TMIS CA'!B1317)</f>
        <v/>
      </c>
      <c r="U1326" t="s">
        <v>4290</v>
      </c>
      <c r="V1326" t="str">
        <f t="shared" si="171"/>
        <v/>
      </c>
      <c r="W1326" t="str">
        <f t="shared" si="170"/>
        <v/>
      </c>
    </row>
    <row r="1327" spans="1:23">
      <c r="A1327">
        <f>'IPTV US'!A1318</f>
        <v>0</v>
      </c>
      <c r="B1327" t="str">
        <f>T('IPTV US'!B1318)</f>
        <v/>
      </c>
      <c r="C1327" t="s">
        <v>4290</v>
      </c>
      <c r="D1327" t="str">
        <f t="shared" si="165"/>
        <v/>
      </c>
      <c r="E1327" t="str">
        <f t="shared" si="166"/>
        <v/>
      </c>
      <c r="F1327" s="68" t="s">
        <v>4289</v>
      </c>
      <c r="G1327">
        <f>'IPTV CA'!A1318</f>
        <v>0</v>
      </c>
      <c r="H1327" t="str">
        <f>T('IPTV CA'!B1318)</f>
        <v/>
      </c>
      <c r="I1327" t="s">
        <v>4290</v>
      </c>
      <c r="J1327" t="str">
        <f t="shared" si="167"/>
        <v/>
      </c>
      <c r="K1327" t="str">
        <f t="shared" si="172"/>
        <v/>
      </c>
      <c r="L1327" s="69"/>
      <c r="M1327">
        <f>'TMIS US'!A1318</f>
        <v>0</v>
      </c>
      <c r="N1327" t="str">
        <f>T('TMIS US'!B1318)</f>
        <v/>
      </c>
      <c r="O1327" t="s">
        <v>4290</v>
      </c>
      <c r="P1327" t="str">
        <f t="shared" si="168"/>
        <v/>
      </c>
      <c r="Q1327" t="str">
        <f t="shared" si="169"/>
        <v/>
      </c>
      <c r="R1327" s="69"/>
      <c r="S1327">
        <f>'TMIS CA'!A1318</f>
        <v>0</v>
      </c>
      <c r="T1327" t="str">
        <f>T('TMIS CA'!B1318)</f>
        <v/>
      </c>
      <c r="U1327" t="s">
        <v>4290</v>
      </c>
      <c r="V1327" t="str">
        <f t="shared" si="171"/>
        <v/>
      </c>
      <c r="W1327" t="str">
        <f t="shared" si="170"/>
        <v/>
      </c>
    </row>
    <row r="1328" spans="1:23">
      <c r="A1328">
        <f>'IPTV US'!A1319</f>
        <v>0</v>
      </c>
      <c r="B1328" t="str">
        <f>T('IPTV US'!B1319)</f>
        <v/>
      </c>
      <c r="C1328" t="s">
        <v>4290</v>
      </c>
      <c r="D1328" t="str">
        <f t="shared" si="165"/>
        <v/>
      </c>
      <c r="E1328" t="str">
        <f t="shared" si="166"/>
        <v/>
      </c>
      <c r="F1328" s="68" t="s">
        <v>4289</v>
      </c>
      <c r="G1328">
        <f>'IPTV CA'!A1319</f>
        <v>0</v>
      </c>
      <c r="H1328" t="str">
        <f>T('IPTV CA'!B1319)</f>
        <v/>
      </c>
      <c r="I1328" t="s">
        <v>4290</v>
      </c>
      <c r="J1328" t="str">
        <f t="shared" si="167"/>
        <v/>
      </c>
      <c r="K1328" t="str">
        <f t="shared" si="172"/>
        <v/>
      </c>
      <c r="L1328" s="69"/>
      <c r="M1328">
        <f>'TMIS US'!A1319</f>
        <v>0</v>
      </c>
      <c r="N1328" t="str">
        <f>T('TMIS US'!B1319)</f>
        <v/>
      </c>
      <c r="O1328" t="s">
        <v>4290</v>
      </c>
      <c r="P1328" t="str">
        <f t="shared" si="168"/>
        <v/>
      </c>
      <c r="Q1328" t="str">
        <f t="shared" si="169"/>
        <v/>
      </c>
      <c r="R1328" s="69"/>
      <c r="S1328">
        <f>'TMIS CA'!A1319</f>
        <v>0</v>
      </c>
      <c r="T1328" t="str">
        <f>T('TMIS CA'!B1319)</f>
        <v/>
      </c>
      <c r="U1328" t="s">
        <v>4290</v>
      </c>
      <c r="V1328" t="str">
        <f t="shared" si="171"/>
        <v/>
      </c>
      <c r="W1328" t="str">
        <f t="shared" si="170"/>
        <v/>
      </c>
    </row>
    <row r="1329" spans="1:23">
      <c r="A1329">
        <f>'IPTV US'!A1320</f>
        <v>0</v>
      </c>
      <c r="B1329" t="str">
        <f>T('IPTV US'!B1320)</f>
        <v/>
      </c>
      <c r="C1329" t="s">
        <v>4290</v>
      </c>
      <c r="D1329" t="str">
        <f t="shared" si="165"/>
        <v/>
      </c>
      <c r="E1329" t="str">
        <f t="shared" si="166"/>
        <v/>
      </c>
      <c r="F1329" s="68" t="s">
        <v>4289</v>
      </c>
      <c r="G1329">
        <f>'IPTV CA'!A1320</f>
        <v>0</v>
      </c>
      <c r="H1329" t="str">
        <f>T('IPTV CA'!B1320)</f>
        <v/>
      </c>
      <c r="I1329" t="s">
        <v>4290</v>
      </c>
      <c r="J1329" t="str">
        <f t="shared" si="167"/>
        <v/>
      </c>
      <c r="K1329" t="str">
        <f t="shared" si="172"/>
        <v/>
      </c>
      <c r="L1329" s="69"/>
      <c r="M1329">
        <f>'TMIS US'!A1320</f>
        <v>0</v>
      </c>
      <c r="N1329" t="str">
        <f>T('TMIS US'!B1320)</f>
        <v/>
      </c>
      <c r="O1329" t="s">
        <v>4290</v>
      </c>
      <c r="P1329" t="str">
        <f t="shared" si="168"/>
        <v/>
      </c>
      <c r="Q1329" t="str">
        <f t="shared" si="169"/>
        <v/>
      </c>
      <c r="R1329" s="69"/>
      <c r="S1329">
        <f>'TMIS CA'!A1320</f>
        <v>0</v>
      </c>
      <c r="T1329" t="str">
        <f>T('TMIS CA'!B1320)</f>
        <v/>
      </c>
      <c r="U1329" t="s">
        <v>4290</v>
      </c>
      <c r="V1329" t="str">
        <f t="shared" si="171"/>
        <v/>
      </c>
      <c r="W1329" t="str">
        <f t="shared" si="170"/>
        <v/>
      </c>
    </row>
    <row r="1330" spans="1:23">
      <c r="A1330">
        <f>'IPTV US'!A1321</f>
        <v>0</v>
      </c>
      <c r="B1330" t="str">
        <f>T('IPTV US'!B1321)</f>
        <v/>
      </c>
      <c r="C1330" t="s">
        <v>4290</v>
      </c>
      <c r="D1330" t="str">
        <f t="shared" si="165"/>
        <v/>
      </c>
      <c r="E1330" t="str">
        <f t="shared" si="166"/>
        <v/>
      </c>
      <c r="F1330" s="68" t="s">
        <v>4289</v>
      </c>
      <c r="G1330">
        <f>'IPTV CA'!A1321</f>
        <v>0</v>
      </c>
      <c r="H1330" t="str">
        <f>T('IPTV CA'!B1321)</f>
        <v/>
      </c>
      <c r="I1330" t="s">
        <v>4290</v>
      </c>
      <c r="J1330" t="str">
        <f t="shared" si="167"/>
        <v/>
      </c>
      <c r="K1330" t="str">
        <f t="shared" si="172"/>
        <v/>
      </c>
      <c r="L1330" s="69"/>
      <c r="M1330">
        <f>'TMIS US'!A1321</f>
        <v>0</v>
      </c>
      <c r="N1330" t="str">
        <f>T('TMIS US'!B1321)</f>
        <v/>
      </c>
      <c r="O1330" t="s">
        <v>4290</v>
      </c>
      <c r="P1330" t="str">
        <f t="shared" si="168"/>
        <v/>
      </c>
      <c r="Q1330" t="str">
        <f t="shared" si="169"/>
        <v/>
      </c>
      <c r="R1330" s="69"/>
      <c r="S1330">
        <f>'TMIS CA'!A1321</f>
        <v>0</v>
      </c>
      <c r="T1330" t="str">
        <f>T('TMIS CA'!B1321)</f>
        <v/>
      </c>
      <c r="U1330" t="s">
        <v>4290</v>
      </c>
      <c r="V1330" t="str">
        <f t="shared" si="171"/>
        <v/>
      </c>
      <c r="W1330" t="str">
        <f t="shared" si="170"/>
        <v/>
      </c>
    </row>
    <row r="1331" spans="1:23">
      <c r="A1331">
        <f>'IPTV US'!A1322</f>
        <v>0</v>
      </c>
      <c r="B1331" t="str">
        <f>T('IPTV US'!B1322)</f>
        <v/>
      </c>
      <c r="C1331" t="s">
        <v>4290</v>
      </c>
      <c r="D1331" t="str">
        <f t="shared" si="165"/>
        <v/>
      </c>
      <c r="E1331" t="str">
        <f t="shared" si="166"/>
        <v/>
      </c>
      <c r="F1331" s="68" t="s">
        <v>4289</v>
      </c>
      <c r="G1331">
        <f>'IPTV CA'!A1322</f>
        <v>0</v>
      </c>
      <c r="H1331" t="str">
        <f>T('IPTV CA'!B1322)</f>
        <v/>
      </c>
      <c r="I1331" t="s">
        <v>4290</v>
      </c>
      <c r="J1331" t="str">
        <f t="shared" si="167"/>
        <v/>
      </c>
      <c r="K1331" t="str">
        <f t="shared" si="172"/>
        <v/>
      </c>
      <c r="L1331" s="69"/>
      <c r="M1331">
        <f>'TMIS US'!A1322</f>
        <v>0</v>
      </c>
      <c r="N1331" t="str">
        <f>T('TMIS US'!B1322)</f>
        <v/>
      </c>
      <c r="O1331" t="s">
        <v>4290</v>
      </c>
      <c r="P1331" t="str">
        <f t="shared" si="168"/>
        <v/>
      </c>
      <c r="Q1331" t="str">
        <f t="shared" si="169"/>
        <v/>
      </c>
      <c r="R1331" s="69"/>
      <c r="S1331">
        <f>'TMIS CA'!A1322</f>
        <v>0</v>
      </c>
      <c r="T1331" t="str">
        <f>T('TMIS CA'!B1322)</f>
        <v/>
      </c>
      <c r="U1331" t="s">
        <v>4290</v>
      </c>
      <c r="V1331" t="str">
        <f t="shared" si="171"/>
        <v/>
      </c>
      <c r="W1331" t="str">
        <f t="shared" si="170"/>
        <v/>
      </c>
    </row>
    <row r="1332" spans="1:23">
      <c r="A1332">
        <f>'IPTV US'!A1323</f>
        <v>0</v>
      </c>
      <c r="B1332" t="str">
        <f>T('IPTV US'!B1323)</f>
        <v/>
      </c>
      <c r="C1332" t="s">
        <v>4290</v>
      </c>
      <c r="D1332" t="str">
        <f t="shared" si="165"/>
        <v/>
      </c>
      <c r="E1332" t="str">
        <f t="shared" si="166"/>
        <v/>
      </c>
      <c r="F1332" s="68" t="s">
        <v>4289</v>
      </c>
      <c r="G1332">
        <f>'IPTV CA'!A1323</f>
        <v>0</v>
      </c>
      <c r="H1332" t="str">
        <f>T('IPTV CA'!B1323)</f>
        <v/>
      </c>
      <c r="I1332" t="s">
        <v>4290</v>
      </c>
      <c r="J1332" t="str">
        <f t="shared" si="167"/>
        <v/>
      </c>
      <c r="K1332" t="str">
        <f t="shared" si="172"/>
        <v/>
      </c>
      <c r="L1332" s="69"/>
      <c r="M1332">
        <f>'TMIS US'!A1323</f>
        <v>0</v>
      </c>
      <c r="N1332" t="str">
        <f>T('TMIS US'!B1323)</f>
        <v/>
      </c>
      <c r="O1332" t="s">
        <v>4290</v>
      </c>
      <c r="P1332" t="str">
        <f t="shared" si="168"/>
        <v/>
      </c>
      <c r="Q1332" t="str">
        <f t="shared" si="169"/>
        <v/>
      </c>
      <c r="R1332" s="69"/>
      <c r="S1332">
        <f>'TMIS CA'!A1323</f>
        <v>0</v>
      </c>
      <c r="T1332" t="str">
        <f>T('TMIS CA'!B1323)</f>
        <v/>
      </c>
      <c r="U1332" t="s">
        <v>4290</v>
      </c>
      <c r="V1332" t="str">
        <f t="shared" si="171"/>
        <v/>
      </c>
      <c r="W1332" t="str">
        <f t="shared" si="170"/>
        <v/>
      </c>
    </row>
    <row r="1333" spans="1:23">
      <c r="A1333">
        <f>'IPTV US'!A1324</f>
        <v>0</v>
      </c>
      <c r="B1333" t="str">
        <f>T('IPTV US'!B1324)</f>
        <v/>
      </c>
      <c r="C1333" t="s">
        <v>4290</v>
      </c>
      <c r="D1333" t="str">
        <f t="shared" si="165"/>
        <v/>
      </c>
      <c r="E1333" t="str">
        <f t="shared" si="166"/>
        <v/>
      </c>
      <c r="F1333" s="68" t="s">
        <v>4289</v>
      </c>
      <c r="G1333">
        <f>'IPTV CA'!A1324</f>
        <v>0</v>
      </c>
      <c r="H1333" t="str">
        <f>T('IPTV CA'!B1324)</f>
        <v/>
      </c>
      <c r="I1333" t="s">
        <v>4290</v>
      </c>
      <c r="J1333" t="str">
        <f t="shared" si="167"/>
        <v/>
      </c>
      <c r="K1333" t="str">
        <f t="shared" si="172"/>
        <v/>
      </c>
      <c r="L1333" s="69"/>
      <c r="M1333">
        <f>'TMIS US'!A1324</f>
        <v>0</v>
      </c>
      <c r="N1333" t="str">
        <f>T('TMIS US'!B1324)</f>
        <v/>
      </c>
      <c r="O1333" t="s">
        <v>4290</v>
      </c>
      <c r="P1333" t="str">
        <f t="shared" si="168"/>
        <v/>
      </c>
      <c r="Q1333" t="str">
        <f t="shared" si="169"/>
        <v/>
      </c>
      <c r="R1333" s="69"/>
      <c r="S1333">
        <f>'TMIS CA'!A1324</f>
        <v>0</v>
      </c>
      <c r="T1333" t="str">
        <f>T('TMIS CA'!B1324)</f>
        <v/>
      </c>
      <c r="U1333" t="s">
        <v>4290</v>
      </c>
      <c r="V1333" t="str">
        <f t="shared" si="171"/>
        <v/>
      </c>
      <c r="W1333" t="str">
        <f t="shared" si="170"/>
        <v/>
      </c>
    </row>
    <row r="1334" spans="1:23">
      <c r="A1334">
        <f>'IPTV US'!A1325</f>
        <v>0</v>
      </c>
      <c r="B1334" t="str">
        <f>T('IPTV US'!B1325)</f>
        <v/>
      </c>
      <c r="C1334" t="s">
        <v>4290</v>
      </c>
      <c r="D1334" t="str">
        <f t="shared" si="165"/>
        <v/>
      </c>
      <c r="E1334" t="str">
        <f t="shared" si="166"/>
        <v/>
      </c>
      <c r="F1334" s="68" t="s">
        <v>4289</v>
      </c>
      <c r="G1334">
        <f>'IPTV CA'!A1325</f>
        <v>0</v>
      </c>
      <c r="H1334" t="str">
        <f>T('IPTV CA'!B1325)</f>
        <v/>
      </c>
      <c r="I1334" t="s">
        <v>4290</v>
      </c>
      <c r="J1334" t="str">
        <f t="shared" si="167"/>
        <v/>
      </c>
      <c r="K1334" t="str">
        <f t="shared" si="172"/>
        <v/>
      </c>
      <c r="L1334" s="69"/>
      <c r="M1334">
        <f>'TMIS US'!A1325</f>
        <v>0</v>
      </c>
      <c r="N1334" t="str">
        <f>T('TMIS US'!B1325)</f>
        <v/>
      </c>
      <c r="O1334" t="s">
        <v>4290</v>
      </c>
      <c r="P1334" t="str">
        <f t="shared" si="168"/>
        <v/>
      </c>
      <c r="Q1334" t="str">
        <f t="shared" si="169"/>
        <v/>
      </c>
      <c r="R1334" s="69"/>
      <c r="S1334">
        <f>'TMIS CA'!A1325</f>
        <v>0</v>
      </c>
      <c r="T1334" t="str">
        <f>T('TMIS CA'!B1325)</f>
        <v/>
      </c>
      <c r="U1334" t="s">
        <v>4290</v>
      </c>
      <c r="V1334" t="str">
        <f t="shared" si="171"/>
        <v/>
      </c>
      <c r="W1334" t="str">
        <f t="shared" si="170"/>
        <v/>
      </c>
    </row>
    <row r="1335" spans="1:23">
      <c r="A1335">
        <f>'IPTV US'!A1326</f>
        <v>0</v>
      </c>
      <c r="B1335" t="str">
        <f>T('IPTV US'!B1326)</f>
        <v/>
      </c>
      <c r="C1335" t="s">
        <v>4290</v>
      </c>
      <c r="D1335" t="str">
        <f t="shared" si="165"/>
        <v/>
      </c>
      <c r="E1335" t="str">
        <f t="shared" si="166"/>
        <v/>
      </c>
      <c r="F1335" s="68" t="s">
        <v>4289</v>
      </c>
      <c r="G1335">
        <f>'IPTV CA'!A1326</f>
        <v>0</v>
      </c>
      <c r="H1335" t="str">
        <f>T('IPTV CA'!B1326)</f>
        <v/>
      </c>
      <c r="I1335" t="s">
        <v>4290</v>
      </c>
      <c r="J1335" t="str">
        <f t="shared" si="167"/>
        <v/>
      </c>
      <c r="K1335" t="str">
        <f t="shared" si="172"/>
        <v/>
      </c>
      <c r="L1335" s="69"/>
      <c r="M1335">
        <f>'TMIS US'!A1326</f>
        <v>0</v>
      </c>
      <c r="N1335" t="str">
        <f>T('TMIS US'!B1326)</f>
        <v/>
      </c>
      <c r="O1335" t="s">
        <v>4290</v>
      </c>
      <c r="P1335" t="str">
        <f t="shared" si="168"/>
        <v/>
      </c>
      <c r="Q1335" t="str">
        <f t="shared" si="169"/>
        <v/>
      </c>
      <c r="R1335" s="69"/>
      <c r="S1335">
        <f>'TMIS CA'!A1326</f>
        <v>0</v>
      </c>
      <c r="T1335" t="str">
        <f>T('TMIS CA'!B1326)</f>
        <v/>
      </c>
      <c r="U1335" t="s">
        <v>4290</v>
      </c>
      <c r="V1335" t="str">
        <f t="shared" si="171"/>
        <v/>
      </c>
      <c r="W1335" t="str">
        <f t="shared" si="170"/>
        <v/>
      </c>
    </row>
    <row r="1336" spans="1:23">
      <c r="A1336">
        <f>'IPTV US'!A1327</f>
        <v>0</v>
      </c>
      <c r="B1336" t="str">
        <f>T('IPTV US'!B1327)</f>
        <v/>
      </c>
      <c r="C1336" t="s">
        <v>4290</v>
      </c>
      <c r="D1336" t="str">
        <f t="shared" si="165"/>
        <v/>
      </c>
      <c r="E1336" t="str">
        <f t="shared" si="166"/>
        <v/>
      </c>
      <c r="F1336" s="68" t="s">
        <v>4289</v>
      </c>
      <c r="G1336">
        <f>'IPTV CA'!A1327</f>
        <v>0</v>
      </c>
      <c r="H1336" t="str">
        <f>T('IPTV CA'!B1327)</f>
        <v/>
      </c>
      <c r="I1336" t="s">
        <v>4290</v>
      </c>
      <c r="J1336" t="str">
        <f t="shared" si="167"/>
        <v/>
      </c>
      <c r="K1336" t="str">
        <f t="shared" si="172"/>
        <v/>
      </c>
      <c r="L1336" s="69"/>
      <c r="M1336">
        <f>'TMIS US'!A1327</f>
        <v>0</v>
      </c>
      <c r="N1336" t="str">
        <f>T('TMIS US'!B1327)</f>
        <v/>
      </c>
      <c r="O1336" t="s">
        <v>4290</v>
      </c>
      <c r="P1336" t="str">
        <f t="shared" si="168"/>
        <v/>
      </c>
      <c r="Q1336" t="str">
        <f t="shared" si="169"/>
        <v/>
      </c>
      <c r="R1336" s="69"/>
      <c r="S1336">
        <f>'TMIS CA'!A1327</f>
        <v>0</v>
      </c>
      <c r="T1336" t="str">
        <f>T('TMIS CA'!B1327)</f>
        <v/>
      </c>
      <c r="U1336" t="s">
        <v>4290</v>
      </c>
      <c r="V1336" t="str">
        <f t="shared" si="171"/>
        <v/>
      </c>
      <c r="W1336" t="str">
        <f t="shared" si="170"/>
        <v/>
      </c>
    </row>
    <row r="1337" spans="1:23">
      <c r="A1337">
        <f>'IPTV US'!A1328</f>
        <v>0</v>
      </c>
      <c r="B1337" t="str">
        <f>T('IPTV US'!B1328)</f>
        <v/>
      </c>
      <c r="C1337" t="s">
        <v>4290</v>
      </c>
      <c r="D1337" t="str">
        <f t="shared" si="165"/>
        <v/>
      </c>
      <c r="E1337" t="str">
        <f t="shared" si="166"/>
        <v/>
      </c>
      <c r="F1337" s="68" t="s">
        <v>4289</v>
      </c>
      <c r="G1337">
        <f>'IPTV CA'!A1328</f>
        <v>0</v>
      </c>
      <c r="H1337" t="str">
        <f>T('IPTV CA'!B1328)</f>
        <v/>
      </c>
      <c r="I1337" t="s">
        <v>4290</v>
      </c>
      <c r="J1337" t="str">
        <f t="shared" si="167"/>
        <v/>
      </c>
      <c r="K1337" t="str">
        <f t="shared" si="172"/>
        <v/>
      </c>
      <c r="L1337" s="69"/>
      <c r="M1337">
        <f>'TMIS US'!A1328</f>
        <v>0</v>
      </c>
      <c r="N1337" t="str">
        <f>T('TMIS US'!B1328)</f>
        <v/>
      </c>
      <c r="O1337" t="s">
        <v>4290</v>
      </c>
      <c r="P1337" t="str">
        <f t="shared" si="168"/>
        <v/>
      </c>
      <c r="Q1337" t="str">
        <f t="shared" si="169"/>
        <v/>
      </c>
      <c r="R1337" s="69"/>
      <c r="S1337">
        <f>'TMIS CA'!A1328</f>
        <v>0</v>
      </c>
      <c r="T1337" t="str">
        <f>T('TMIS CA'!B1328)</f>
        <v/>
      </c>
      <c r="U1337" t="s">
        <v>4290</v>
      </c>
      <c r="V1337" t="str">
        <f t="shared" si="171"/>
        <v/>
      </c>
      <c r="W1337" t="str">
        <f t="shared" si="170"/>
        <v/>
      </c>
    </row>
    <row r="1338" spans="1:23">
      <c r="A1338">
        <f>'IPTV US'!A1329</f>
        <v>0</v>
      </c>
      <c r="B1338" t="str">
        <f>T('IPTV US'!B1329)</f>
        <v/>
      </c>
      <c r="C1338" t="s">
        <v>4290</v>
      </c>
      <c r="D1338" t="str">
        <f t="shared" si="165"/>
        <v/>
      </c>
      <c r="E1338" t="str">
        <f t="shared" si="166"/>
        <v/>
      </c>
      <c r="F1338" s="68" t="s">
        <v>4289</v>
      </c>
      <c r="G1338">
        <f>'IPTV CA'!A1329</f>
        <v>0</v>
      </c>
      <c r="H1338" t="str">
        <f>T('IPTV CA'!B1329)</f>
        <v/>
      </c>
      <c r="I1338" t="s">
        <v>4290</v>
      </c>
      <c r="J1338" t="str">
        <f t="shared" si="167"/>
        <v/>
      </c>
      <c r="K1338" t="str">
        <f t="shared" si="172"/>
        <v/>
      </c>
      <c r="L1338" s="69"/>
      <c r="M1338">
        <f>'TMIS US'!A1329</f>
        <v>0</v>
      </c>
      <c r="N1338" t="str">
        <f>T('TMIS US'!B1329)</f>
        <v/>
      </c>
      <c r="O1338" t="s">
        <v>4290</v>
      </c>
      <c r="P1338" t="str">
        <f t="shared" si="168"/>
        <v/>
      </c>
      <c r="Q1338" t="str">
        <f t="shared" si="169"/>
        <v/>
      </c>
      <c r="R1338" s="69"/>
      <c r="S1338">
        <f>'TMIS CA'!A1329</f>
        <v>0</v>
      </c>
      <c r="T1338" t="str">
        <f>T('TMIS CA'!B1329)</f>
        <v/>
      </c>
      <c r="U1338" t="s">
        <v>4290</v>
      </c>
      <c r="V1338" t="str">
        <f t="shared" si="171"/>
        <v/>
      </c>
      <c r="W1338" t="str">
        <f t="shared" si="170"/>
        <v/>
      </c>
    </row>
    <row r="1339" spans="1:23">
      <c r="A1339">
        <f>'IPTV US'!A1330</f>
        <v>0</v>
      </c>
      <c r="B1339" t="str">
        <f>T('IPTV US'!B1330)</f>
        <v/>
      </c>
      <c r="C1339" t="s">
        <v>4290</v>
      </c>
      <c r="D1339" t="str">
        <f t="shared" si="165"/>
        <v/>
      </c>
      <c r="E1339" t="str">
        <f t="shared" si="166"/>
        <v/>
      </c>
      <c r="F1339" s="68" t="s">
        <v>4289</v>
      </c>
      <c r="G1339">
        <f>'IPTV CA'!A1330</f>
        <v>0</v>
      </c>
      <c r="H1339" t="str">
        <f>T('IPTV CA'!B1330)</f>
        <v/>
      </c>
      <c r="I1339" t="s">
        <v>4290</v>
      </c>
      <c r="J1339" t="str">
        <f t="shared" si="167"/>
        <v/>
      </c>
      <c r="K1339" t="str">
        <f t="shared" si="172"/>
        <v/>
      </c>
      <c r="L1339" s="69"/>
      <c r="M1339">
        <f>'TMIS US'!A1330</f>
        <v>0</v>
      </c>
      <c r="N1339" t="str">
        <f>T('TMIS US'!B1330)</f>
        <v/>
      </c>
      <c r="O1339" t="s">
        <v>4290</v>
      </c>
      <c r="P1339" t="str">
        <f t="shared" si="168"/>
        <v/>
      </c>
      <c r="Q1339" t="str">
        <f t="shared" si="169"/>
        <v/>
      </c>
      <c r="R1339" s="69"/>
      <c r="S1339">
        <f>'TMIS CA'!A1330</f>
        <v>0</v>
      </c>
      <c r="T1339" t="str">
        <f>T('TMIS CA'!B1330)</f>
        <v/>
      </c>
      <c r="U1339" t="s">
        <v>4290</v>
      </c>
      <c r="V1339" t="str">
        <f t="shared" si="171"/>
        <v/>
      </c>
      <c r="W1339" t="str">
        <f t="shared" si="170"/>
        <v/>
      </c>
    </row>
    <row r="1340" spans="1:23">
      <c r="A1340">
        <f>'IPTV US'!A1331</f>
        <v>0</v>
      </c>
      <c r="B1340" t="str">
        <f>T('IPTV US'!B1331)</f>
        <v/>
      </c>
      <c r="C1340" t="s">
        <v>4290</v>
      </c>
      <c r="D1340" t="str">
        <f t="shared" si="165"/>
        <v/>
      </c>
      <c r="E1340" t="str">
        <f t="shared" si="166"/>
        <v/>
      </c>
      <c r="F1340" s="68" t="s">
        <v>4289</v>
      </c>
      <c r="G1340">
        <f>'IPTV CA'!A1331</f>
        <v>0</v>
      </c>
      <c r="H1340" t="str">
        <f>T('IPTV CA'!B1331)</f>
        <v/>
      </c>
      <c r="I1340" t="s">
        <v>4290</v>
      </c>
      <c r="J1340" t="str">
        <f t="shared" si="167"/>
        <v/>
      </c>
      <c r="K1340" t="str">
        <f t="shared" si="172"/>
        <v/>
      </c>
      <c r="L1340" s="69"/>
      <c r="M1340">
        <f>'TMIS US'!A1331</f>
        <v>0</v>
      </c>
      <c r="N1340" t="str">
        <f>T('TMIS US'!B1331)</f>
        <v/>
      </c>
      <c r="O1340" t="s">
        <v>4290</v>
      </c>
      <c r="P1340" t="str">
        <f t="shared" si="168"/>
        <v/>
      </c>
      <c r="Q1340" t="str">
        <f t="shared" si="169"/>
        <v/>
      </c>
      <c r="R1340" s="69"/>
      <c r="S1340">
        <f>'TMIS CA'!A1331</f>
        <v>0</v>
      </c>
      <c r="T1340" t="str">
        <f>T('TMIS CA'!B1331)</f>
        <v/>
      </c>
      <c r="U1340" t="s">
        <v>4290</v>
      </c>
      <c r="V1340" t="str">
        <f t="shared" si="171"/>
        <v/>
      </c>
      <c r="W1340" t="str">
        <f t="shared" si="170"/>
        <v/>
      </c>
    </row>
    <row r="1341" spans="1:23">
      <c r="A1341">
        <f>'IPTV US'!A1332</f>
        <v>0</v>
      </c>
      <c r="B1341" t="str">
        <f>T('IPTV US'!B1332)</f>
        <v/>
      </c>
      <c r="C1341" t="s">
        <v>4290</v>
      </c>
      <c r="D1341" t="str">
        <f t="shared" si="165"/>
        <v/>
      </c>
      <c r="E1341" t="str">
        <f t="shared" si="166"/>
        <v/>
      </c>
      <c r="F1341" s="68" t="s">
        <v>4289</v>
      </c>
      <c r="G1341">
        <f>'IPTV CA'!A1332</f>
        <v>0</v>
      </c>
      <c r="H1341" t="str">
        <f>T('IPTV CA'!B1332)</f>
        <v/>
      </c>
      <c r="I1341" t="s">
        <v>4290</v>
      </c>
      <c r="J1341" t="str">
        <f t="shared" si="167"/>
        <v/>
      </c>
      <c r="K1341" t="str">
        <f t="shared" si="172"/>
        <v/>
      </c>
      <c r="L1341" s="69"/>
      <c r="M1341">
        <f>'TMIS US'!A1332</f>
        <v>0</v>
      </c>
      <c r="N1341" t="str">
        <f>T('TMIS US'!B1332)</f>
        <v/>
      </c>
      <c r="O1341" t="s">
        <v>4290</v>
      </c>
      <c r="P1341" t="str">
        <f t="shared" si="168"/>
        <v/>
      </c>
      <c r="Q1341" t="str">
        <f t="shared" si="169"/>
        <v/>
      </c>
      <c r="R1341" s="69"/>
      <c r="S1341">
        <f>'TMIS CA'!A1332</f>
        <v>0</v>
      </c>
      <c r="T1341" t="str">
        <f>T('TMIS CA'!B1332)</f>
        <v/>
      </c>
      <c r="U1341" t="s">
        <v>4290</v>
      </c>
      <c r="V1341" t="str">
        <f t="shared" si="171"/>
        <v/>
      </c>
      <c r="W1341" t="str">
        <f t="shared" si="170"/>
        <v/>
      </c>
    </row>
    <row r="1342" spans="1:23">
      <c r="A1342">
        <f>'IPTV US'!A1333</f>
        <v>0</v>
      </c>
      <c r="B1342" t="str">
        <f>T('IPTV US'!B1333)</f>
        <v/>
      </c>
      <c r="C1342" t="s">
        <v>4290</v>
      </c>
      <c r="D1342" t="str">
        <f t="shared" si="165"/>
        <v/>
      </c>
      <c r="E1342" t="str">
        <f t="shared" si="166"/>
        <v/>
      </c>
      <c r="F1342" s="68" t="s">
        <v>4289</v>
      </c>
      <c r="G1342">
        <f>'IPTV CA'!A1333</f>
        <v>0</v>
      </c>
      <c r="H1342" t="str">
        <f>T('IPTV CA'!B1333)</f>
        <v/>
      </c>
      <c r="I1342" t="s">
        <v>4290</v>
      </c>
      <c r="J1342" t="str">
        <f t="shared" si="167"/>
        <v/>
      </c>
      <c r="K1342" t="str">
        <f t="shared" si="172"/>
        <v/>
      </c>
      <c r="L1342" s="69"/>
      <c r="M1342">
        <f>'TMIS US'!A1333</f>
        <v>0</v>
      </c>
      <c r="N1342" t="str">
        <f>T('TMIS US'!B1333)</f>
        <v/>
      </c>
      <c r="O1342" t="s">
        <v>4290</v>
      </c>
      <c r="P1342" t="str">
        <f t="shared" si="168"/>
        <v/>
      </c>
      <c r="Q1342" t="str">
        <f t="shared" si="169"/>
        <v/>
      </c>
      <c r="R1342" s="69"/>
      <c r="S1342">
        <f>'TMIS CA'!A1333</f>
        <v>0</v>
      </c>
      <c r="T1342" t="str">
        <f>T('TMIS CA'!B1333)</f>
        <v/>
      </c>
      <c r="U1342" t="s">
        <v>4290</v>
      </c>
      <c r="V1342" t="str">
        <f t="shared" si="171"/>
        <v/>
      </c>
      <c r="W1342" t="str">
        <f t="shared" si="170"/>
        <v/>
      </c>
    </row>
    <row r="1343" spans="1:23">
      <c r="A1343">
        <f>'IPTV US'!A1334</f>
        <v>0</v>
      </c>
      <c r="B1343" t="str">
        <f>T('IPTV US'!B1334)</f>
        <v/>
      </c>
      <c r="C1343" t="s">
        <v>4290</v>
      </c>
      <c r="D1343" t="str">
        <f t="shared" si="165"/>
        <v/>
      </c>
      <c r="E1343" t="str">
        <f t="shared" si="166"/>
        <v/>
      </c>
      <c r="F1343" s="68" t="s">
        <v>4289</v>
      </c>
      <c r="G1343">
        <f>'IPTV CA'!A1334</f>
        <v>0</v>
      </c>
      <c r="H1343" t="str">
        <f>T('IPTV CA'!B1334)</f>
        <v/>
      </c>
      <c r="I1343" t="s">
        <v>4290</v>
      </c>
      <c r="J1343" t="str">
        <f t="shared" si="167"/>
        <v/>
      </c>
      <c r="K1343" t="str">
        <f t="shared" si="172"/>
        <v/>
      </c>
      <c r="L1343" s="69"/>
      <c r="M1343">
        <f>'TMIS US'!A1334</f>
        <v>0</v>
      </c>
      <c r="N1343" t="str">
        <f>T('TMIS US'!B1334)</f>
        <v/>
      </c>
      <c r="O1343" t="s">
        <v>4290</v>
      </c>
      <c r="P1343" t="str">
        <f t="shared" si="168"/>
        <v/>
      </c>
      <c r="Q1343" t="str">
        <f t="shared" si="169"/>
        <v/>
      </c>
      <c r="R1343" s="69"/>
      <c r="S1343">
        <f>'TMIS CA'!A1334</f>
        <v>0</v>
      </c>
      <c r="T1343" t="str">
        <f>T('TMIS CA'!B1334)</f>
        <v/>
      </c>
      <c r="U1343" t="s">
        <v>4290</v>
      </c>
      <c r="V1343" t="str">
        <f t="shared" si="171"/>
        <v/>
      </c>
      <c r="W1343" t="str">
        <f t="shared" si="170"/>
        <v/>
      </c>
    </row>
    <row r="1344" spans="1:23">
      <c r="A1344">
        <f>'IPTV US'!A1335</f>
        <v>0</v>
      </c>
      <c r="B1344" t="str">
        <f>T('IPTV US'!B1335)</f>
        <v/>
      </c>
      <c r="C1344" t="s">
        <v>4290</v>
      </c>
      <c r="D1344" t="str">
        <f t="shared" si="165"/>
        <v/>
      </c>
      <c r="E1344" t="str">
        <f t="shared" si="166"/>
        <v/>
      </c>
      <c r="F1344" s="68" t="s">
        <v>4289</v>
      </c>
      <c r="G1344">
        <f>'IPTV CA'!A1335</f>
        <v>0</v>
      </c>
      <c r="H1344" t="str">
        <f>T('IPTV CA'!B1335)</f>
        <v/>
      </c>
      <c r="I1344" t="s">
        <v>4290</v>
      </c>
      <c r="J1344" t="str">
        <f t="shared" si="167"/>
        <v/>
      </c>
      <c r="K1344" t="str">
        <f t="shared" si="172"/>
        <v/>
      </c>
      <c r="L1344" s="69"/>
      <c r="M1344">
        <f>'TMIS US'!A1335</f>
        <v>0</v>
      </c>
      <c r="N1344" t="str">
        <f>T('TMIS US'!B1335)</f>
        <v/>
      </c>
      <c r="O1344" t="s">
        <v>4290</v>
      </c>
      <c r="P1344" t="str">
        <f t="shared" si="168"/>
        <v/>
      </c>
      <c r="Q1344" t="str">
        <f t="shared" si="169"/>
        <v/>
      </c>
      <c r="R1344" s="69"/>
      <c r="S1344">
        <f>'TMIS CA'!A1335</f>
        <v>0</v>
      </c>
      <c r="T1344" t="str">
        <f>T('TMIS CA'!B1335)</f>
        <v/>
      </c>
      <c r="U1344" t="s">
        <v>4290</v>
      </c>
      <c r="V1344" t="str">
        <f t="shared" si="171"/>
        <v/>
      </c>
      <c r="W1344" t="str">
        <f t="shared" si="170"/>
        <v/>
      </c>
    </row>
    <row r="1345" spans="1:23">
      <c r="A1345">
        <f>'IPTV US'!A1336</f>
        <v>0</v>
      </c>
      <c r="B1345" t="str">
        <f>T('IPTV US'!B1336)</f>
        <v/>
      </c>
      <c r="C1345" t="s">
        <v>4290</v>
      </c>
      <c r="D1345" t="str">
        <f t="shared" si="165"/>
        <v/>
      </c>
      <c r="E1345" t="str">
        <f t="shared" si="166"/>
        <v/>
      </c>
      <c r="F1345" s="68" t="s">
        <v>4289</v>
      </c>
      <c r="G1345">
        <f>'IPTV CA'!A1336</f>
        <v>0</v>
      </c>
      <c r="H1345" t="str">
        <f>T('IPTV CA'!B1336)</f>
        <v/>
      </c>
      <c r="I1345" t="s">
        <v>4290</v>
      </c>
      <c r="J1345" t="str">
        <f t="shared" si="167"/>
        <v/>
      </c>
      <c r="K1345" t="str">
        <f t="shared" si="172"/>
        <v/>
      </c>
      <c r="L1345" s="69"/>
      <c r="M1345">
        <f>'TMIS US'!A1336</f>
        <v>0</v>
      </c>
      <c r="N1345" t="str">
        <f>T('TMIS US'!B1336)</f>
        <v/>
      </c>
      <c r="O1345" t="s">
        <v>4290</v>
      </c>
      <c r="P1345" t="str">
        <f t="shared" si="168"/>
        <v/>
      </c>
      <c r="Q1345" t="str">
        <f t="shared" si="169"/>
        <v/>
      </c>
      <c r="R1345" s="69"/>
      <c r="S1345">
        <f>'TMIS CA'!A1336</f>
        <v>0</v>
      </c>
      <c r="T1345" t="str">
        <f>T('TMIS CA'!B1336)</f>
        <v/>
      </c>
      <c r="U1345" t="s">
        <v>4290</v>
      </c>
      <c r="V1345" t="str">
        <f t="shared" si="171"/>
        <v/>
      </c>
      <c r="W1345" t="str">
        <f t="shared" si="170"/>
        <v/>
      </c>
    </row>
    <row r="1346" spans="1:23">
      <c r="A1346">
        <f>'IPTV US'!A1337</f>
        <v>0</v>
      </c>
      <c r="B1346" t="str">
        <f>T('IPTV US'!B1337)</f>
        <v/>
      </c>
      <c r="C1346" t="s">
        <v>4290</v>
      </c>
      <c r="D1346" t="str">
        <f t="shared" si="165"/>
        <v/>
      </c>
      <c r="E1346" t="str">
        <f t="shared" si="166"/>
        <v/>
      </c>
      <c r="F1346" s="68" t="s">
        <v>4289</v>
      </c>
      <c r="G1346">
        <f>'IPTV CA'!A1337</f>
        <v>0</v>
      </c>
      <c r="H1346" t="str">
        <f>T('IPTV CA'!B1337)</f>
        <v/>
      </c>
      <c r="I1346" t="s">
        <v>4290</v>
      </c>
      <c r="J1346" t="str">
        <f t="shared" si="167"/>
        <v/>
      </c>
      <c r="K1346" t="str">
        <f t="shared" si="172"/>
        <v/>
      </c>
      <c r="L1346" s="69"/>
      <c r="M1346">
        <f>'TMIS US'!A1337</f>
        <v>0</v>
      </c>
      <c r="N1346" t="str">
        <f>T('TMIS US'!B1337)</f>
        <v/>
      </c>
      <c r="O1346" t="s">
        <v>4290</v>
      </c>
      <c r="P1346" t="str">
        <f t="shared" si="168"/>
        <v/>
      </c>
      <c r="Q1346" t="str">
        <f t="shared" si="169"/>
        <v/>
      </c>
      <c r="R1346" s="69"/>
      <c r="S1346">
        <f>'TMIS CA'!A1337</f>
        <v>0</v>
      </c>
      <c r="T1346" t="str">
        <f>T('TMIS CA'!B1337)</f>
        <v/>
      </c>
      <c r="U1346" t="s">
        <v>4290</v>
      </c>
      <c r="V1346" t="str">
        <f t="shared" si="171"/>
        <v/>
      </c>
      <c r="W1346" t="str">
        <f t="shared" si="170"/>
        <v/>
      </c>
    </row>
    <row r="1347" spans="1:23">
      <c r="A1347">
        <f>'IPTV US'!A1338</f>
        <v>0</v>
      </c>
      <c r="B1347" t="str">
        <f>T('IPTV US'!B1338)</f>
        <v/>
      </c>
      <c r="C1347" t="s">
        <v>4290</v>
      </c>
      <c r="D1347" t="str">
        <f t="shared" si="165"/>
        <v/>
      </c>
      <c r="E1347" t="str">
        <f t="shared" si="166"/>
        <v/>
      </c>
      <c r="F1347" s="68" t="s">
        <v>4289</v>
      </c>
      <c r="G1347">
        <f>'IPTV CA'!A1338</f>
        <v>0</v>
      </c>
      <c r="H1347" t="str">
        <f>T('IPTV CA'!B1338)</f>
        <v/>
      </c>
      <c r="I1347" t="s">
        <v>4290</v>
      </c>
      <c r="J1347" t="str">
        <f t="shared" si="167"/>
        <v/>
      </c>
      <c r="K1347" t="str">
        <f t="shared" si="172"/>
        <v/>
      </c>
      <c r="L1347" s="69"/>
      <c r="M1347">
        <f>'TMIS US'!A1338</f>
        <v>0</v>
      </c>
      <c r="N1347" t="str">
        <f>T('TMIS US'!B1338)</f>
        <v/>
      </c>
      <c r="O1347" t="s">
        <v>4290</v>
      </c>
      <c r="P1347" t="str">
        <f t="shared" si="168"/>
        <v/>
      </c>
      <c r="Q1347" t="str">
        <f t="shared" si="169"/>
        <v/>
      </c>
      <c r="R1347" s="69"/>
      <c r="S1347">
        <f>'TMIS CA'!A1338</f>
        <v>0</v>
      </c>
      <c r="T1347" t="str">
        <f>T('TMIS CA'!B1338)</f>
        <v/>
      </c>
      <c r="U1347" t="s">
        <v>4290</v>
      </c>
      <c r="V1347" t="str">
        <f t="shared" si="171"/>
        <v/>
      </c>
      <c r="W1347" t="str">
        <f t="shared" si="170"/>
        <v/>
      </c>
    </row>
    <row r="1348" spans="1:23">
      <c r="A1348">
        <f>'IPTV US'!A1339</f>
        <v>0</v>
      </c>
      <c r="B1348" t="str">
        <f>T('IPTV US'!B1339)</f>
        <v/>
      </c>
      <c r="C1348" t="s">
        <v>4290</v>
      </c>
      <c r="D1348" t="str">
        <f t="shared" si="165"/>
        <v/>
      </c>
      <c r="E1348" t="str">
        <f t="shared" si="166"/>
        <v/>
      </c>
      <c r="F1348" s="68" t="s">
        <v>4289</v>
      </c>
      <c r="G1348">
        <f>'IPTV CA'!A1339</f>
        <v>0</v>
      </c>
      <c r="H1348" t="str">
        <f>T('IPTV CA'!B1339)</f>
        <v/>
      </c>
      <c r="I1348" t="s">
        <v>4290</v>
      </c>
      <c r="J1348" t="str">
        <f t="shared" si="167"/>
        <v/>
      </c>
      <c r="K1348" t="str">
        <f t="shared" si="172"/>
        <v/>
      </c>
      <c r="L1348" s="69"/>
      <c r="M1348">
        <f>'TMIS US'!A1339</f>
        <v>0</v>
      </c>
      <c r="N1348" t="str">
        <f>T('TMIS US'!B1339)</f>
        <v/>
      </c>
      <c r="O1348" t="s">
        <v>4290</v>
      </c>
      <c r="P1348" t="str">
        <f t="shared" si="168"/>
        <v/>
      </c>
      <c r="Q1348" t="str">
        <f t="shared" si="169"/>
        <v/>
      </c>
      <c r="R1348" s="69"/>
      <c r="S1348">
        <f>'TMIS CA'!A1339</f>
        <v>0</v>
      </c>
      <c r="T1348" t="str">
        <f>T('TMIS CA'!B1339)</f>
        <v/>
      </c>
      <c r="U1348" t="s">
        <v>4290</v>
      </c>
      <c r="V1348" t="str">
        <f t="shared" si="171"/>
        <v/>
      </c>
      <c r="W1348" t="str">
        <f t="shared" si="170"/>
        <v/>
      </c>
    </row>
    <row r="1349" spans="1:23">
      <c r="A1349">
        <f>'IPTV US'!A1340</f>
        <v>0</v>
      </c>
      <c r="B1349" t="str">
        <f>T('IPTV US'!B1340)</f>
        <v/>
      </c>
      <c r="C1349" t="s">
        <v>4290</v>
      </c>
      <c r="D1349" t="str">
        <f t="shared" si="165"/>
        <v/>
      </c>
      <c r="E1349" t="str">
        <f t="shared" si="166"/>
        <v/>
      </c>
      <c r="F1349" s="68" t="s">
        <v>4289</v>
      </c>
      <c r="G1349">
        <f>'IPTV CA'!A1340</f>
        <v>0</v>
      </c>
      <c r="H1349" t="str">
        <f>T('IPTV CA'!B1340)</f>
        <v/>
      </c>
      <c r="I1349" t="s">
        <v>4290</v>
      </c>
      <c r="J1349" t="str">
        <f t="shared" si="167"/>
        <v/>
      </c>
      <c r="K1349" t="str">
        <f t="shared" si="172"/>
        <v/>
      </c>
      <c r="L1349" s="69"/>
      <c r="M1349">
        <f>'TMIS US'!A1340</f>
        <v>0</v>
      </c>
      <c r="N1349" t="str">
        <f>T('TMIS US'!B1340)</f>
        <v/>
      </c>
      <c r="O1349" t="s">
        <v>4290</v>
      </c>
      <c r="P1349" t="str">
        <f t="shared" si="168"/>
        <v/>
      </c>
      <c r="Q1349" t="str">
        <f t="shared" si="169"/>
        <v/>
      </c>
      <c r="R1349" s="69"/>
      <c r="S1349">
        <f>'TMIS CA'!A1340</f>
        <v>0</v>
      </c>
      <c r="T1349" t="str">
        <f>T('TMIS CA'!B1340)</f>
        <v/>
      </c>
      <c r="U1349" t="s">
        <v>4290</v>
      </c>
      <c r="V1349" t="str">
        <f t="shared" si="171"/>
        <v/>
      </c>
      <c r="W1349" t="str">
        <f t="shared" si="170"/>
        <v/>
      </c>
    </row>
    <row r="1350" spans="1:23">
      <c r="A1350">
        <f>'IPTV US'!A1341</f>
        <v>0</v>
      </c>
      <c r="B1350" t="str">
        <f>T('IPTV US'!B1341)</f>
        <v/>
      </c>
      <c r="C1350" t="s">
        <v>4290</v>
      </c>
      <c r="D1350" t="str">
        <f t="shared" si="165"/>
        <v/>
      </c>
      <c r="E1350" t="str">
        <f t="shared" si="166"/>
        <v/>
      </c>
      <c r="F1350" s="68" t="s">
        <v>4289</v>
      </c>
      <c r="G1350">
        <f>'IPTV CA'!A1341</f>
        <v>0</v>
      </c>
      <c r="H1350" t="str">
        <f>T('IPTV CA'!B1341)</f>
        <v/>
      </c>
      <c r="I1350" t="s">
        <v>4290</v>
      </c>
      <c r="J1350" t="str">
        <f t="shared" si="167"/>
        <v/>
      </c>
      <c r="K1350" t="str">
        <f t="shared" si="172"/>
        <v/>
      </c>
      <c r="L1350" s="69"/>
      <c r="M1350">
        <f>'TMIS US'!A1341</f>
        <v>0</v>
      </c>
      <c r="N1350" t="str">
        <f>T('TMIS US'!B1341)</f>
        <v/>
      </c>
      <c r="O1350" t="s">
        <v>4290</v>
      </c>
      <c r="P1350" t="str">
        <f t="shared" si="168"/>
        <v/>
      </c>
      <c r="Q1350" t="str">
        <f t="shared" si="169"/>
        <v/>
      </c>
      <c r="R1350" s="69"/>
      <c r="S1350">
        <f>'TMIS CA'!A1341</f>
        <v>0</v>
      </c>
      <c r="T1350" t="str">
        <f>T('TMIS CA'!B1341)</f>
        <v/>
      </c>
      <c r="U1350" t="s">
        <v>4290</v>
      </c>
      <c r="V1350" t="str">
        <f t="shared" si="171"/>
        <v/>
      </c>
      <c r="W1350" t="str">
        <f t="shared" si="170"/>
        <v/>
      </c>
    </row>
    <row r="1351" spans="1:23">
      <c r="A1351">
        <f>'IPTV US'!A1342</f>
        <v>0</v>
      </c>
      <c r="B1351" t="str">
        <f>T('IPTV US'!B1342)</f>
        <v/>
      </c>
      <c r="C1351" t="s">
        <v>4290</v>
      </c>
      <c r="D1351" t="str">
        <f t="shared" si="165"/>
        <v/>
      </c>
      <c r="E1351" t="str">
        <f t="shared" si="166"/>
        <v/>
      </c>
      <c r="F1351" s="68" t="s">
        <v>4289</v>
      </c>
      <c r="G1351">
        <f>'IPTV CA'!A1342</f>
        <v>0</v>
      </c>
      <c r="H1351" t="str">
        <f>T('IPTV CA'!B1342)</f>
        <v/>
      </c>
      <c r="I1351" t="s">
        <v>4290</v>
      </c>
      <c r="J1351" t="str">
        <f t="shared" si="167"/>
        <v/>
      </c>
      <c r="K1351" t="str">
        <f t="shared" si="172"/>
        <v/>
      </c>
      <c r="L1351" s="69"/>
      <c r="M1351">
        <f>'TMIS US'!A1342</f>
        <v>0</v>
      </c>
      <c r="N1351" t="str">
        <f>T('TMIS US'!B1342)</f>
        <v/>
      </c>
      <c r="O1351" t="s">
        <v>4290</v>
      </c>
      <c r="P1351" t="str">
        <f t="shared" si="168"/>
        <v/>
      </c>
      <c r="Q1351" t="str">
        <f t="shared" si="169"/>
        <v/>
      </c>
      <c r="R1351" s="69"/>
      <c r="S1351">
        <f>'TMIS CA'!A1342</f>
        <v>0</v>
      </c>
      <c r="T1351" t="str">
        <f>T('TMIS CA'!B1342)</f>
        <v/>
      </c>
      <c r="U1351" t="s">
        <v>4290</v>
      </c>
      <c r="V1351" t="str">
        <f t="shared" si="171"/>
        <v/>
      </c>
      <c r="W1351" t="str">
        <f t="shared" si="170"/>
        <v/>
      </c>
    </row>
    <row r="1352" spans="1:23">
      <c r="A1352">
        <f>'IPTV US'!A1343</f>
        <v>0</v>
      </c>
      <c r="B1352" t="str">
        <f>T('IPTV US'!B1343)</f>
        <v/>
      </c>
      <c r="C1352" t="s">
        <v>4290</v>
      </c>
      <c r="D1352" t="str">
        <f t="shared" si="165"/>
        <v/>
      </c>
      <c r="E1352" t="str">
        <f t="shared" si="166"/>
        <v/>
      </c>
      <c r="F1352" s="68" t="s">
        <v>4289</v>
      </c>
      <c r="G1352">
        <f>'IPTV CA'!A1343</f>
        <v>0</v>
      </c>
      <c r="H1352" t="str">
        <f>T('IPTV CA'!B1343)</f>
        <v/>
      </c>
      <c r="I1352" t="s">
        <v>4290</v>
      </c>
      <c r="J1352" t="str">
        <f t="shared" si="167"/>
        <v/>
      </c>
      <c r="K1352" t="str">
        <f t="shared" si="172"/>
        <v/>
      </c>
      <c r="L1352" s="69"/>
      <c r="M1352">
        <f>'TMIS US'!A1343</f>
        <v>0</v>
      </c>
      <c r="N1352" t="str">
        <f>T('TMIS US'!B1343)</f>
        <v/>
      </c>
      <c r="O1352" t="s">
        <v>4290</v>
      </c>
      <c r="P1352" t="str">
        <f t="shared" si="168"/>
        <v/>
      </c>
      <c r="Q1352" t="str">
        <f t="shared" si="169"/>
        <v/>
      </c>
      <c r="R1352" s="69"/>
      <c r="S1352">
        <f>'TMIS CA'!A1343</f>
        <v>0</v>
      </c>
      <c r="T1352" t="str">
        <f>T('TMIS CA'!B1343)</f>
        <v/>
      </c>
      <c r="U1352" t="s">
        <v>4290</v>
      </c>
      <c r="V1352" t="str">
        <f t="shared" si="171"/>
        <v/>
      </c>
      <c r="W1352" t="str">
        <f t="shared" si="170"/>
        <v/>
      </c>
    </row>
    <row r="1353" spans="1:23">
      <c r="A1353">
        <f>'IPTV US'!A1344</f>
        <v>0</v>
      </c>
      <c r="B1353" t="str">
        <f>T('IPTV US'!B1344)</f>
        <v/>
      </c>
      <c r="C1353" t="s">
        <v>4290</v>
      </c>
      <c r="D1353" t="str">
        <f t="shared" si="165"/>
        <v/>
      </c>
      <c r="E1353" t="str">
        <f t="shared" si="166"/>
        <v/>
      </c>
      <c r="F1353" s="68" t="s">
        <v>4289</v>
      </c>
      <c r="G1353">
        <f>'IPTV CA'!A1344</f>
        <v>0</v>
      </c>
      <c r="H1353" t="str">
        <f>T('IPTV CA'!B1344)</f>
        <v/>
      </c>
      <c r="I1353" t="s">
        <v>4290</v>
      </c>
      <c r="J1353" t="str">
        <f t="shared" si="167"/>
        <v/>
      </c>
      <c r="K1353" t="str">
        <f t="shared" si="172"/>
        <v/>
      </c>
      <c r="L1353" s="69"/>
      <c r="M1353">
        <f>'TMIS US'!A1344</f>
        <v>0</v>
      </c>
      <c r="N1353" t="str">
        <f>T('TMIS US'!B1344)</f>
        <v/>
      </c>
      <c r="O1353" t="s">
        <v>4290</v>
      </c>
      <c r="P1353" t="str">
        <f t="shared" si="168"/>
        <v/>
      </c>
      <c r="Q1353" t="str">
        <f t="shared" si="169"/>
        <v/>
      </c>
      <c r="R1353" s="69"/>
      <c r="S1353">
        <f>'TMIS CA'!A1344</f>
        <v>0</v>
      </c>
      <c r="T1353" t="str">
        <f>T('TMIS CA'!B1344)</f>
        <v/>
      </c>
      <c r="U1353" t="s">
        <v>4290</v>
      </c>
      <c r="V1353" t="str">
        <f t="shared" si="171"/>
        <v/>
      </c>
      <c r="W1353" t="str">
        <f t="shared" si="170"/>
        <v/>
      </c>
    </row>
    <row r="1354" spans="1:23">
      <c r="A1354">
        <f>'IPTV US'!A1345</f>
        <v>0</v>
      </c>
      <c r="B1354" t="str">
        <f>T('IPTV US'!B1345)</f>
        <v/>
      </c>
      <c r="C1354" t="s">
        <v>4290</v>
      </c>
      <c r="D1354" t="str">
        <f t="shared" si="165"/>
        <v/>
      </c>
      <c r="E1354" t="str">
        <f t="shared" si="166"/>
        <v/>
      </c>
      <c r="F1354" s="68" t="s">
        <v>4289</v>
      </c>
      <c r="G1354">
        <f>'IPTV CA'!A1345</f>
        <v>0</v>
      </c>
      <c r="H1354" t="str">
        <f>T('IPTV CA'!B1345)</f>
        <v/>
      </c>
      <c r="I1354" t="s">
        <v>4290</v>
      </c>
      <c r="J1354" t="str">
        <f t="shared" si="167"/>
        <v/>
      </c>
      <c r="K1354" t="str">
        <f t="shared" si="172"/>
        <v/>
      </c>
      <c r="L1354" s="69"/>
      <c r="M1354">
        <f>'TMIS US'!A1345</f>
        <v>0</v>
      </c>
      <c r="N1354" t="str">
        <f>T('TMIS US'!B1345)</f>
        <v/>
      </c>
      <c r="O1354" t="s">
        <v>4290</v>
      </c>
      <c r="P1354" t="str">
        <f t="shared" si="168"/>
        <v/>
      </c>
      <c r="Q1354" t="str">
        <f t="shared" si="169"/>
        <v/>
      </c>
      <c r="R1354" s="69"/>
      <c r="S1354">
        <f>'TMIS CA'!A1345</f>
        <v>0</v>
      </c>
      <c r="T1354" t="str">
        <f>T('TMIS CA'!B1345)</f>
        <v/>
      </c>
      <c r="U1354" t="s">
        <v>4290</v>
      </c>
      <c r="V1354" t="str">
        <f t="shared" si="171"/>
        <v/>
      </c>
      <c r="W1354" t="str">
        <f t="shared" si="170"/>
        <v/>
      </c>
    </row>
    <row r="1355" spans="1:23">
      <c r="A1355">
        <f>'IPTV US'!A1346</f>
        <v>0</v>
      </c>
      <c r="B1355" t="str">
        <f>T('IPTV US'!B1346)</f>
        <v/>
      </c>
      <c r="C1355" t="s">
        <v>4290</v>
      </c>
      <c r="D1355" t="str">
        <f t="shared" ref="D1355:D1418" si="173">IF(C1355="Active",IF(B1355="","Please Notify - Channel Removed",""),"")</f>
        <v/>
      </c>
      <c r="E1355" t="str">
        <f t="shared" ref="E1355:E1418" si="174">IF(C1355="Vacant",IF(B1355="","","Please Notify - Channel Added"),"")</f>
        <v/>
      </c>
      <c r="F1355" s="68" t="s">
        <v>4289</v>
      </c>
      <c r="G1355">
        <f>'IPTV CA'!A1346</f>
        <v>0</v>
      </c>
      <c r="H1355" t="str">
        <f>T('IPTV CA'!B1346)</f>
        <v/>
      </c>
      <c r="I1355" t="s">
        <v>4290</v>
      </c>
      <c r="J1355" t="str">
        <f t="shared" ref="J1355:J1418" si="175">IF(I1355="Active",IF(H1355="","Please Notify - Channel Removed",""),"")</f>
        <v/>
      </c>
      <c r="K1355" t="str">
        <f t="shared" si="172"/>
        <v/>
      </c>
      <c r="L1355" s="69"/>
      <c r="M1355">
        <f>'TMIS US'!A1346</f>
        <v>0</v>
      </c>
      <c r="N1355" t="str">
        <f>T('TMIS US'!B1346)</f>
        <v/>
      </c>
      <c r="O1355" t="s">
        <v>4290</v>
      </c>
      <c r="P1355" t="str">
        <f t="shared" ref="P1355:P1418" si="176">IF(O1355="Active",IF(N1355="","Please Notify - Channel Removed",""),"")</f>
        <v/>
      </c>
      <c r="Q1355" t="str">
        <f t="shared" si="169"/>
        <v/>
      </c>
      <c r="R1355" s="69"/>
      <c r="S1355">
        <f>'TMIS CA'!A1346</f>
        <v>0</v>
      </c>
      <c r="T1355" t="str">
        <f>T('TMIS CA'!B1346)</f>
        <v/>
      </c>
      <c r="U1355" t="s">
        <v>4290</v>
      </c>
      <c r="V1355" t="str">
        <f t="shared" si="171"/>
        <v/>
      </c>
      <c r="W1355" t="str">
        <f t="shared" si="170"/>
        <v/>
      </c>
    </row>
    <row r="1356" spans="1:23">
      <c r="A1356">
        <f>'IPTV US'!A1347</f>
        <v>0</v>
      </c>
      <c r="B1356" t="str">
        <f>T('IPTV US'!B1347)</f>
        <v/>
      </c>
      <c r="C1356" t="s">
        <v>4290</v>
      </c>
      <c r="D1356" t="str">
        <f t="shared" si="173"/>
        <v/>
      </c>
      <c r="E1356" t="str">
        <f t="shared" si="174"/>
        <v/>
      </c>
      <c r="F1356" s="68" t="s">
        <v>4289</v>
      </c>
      <c r="G1356">
        <f>'IPTV CA'!A1347</f>
        <v>0</v>
      </c>
      <c r="H1356" t="str">
        <f>T('IPTV CA'!B1347)</f>
        <v/>
      </c>
      <c r="I1356" t="s">
        <v>4290</v>
      </c>
      <c r="J1356" t="str">
        <f t="shared" si="175"/>
        <v/>
      </c>
      <c r="K1356" t="str">
        <f t="shared" si="172"/>
        <v/>
      </c>
      <c r="L1356" s="69"/>
      <c r="M1356">
        <f>'TMIS US'!A1347</f>
        <v>0</v>
      </c>
      <c r="N1356" t="str">
        <f>T('TMIS US'!B1347)</f>
        <v/>
      </c>
      <c r="O1356" t="s">
        <v>4290</v>
      </c>
      <c r="P1356" t="str">
        <f t="shared" si="176"/>
        <v/>
      </c>
      <c r="Q1356" t="str">
        <f t="shared" ref="Q1356:Q1419" si="177">IF(O1356="Vacant",IF(N1356="","","Please Notify - Channel Added"),"")</f>
        <v/>
      </c>
      <c r="R1356" s="69"/>
      <c r="S1356">
        <f>'TMIS CA'!A1347</f>
        <v>0</v>
      </c>
      <c r="T1356" t="str">
        <f>T('TMIS CA'!B1347)</f>
        <v/>
      </c>
      <c r="U1356" t="s">
        <v>4290</v>
      </c>
      <c r="V1356" t="str">
        <f t="shared" si="171"/>
        <v/>
      </c>
      <c r="W1356" t="str">
        <f t="shared" ref="W1356:W1419" si="178">IF(U1356="Vacant",IF(T1356="","","Please Notify - Channel Added"),"")</f>
        <v/>
      </c>
    </row>
    <row r="1357" spans="1:23">
      <c r="A1357">
        <f>'IPTV US'!A1348</f>
        <v>0</v>
      </c>
      <c r="B1357" t="str">
        <f>T('IPTV US'!B1348)</f>
        <v/>
      </c>
      <c r="C1357" t="s">
        <v>4290</v>
      </c>
      <c r="D1357" t="str">
        <f t="shared" si="173"/>
        <v/>
      </c>
      <c r="E1357" t="str">
        <f t="shared" si="174"/>
        <v/>
      </c>
      <c r="F1357" s="68" t="s">
        <v>4289</v>
      </c>
      <c r="G1357">
        <f>'IPTV CA'!A1348</f>
        <v>0</v>
      </c>
      <c r="H1357" t="str">
        <f>T('IPTV CA'!B1348)</f>
        <v/>
      </c>
      <c r="I1357" t="s">
        <v>4290</v>
      </c>
      <c r="J1357" t="str">
        <f t="shared" si="175"/>
        <v/>
      </c>
      <c r="K1357" t="str">
        <f t="shared" si="172"/>
        <v/>
      </c>
      <c r="L1357" s="69"/>
      <c r="M1357">
        <f>'TMIS US'!A1348</f>
        <v>0</v>
      </c>
      <c r="N1357" t="str">
        <f>T('TMIS US'!B1348)</f>
        <v/>
      </c>
      <c r="O1357" t="s">
        <v>4290</v>
      </c>
      <c r="P1357" t="str">
        <f t="shared" si="176"/>
        <v/>
      </c>
      <c r="Q1357" t="str">
        <f t="shared" si="177"/>
        <v/>
      </c>
      <c r="R1357" s="69"/>
      <c r="S1357">
        <f>'TMIS CA'!A1348</f>
        <v>0</v>
      </c>
      <c r="T1357" t="str">
        <f>T('TMIS CA'!B1348)</f>
        <v/>
      </c>
      <c r="U1357" t="s">
        <v>4290</v>
      </c>
      <c r="V1357" t="str">
        <f t="shared" si="171"/>
        <v/>
      </c>
      <c r="W1357" t="str">
        <f t="shared" si="178"/>
        <v/>
      </c>
    </row>
    <row r="1358" spans="1:23">
      <c r="A1358">
        <f>'IPTV US'!A1349</f>
        <v>0</v>
      </c>
      <c r="B1358" t="str">
        <f>T('IPTV US'!B1349)</f>
        <v/>
      </c>
      <c r="C1358" t="s">
        <v>4290</v>
      </c>
      <c r="D1358" t="str">
        <f t="shared" si="173"/>
        <v/>
      </c>
      <c r="E1358" t="str">
        <f t="shared" si="174"/>
        <v/>
      </c>
      <c r="F1358" s="68" t="s">
        <v>4289</v>
      </c>
      <c r="G1358">
        <f>'IPTV CA'!A1349</f>
        <v>0</v>
      </c>
      <c r="H1358" t="str">
        <f>T('IPTV CA'!B1349)</f>
        <v/>
      </c>
      <c r="I1358" t="s">
        <v>4290</v>
      </c>
      <c r="J1358" t="str">
        <f t="shared" si="175"/>
        <v/>
      </c>
      <c r="K1358" t="str">
        <f t="shared" si="172"/>
        <v/>
      </c>
      <c r="L1358" s="69"/>
      <c r="M1358">
        <f>'TMIS US'!A1349</f>
        <v>0</v>
      </c>
      <c r="N1358" t="str">
        <f>T('TMIS US'!B1349)</f>
        <v/>
      </c>
      <c r="O1358" t="s">
        <v>4290</v>
      </c>
      <c r="P1358" t="str">
        <f t="shared" si="176"/>
        <v/>
      </c>
      <c r="Q1358" t="str">
        <f t="shared" si="177"/>
        <v/>
      </c>
      <c r="R1358" s="69"/>
      <c r="S1358">
        <f>'TMIS CA'!A1349</f>
        <v>0</v>
      </c>
      <c r="T1358" t="str">
        <f>T('TMIS CA'!B1349)</f>
        <v/>
      </c>
      <c r="U1358" t="s">
        <v>4290</v>
      </c>
      <c r="V1358" t="str">
        <f t="shared" ref="V1358:V1421" si="179">IF(U1358="Active",IF(T1358="","Please Notify - Channel Removed",""),"")</f>
        <v/>
      </c>
      <c r="W1358" t="str">
        <f t="shared" si="178"/>
        <v/>
      </c>
    </row>
    <row r="1359" spans="1:23">
      <c r="A1359">
        <f>'IPTV US'!A1350</f>
        <v>0</v>
      </c>
      <c r="B1359" t="str">
        <f>T('IPTV US'!B1350)</f>
        <v/>
      </c>
      <c r="C1359" t="s">
        <v>4290</v>
      </c>
      <c r="D1359" t="str">
        <f t="shared" si="173"/>
        <v/>
      </c>
      <c r="E1359" t="str">
        <f t="shared" si="174"/>
        <v/>
      </c>
      <c r="F1359" s="68" t="s">
        <v>4289</v>
      </c>
      <c r="G1359">
        <f>'IPTV CA'!A1350</f>
        <v>0</v>
      </c>
      <c r="H1359" t="str">
        <f>T('IPTV CA'!B1350)</f>
        <v/>
      </c>
      <c r="I1359" t="s">
        <v>4290</v>
      </c>
      <c r="J1359" t="str">
        <f t="shared" si="175"/>
        <v/>
      </c>
      <c r="K1359" t="str">
        <f t="shared" si="172"/>
        <v/>
      </c>
      <c r="L1359" s="69"/>
      <c r="M1359">
        <f>'TMIS US'!A1350</f>
        <v>0</v>
      </c>
      <c r="N1359" t="str">
        <f>T('TMIS US'!B1350)</f>
        <v/>
      </c>
      <c r="O1359" t="s">
        <v>4290</v>
      </c>
      <c r="P1359" t="str">
        <f t="shared" si="176"/>
        <v/>
      </c>
      <c r="Q1359" t="str">
        <f t="shared" si="177"/>
        <v/>
      </c>
      <c r="R1359" s="69"/>
      <c r="S1359">
        <f>'TMIS CA'!A1350</f>
        <v>0</v>
      </c>
      <c r="T1359" t="str">
        <f>T('TMIS CA'!B1350)</f>
        <v/>
      </c>
      <c r="U1359" t="s">
        <v>4290</v>
      </c>
      <c r="V1359" t="str">
        <f t="shared" si="179"/>
        <v/>
      </c>
      <c r="W1359" t="str">
        <f t="shared" si="178"/>
        <v/>
      </c>
    </row>
    <row r="1360" spans="1:23">
      <c r="A1360">
        <f>'IPTV US'!A1351</f>
        <v>0</v>
      </c>
      <c r="B1360" t="str">
        <f>T('IPTV US'!B1351)</f>
        <v/>
      </c>
      <c r="C1360" t="s">
        <v>4290</v>
      </c>
      <c r="D1360" t="str">
        <f t="shared" si="173"/>
        <v/>
      </c>
      <c r="E1360" t="str">
        <f t="shared" si="174"/>
        <v/>
      </c>
      <c r="F1360" s="68" t="s">
        <v>4289</v>
      </c>
      <c r="G1360">
        <f>'IPTV CA'!A1351</f>
        <v>0</v>
      </c>
      <c r="H1360" t="str">
        <f>T('IPTV CA'!B1351)</f>
        <v/>
      </c>
      <c r="I1360" t="s">
        <v>4290</v>
      </c>
      <c r="J1360" t="str">
        <f t="shared" si="175"/>
        <v/>
      </c>
      <c r="K1360" t="str">
        <f t="shared" si="172"/>
        <v/>
      </c>
      <c r="L1360" s="69"/>
      <c r="M1360">
        <f>'TMIS US'!A1351</f>
        <v>0</v>
      </c>
      <c r="N1360" t="str">
        <f>T('TMIS US'!B1351)</f>
        <v/>
      </c>
      <c r="O1360" t="s">
        <v>4290</v>
      </c>
      <c r="P1360" t="str">
        <f t="shared" si="176"/>
        <v/>
      </c>
      <c r="Q1360" t="str">
        <f t="shared" si="177"/>
        <v/>
      </c>
      <c r="R1360" s="69"/>
      <c r="S1360">
        <f>'TMIS CA'!A1351</f>
        <v>0</v>
      </c>
      <c r="T1360" t="str">
        <f>T('TMIS CA'!B1351)</f>
        <v/>
      </c>
      <c r="U1360" t="s">
        <v>4290</v>
      </c>
      <c r="V1360" t="str">
        <f t="shared" si="179"/>
        <v/>
      </c>
      <c r="W1360" t="str">
        <f t="shared" si="178"/>
        <v/>
      </c>
    </row>
    <row r="1361" spans="1:23">
      <c r="A1361">
        <f>'IPTV US'!A1352</f>
        <v>0</v>
      </c>
      <c r="B1361" t="str">
        <f>T('IPTV US'!B1352)</f>
        <v/>
      </c>
      <c r="C1361" t="s">
        <v>4290</v>
      </c>
      <c r="D1361" t="str">
        <f t="shared" si="173"/>
        <v/>
      </c>
      <c r="E1361" t="str">
        <f t="shared" si="174"/>
        <v/>
      </c>
      <c r="F1361" s="68" t="s">
        <v>4289</v>
      </c>
      <c r="G1361">
        <f>'IPTV CA'!A1352</f>
        <v>0</v>
      </c>
      <c r="H1361" t="str">
        <f>T('IPTV CA'!B1352)</f>
        <v/>
      </c>
      <c r="I1361" t="s">
        <v>4290</v>
      </c>
      <c r="J1361" t="str">
        <f t="shared" si="175"/>
        <v/>
      </c>
      <c r="K1361" t="str">
        <f t="shared" si="172"/>
        <v/>
      </c>
      <c r="L1361" s="69"/>
      <c r="M1361">
        <f>'TMIS US'!A1352</f>
        <v>0</v>
      </c>
      <c r="N1361" t="str">
        <f>T('TMIS US'!B1352)</f>
        <v/>
      </c>
      <c r="O1361" t="s">
        <v>4290</v>
      </c>
      <c r="P1361" t="str">
        <f t="shared" si="176"/>
        <v/>
      </c>
      <c r="Q1361" t="str">
        <f t="shared" si="177"/>
        <v/>
      </c>
      <c r="R1361" s="69"/>
      <c r="S1361">
        <f>'TMIS CA'!A1352</f>
        <v>0</v>
      </c>
      <c r="T1361" t="str">
        <f>T('TMIS CA'!B1352)</f>
        <v/>
      </c>
      <c r="U1361" t="s">
        <v>4290</v>
      </c>
      <c r="V1361" t="str">
        <f t="shared" si="179"/>
        <v/>
      </c>
      <c r="W1361" t="str">
        <f t="shared" si="178"/>
        <v/>
      </c>
    </row>
    <row r="1362" spans="1:23">
      <c r="A1362">
        <f>'IPTV US'!A1353</f>
        <v>0</v>
      </c>
      <c r="B1362" t="str">
        <f>T('IPTV US'!B1353)</f>
        <v/>
      </c>
      <c r="C1362" t="s">
        <v>4290</v>
      </c>
      <c r="D1362" t="str">
        <f t="shared" si="173"/>
        <v/>
      </c>
      <c r="E1362" t="str">
        <f t="shared" si="174"/>
        <v/>
      </c>
      <c r="F1362" s="68" t="s">
        <v>4289</v>
      </c>
      <c r="G1362">
        <f>'IPTV CA'!A1353</f>
        <v>0</v>
      </c>
      <c r="H1362" t="str">
        <f>T('IPTV CA'!B1353)</f>
        <v/>
      </c>
      <c r="I1362" t="s">
        <v>4290</v>
      </c>
      <c r="J1362" t="str">
        <f t="shared" si="175"/>
        <v/>
      </c>
      <c r="K1362" t="str">
        <f t="shared" si="172"/>
        <v/>
      </c>
      <c r="L1362" s="69"/>
      <c r="M1362">
        <f>'TMIS US'!A1353</f>
        <v>0</v>
      </c>
      <c r="N1362" t="str">
        <f>T('TMIS US'!B1353)</f>
        <v/>
      </c>
      <c r="O1362" t="s">
        <v>4290</v>
      </c>
      <c r="P1362" t="str">
        <f t="shared" si="176"/>
        <v/>
      </c>
      <c r="Q1362" t="str">
        <f t="shared" si="177"/>
        <v/>
      </c>
      <c r="R1362" s="69"/>
      <c r="S1362">
        <f>'TMIS CA'!A1353</f>
        <v>0</v>
      </c>
      <c r="T1362" t="str">
        <f>T('TMIS CA'!B1353)</f>
        <v/>
      </c>
      <c r="U1362" t="s">
        <v>4290</v>
      </c>
      <c r="V1362" t="str">
        <f t="shared" si="179"/>
        <v/>
      </c>
      <c r="W1362" t="str">
        <f t="shared" si="178"/>
        <v/>
      </c>
    </row>
    <row r="1363" spans="1:23">
      <c r="A1363">
        <f>'IPTV US'!A1354</f>
        <v>0</v>
      </c>
      <c r="B1363" t="str">
        <f>T('IPTV US'!B1354)</f>
        <v/>
      </c>
      <c r="C1363" t="s">
        <v>4290</v>
      </c>
      <c r="D1363" t="str">
        <f t="shared" si="173"/>
        <v/>
      </c>
      <c r="E1363" t="str">
        <f t="shared" si="174"/>
        <v/>
      </c>
      <c r="F1363" s="68" t="s">
        <v>4289</v>
      </c>
      <c r="G1363">
        <f>'IPTV CA'!A1354</f>
        <v>0</v>
      </c>
      <c r="H1363" t="str">
        <f>T('IPTV CA'!B1354)</f>
        <v/>
      </c>
      <c r="I1363" t="s">
        <v>4290</v>
      </c>
      <c r="J1363" t="str">
        <f t="shared" si="175"/>
        <v/>
      </c>
      <c r="K1363" t="str">
        <f t="shared" si="172"/>
        <v/>
      </c>
      <c r="L1363" s="69"/>
      <c r="M1363">
        <f>'TMIS US'!A1354</f>
        <v>0</v>
      </c>
      <c r="N1363" t="str">
        <f>T('TMIS US'!B1354)</f>
        <v/>
      </c>
      <c r="O1363" t="s">
        <v>4290</v>
      </c>
      <c r="P1363" t="str">
        <f t="shared" si="176"/>
        <v/>
      </c>
      <c r="Q1363" t="str">
        <f t="shared" si="177"/>
        <v/>
      </c>
      <c r="R1363" s="69"/>
      <c r="S1363">
        <f>'TMIS CA'!A1354</f>
        <v>0</v>
      </c>
      <c r="T1363" t="str">
        <f>T('TMIS CA'!B1354)</f>
        <v/>
      </c>
      <c r="U1363" t="s">
        <v>4290</v>
      </c>
      <c r="V1363" t="str">
        <f t="shared" si="179"/>
        <v/>
      </c>
      <c r="W1363" t="str">
        <f t="shared" si="178"/>
        <v/>
      </c>
    </row>
    <row r="1364" spans="1:23">
      <c r="A1364">
        <f>'IPTV US'!A1355</f>
        <v>0</v>
      </c>
      <c r="B1364" t="str">
        <f>T('IPTV US'!B1355)</f>
        <v/>
      </c>
      <c r="C1364" t="s">
        <v>4290</v>
      </c>
      <c r="D1364" t="str">
        <f t="shared" si="173"/>
        <v/>
      </c>
      <c r="E1364" t="str">
        <f t="shared" si="174"/>
        <v/>
      </c>
      <c r="F1364" s="68" t="s">
        <v>4289</v>
      </c>
      <c r="G1364">
        <f>'IPTV CA'!A1355</f>
        <v>0</v>
      </c>
      <c r="H1364" t="str">
        <f>T('IPTV CA'!B1355)</f>
        <v/>
      </c>
      <c r="I1364" t="s">
        <v>4290</v>
      </c>
      <c r="J1364" t="str">
        <f t="shared" si="175"/>
        <v/>
      </c>
      <c r="K1364" t="str">
        <f t="shared" si="172"/>
        <v/>
      </c>
      <c r="L1364" s="69"/>
      <c r="M1364">
        <f>'TMIS US'!A1355</f>
        <v>0</v>
      </c>
      <c r="N1364" t="str">
        <f>T('TMIS US'!B1355)</f>
        <v/>
      </c>
      <c r="O1364" t="s">
        <v>4290</v>
      </c>
      <c r="P1364" t="str">
        <f t="shared" si="176"/>
        <v/>
      </c>
      <c r="Q1364" t="str">
        <f t="shared" si="177"/>
        <v/>
      </c>
      <c r="R1364" s="69"/>
      <c r="S1364">
        <f>'TMIS CA'!A1355</f>
        <v>0</v>
      </c>
      <c r="T1364" t="str">
        <f>T('TMIS CA'!B1355)</f>
        <v/>
      </c>
      <c r="U1364" t="s">
        <v>4290</v>
      </c>
      <c r="V1364" t="str">
        <f t="shared" si="179"/>
        <v/>
      </c>
      <c r="W1364" t="str">
        <f t="shared" si="178"/>
        <v/>
      </c>
    </row>
    <row r="1365" spans="1:23">
      <c r="A1365">
        <f>'IPTV US'!A1356</f>
        <v>0</v>
      </c>
      <c r="B1365" t="str">
        <f>T('IPTV US'!B1356)</f>
        <v/>
      </c>
      <c r="C1365" t="s">
        <v>4290</v>
      </c>
      <c r="D1365" t="str">
        <f t="shared" si="173"/>
        <v/>
      </c>
      <c r="E1365" t="str">
        <f t="shared" si="174"/>
        <v/>
      </c>
      <c r="F1365" s="68" t="s">
        <v>4289</v>
      </c>
      <c r="G1365">
        <f>'IPTV CA'!A1356</f>
        <v>0</v>
      </c>
      <c r="H1365" t="str">
        <f>T('IPTV CA'!B1356)</f>
        <v/>
      </c>
      <c r="I1365" t="s">
        <v>4290</v>
      </c>
      <c r="J1365" t="str">
        <f t="shared" si="175"/>
        <v/>
      </c>
      <c r="K1365" t="str">
        <f t="shared" si="172"/>
        <v/>
      </c>
      <c r="L1365" s="69"/>
      <c r="M1365">
        <f>'TMIS US'!A1356</f>
        <v>0</v>
      </c>
      <c r="N1365" t="str">
        <f>T('TMIS US'!B1356)</f>
        <v/>
      </c>
      <c r="O1365" t="s">
        <v>4290</v>
      </c>
      <c r="P1365" t="str">
        <f t="shared" si="176"/>
        <v/>
      </c>
      <c r="Q1365" t="str">
        <f t="shared" si="177"/>
        <v/>
      </c>
      <c r="R1365" s="69"/>
      <c r="S1365">
        <f>'TMIS CA'!A1356</f>
        <v>0</v>
      </c>
      <c r="T1365" t="str">
        <f>T('TMIS CA'!B1356)</f>
        <v/>
      </c>
      <c r="U1365" t="s">
        <v>4290</v>
      </c>
      <c r="V1365" t="str">
        <f t="shared" si="179"/>
        <v/>
      </c>
      <c r="W1365" t="str">
        <f t="shared" si="178"/>
        <v/>
      </c>
    </row>
    <row r="1366" spans="1:23">
      <c r="A1366">
        <f>'IPTV US'!A1357</f>
        <v>0</v>
      </c>
      <c r="B1366" t="str">
        <f>T('IPTV US'!B1357)</f>
        <v/>
      </c>
      <c r="C1366" t="s">
        <v>4290</v>
      </c>
      <c r="D1366" t="str">
        <f t="shared" si="173"/>
        <v/>
      </c>
      <c r="E1366" t="str">
        <f t="shared" si="174"/>
        <v/>
      </c>
      <c r="F1366" s="68" t="s">
        <v>4289</v>
      </c>
      <c r="G1366">
        <f>'IPTV CA'!A1357</f>
        <v>0</v>
      </c>
      <c r="H1366" t="str">
        <f>T('IPTV CA'!B1357)</f>
        <v/>
      </c>
      <c r="I1366" t="s">
        <v>4290</v>
      </c>
      <c r="J1366" t="str">
        <f t="shared" si="175"/>
        <v/>
      </c>
      <c r="K1366" t="str">
        <f t="shared" si="172"/>
        <v/>
      </c>
      <c r="L1366" s="69"/>
      <c r="M1366">
        <f>'TMIS US'!A1357</f>
        <v>0</v>
      </c>
      <c r="N1366" t="str">
        <f>T('TMIS US'!B1357)</f>
        <v/>
      </c>
      <c r="O1366" t="s">
        <v>4290</v>
      </c>
      <c r="P1366" t="str">
        <f t="shared" si="176"/>
        <v/>
      </c>
      <c r="Q1366" t="str">
        <f t="shared" si="177"/>
        <v/>
      </c>
      <c r="R1366" s="69"/>
      <c r="S1366">
        <f>'TMIS CA'!A1357</f>
        <v>0</v>
      </c>
      <c r="T1366" t="str">
        <f>T('TMIS CA'!B1357)</f>
        <v/>
      </c>
      <c r="U1366" t="s">
        <v>4290</v>
      </c>
      <c r="V1366" t="str">
        <f t="shared" si="179"/>
        <v/>
      </c>
      <c r="W1366" t="str">
        <f t="shared" si="178"/>
        <v/>
      </c>
    </row>
    <row r="1367" spans="1:23">
      <c r="A1367">
        <f>'IPTV US'!A1358</f>
        <v>0</v>
      </c>
      <c r="B1367" t="str">
        <f>T('IPTV US'!B1358)</f>
        <v/>
      </c>
      <c r="C1367" t="s">
        <v>4290</v>
      </c>
      <c r="D1367" t="str">
        <f t="shared" si="173"/>
        <v/>
      </c>
      <c r="E1367" t="str">
        <f t="shared" si="174"/>
        <v/>
      </c>
      <c r="F1367" s="68" t="s">
        <v>4289</v>
      </c>
      <c r="G1367">
        <f>'IPTV CA'!A1358</f>
        <v>0</v>
      </c>
      <c r="H1367" t="str">
        <f>T('IPTV CA'!B1358)</f>
        <v/>
      </c>
      <c r="I1367" t="s">
        <v>4290</v>
      </c>
      <c r="J1367" t="str">
        <f t="shared" si="175"/>
        <v/>
      </c>
      <c r="K1367" t="str">
        <f t="shared" si="172"/>
        <v/>
      </c>
      <c r="L1367" s="69"/>
      <c r="M1367">
        <f>'TMIS US'!A1358</f>
        <v>0</v>
      </c>
      <c r="N1367" t="str">
        <f>T('TMIS US'!B1358)</f>
        <v/>
      </c>
      <c r="O1367" t="s">
        <v>4290</v>
      </c>
      <c r="P1367" t="str">
        <f t="shared" si="176"/>
        <v/>
      </c>
      <c r="Q1367" t="str">
        <f t="shared" si="177"/>
        <v/>
      </c>
      <c r="R1367" s="69"/>
      <c r="S1367">
        <f>'TMIS CA'!A1358</f>
        <v>0</v>
      </c>
      <c r="T1367" t="str">
        <f>T('TMIS CA'!B1358)</f>
        <v/>
      </c>
      <c r="U1367" t="s">
        <v>4290</v>
      </c>
      <c r="V1367" t="str">
        <f t="shared" si="179"/>
        <v/>
      </c>
      <c r="W1367" t="str">
        <f t="shared" si="178"/>
        <v/>
      </c>
    </row>
    <row r="1368" spans="1:23">
      <c r="A1368">
        <f>'IPTV US'!A1359</f>
        <v>0</v>
      </c>
      <c r="B1368" t="str">
        <f>T('IPTV US'!B1359)</f>
        <v/>
      </c>
      <c r="C1368" t="s">
        <v>4290</v>
      </c>
      <c r="D1368" t="str">
        <f t="shared" si="173"/>
        <v/>
      </c>
      <c r="E1368" t="str">
        <f t="shared" si="174"/>
        <v/>
      </c>
      <c r="F1368" s="68" t="s">
        <v>4289</v>
      </c>
      <c r="G1368">
        <f>'IPTV CA'!A1359</f>
        <v>0</v>
      </c>
      <c r="H1368" t="str">
        <f>T('IPTV CA'!B1359)</f>
        <v/>
      </c>
      <c r="I1368" t="s">
        <v>4290</v>
      </c>
      <c r="J1368" t="str">
        <f t="shared" si="175"/>
        <v/>
      </c>
      <c r="K1368" t="str">
        <f t="shared" si="172"/>
        <v/>
      </c>
      <c r="L1368" s="69"/>
      <c r="M1368">
        <f>'TMIS US'!A1359</f>
        <v>0</v>
      </c>
      <c r="N1368" t="str">
        <f>T('TMIS US'!B1359)</f>
        <v/>
      </c>
      <c r="O1368" t="s">
        <v>4290</v>
      </c>
      <c r="P1368" t="str">
        <f t="shared" si="176"/>
        <v/>
      </c>
      <c r="Q1368" t="str">
        <f t="shared" si="177"/>
        <v/>
      </c>
      <c r="R1368" s="69"/>
      <c r="S1368">
        <f>'TMIS CA'!A1359</f>
        <v>0</v>
      </c>
      <c r="T1368" t="str">
        <f>T('TMIS CA'!B1359)</f>
        <v/>
      </c>
      <c r="U1368" t="s">
        <v>4290</v>
      </c>
      <c r="V1368" t="str">
        <f t="shared" si="179"/>
        <v/>
      </c>
      <c r="W1368" t="str">
        <f t="shared" si="178"/>
        <v/>
      </c>
    </row>
    <row r="1369" spans="1:23">
      <c r="A1369">
        <f>'IPTV US'!A1360</f>
        <v>0</v>
      </c>
      <c r="B1369" t="str">
        <f>T('IPTV US'!B1360)</f>
        <v/>
      </c>
      <c r="C1369" t="s">
        <v>4290</v>
      </c>
      <c r="D1369" t="str">
        <f t="shared" si="173"/>
        <v/>
      </c>
      <c r="E1369" t="str">
        <f t="shared" si="174"/>
        <v/>
      </c>
      <c r="F1369" s="68" t="s">
        <v>4289</v>
      </c>
      <c r="G1369">
        <f>'IPTV CA'!A1360</f>
        <v>0</v>
      </c>
      <c r="H1369" t="str">
        <f>T('IPTV CA'!B1360)</f>
        <v/>
      </c>
      <c r="I1369" t="s">
        <v>4290</v>
      </c>
      <c r="J1369" t="str">
        <f t="shared" si="175"/>
        <v/>
      </c>
      <c r="K1369" t="str">
        <f t="shared" si="172"/>
        <v/>
      </c>
      <c r="L1369" s="69"/>
      <c r="M1369">
        <f>'TMIS US'!A1360</f>
        <v>0</v>
      </c>
      <c r="N1369" t="str">
        <f>T('TMIS US'!B1360)</f>
        <v/>
      </c>
      <c r="O1369" t="s">
        <v>4290</v>
      </c>
      <c r="P1369" t="str">
        <f t="shared" si="176"/>
        <v/>
      </c>
      <c r="Q1369" t="str">
        <f t="shared" si="177"/>
        <v/>
      </c>
      <c r="R1369" s="69"/>
      <c r="S1369">
        <f>'TMIS CA'!A1360</f>
        <v>0</v>
      </c>
      <c r="T1369" t="str">
        <f>T('TMIS CA'!B1360)</f>
        <v/>
      </c>
      <c r="U1369" t="s">
        <v>4290</v>
      </c>
      <c r="V1369" t="str">
        <f t="shared" si="179"/>
        <v/>
      </c>
      <c r="W1369" t="str">
        <f t="shared" si="178"/>
        <v/>
      </c>
    </row>
    <row r="1370" spans="1:23">
      <c r="A1370">
        <f>'IPTV US'!A1361</f>
        <v>0</v>
      </c>
      <c r="B1370" t="str">
        <f>T('IPTV US'!B1361)</f>
        <v/>
      </c>
      <c r="C1370" t="s">
        <v>4290</v>
      </c>
      <c r="D1370" t="str">
        <f t="shared" si="173"/>
        <v/>
      </c>
      <c r="E1370" t="str">
        <f t="shared" si="174"/>
        <v/>
      </c>
      <c r="F1370" s="68" t="s">
        <v>4289</v>
      </c>
      <c r="G1370">
        <f>'IPTV CA'!A1361</f>
        <v>0</v>
      </c>
      <c r="H1370" t="str">
        <f>T('IPTV CA'!B1361)</f>
        <v/>
      </c>
      <c r="I1370" t="s">
        <v>4290</v>
      </c>
      <c r="J1370" t="str">
        <f t="shared" si="175"/>
        <v/>
      </c>
      <c r="K1370" t="str">
        <f t="shared" si="172"/>
        <v/>
      </c>
      <c r="L1370" s="69"/>
      <c r="M1370">
        <f>'TMIS US'!A1361</f>
        <v>0</v>
      </c>
      <c r="N1370" t="str">
        <f>T('TMIS US'!B1361)</f>
        <v/>
      </c>
      <c r="O1370" t="s">
        <v>4290</v>
      </c>
      <c r="P1370" t="str">
        <f t="shared" si="176"/>
        <v/>
      </c>
      <c r="Q1370" t="str">
        <f t="shared" si="177"/>
        <v/>
      </c>
      <c r="R1370" s="69"/>
      <c r="S1370">
        <f>'TMIS CA'!A1361</f>
        <v>0</v>
      </c>
      <c r="T1370" t="str">
        <f>T('TMIS CA'!B1361)</f>
        <v/>
      </c>
      <c r="U1370" t="s">
        <v>4290</v>
      </c>
      <c r="V1370" t="str">
        <f t="shared" si="179"/>
        <v/>
      </c>
      <c r="W1370" t="str">
        <f t="shared" si="178"/>
        <v/>
      </c>
    </row>
    <row r="1371" spans="1:23">
      <c r="A1371">
        <f>'IPTV US'!A1362</f>
        <v>0</v>
      </c>
      <c r="B1371" t="str">
        <f>T('IPTV US'!B1362)</f>
        <v/>
      </c>
      <c r="C1371" t="s">
        <v>4290</v>
      </c>
      <c r="D1371" t="str">
        <f t="shared" si="173"/>
        <v/>
      </c>
      <c r="E1371" t="str">
        <f t="shared" si="174"/>
        <v/>
      </c>
      <c r="F1371" s="68" t="s">
        <v>4289</v>
      </c>
      <c r="G1371">
        <f>'IPTV CA'!A1362</f>
        <v>0</v>
      </c>
      <c r="H1371" t="str">
        <f>T('IPTV CA'!B1362)</f>
        <v/>
      </c>
      <c r="I1371" t="s">
        <v>4290</v>
      </c>
      <c r="J1371" t="str">
        <f t="shared" si="175"/>
        <v/>
      </c>
      <c r="K1371" t="str">
        <f t="shared" si="172"/>
        <v/>
      </c>
      <c r="L1371" s="69"/>
      <c r="M1371">
        <f>'TMIS US'!A1362</f>
        <v>0</v>
      </c>
      <c r="N1371" t="str">
        <f>T('TMIS US'!B1362)</f>
        <v/>
      </c>
      <c r="O1371" t="s">
        <v>4290</v>
      </c>
      <c r="P1371" t="str">
        <f t="shared" si="176"/>
        <v/>
      </c>
      <c r="Q1371" t="str">
        <f t="shared" si="177"/>
        <v/>
      </c>
      <c r="R1371" s="69"/>
      <c r="S1371">
        <f>'TMIS CA'!A1362</f>
        <v>0</v>
      </c>
      <c r="T1371" t="str">
        <f>T('TMIS CA'!B1362)</f>
        <v/>
      </c>
      <c r="U1371" t="s">
        <v>4290</v>
      </c>
      <c r="V1371" t="str">
        <f t="shared" si="179"/>
        <v/>
      </c>
      <c r="W1371" t="str">
        <f t="shared" si="178"/>
        <v/>
      </c>
    </row>
    <row r="1372" spans="1:23">
      <c r="A1372">
        <f>'IPTV US'!A1363</f>
        <v>0</v>
      </c>
      <c r="B1372" t="str">
        <f>T('IPTV US'!B1363)</f>
        <v/>
      </c>
      <c r="C1372" t="s">
        <v>4290</v>
      </c>
      <c r="D1372" t="str">
        <f t="shared" si="173"/>
        <v/>
      </c>
      <c r="E1372" t="str">
        <f t="shared" si="174"/>
        <v/>
      </c>
      <c r="F1372" s="68" t="s">
        <v>4289</v>
      </c>
      <c r="G1372">
        <f>'IPTV CA'!A1363</f>
        <v>0</v>
      </c>
      <c r="H1372" t="str">
        <f>T('IPTV CA'!B1363)</f>
        <v/>
      </c>
      <c r="I1372" t="s">
        <v>4290</v>
      </c>
      <c r="J1372" t="str">
        <f t="shared" si="175"/>
        <v/>
      </c>
      <c r="K1372" t="str">
        <f t="shared" si="172"/>
        <v/>
      </c>
      <c r="L1372" s="69"/>
      <c r="M1372">
        <f>'TMIS US'!A1363</f>
        <v>0</v>
      </c>
      <c r="N1372" t="str">
        <f>T('TMIS US'!B1363)</f>
        <v/>
      </c>
      <c r="O1372" t="s">
        <v>4290</v>
      </c>
      <c r="P1372" t="str">
        <f t="shared" si="176"/>
        <v/>
      </c>
      <c r="Q1372" t="str">
        <f t="shared" si="177"/>
        <v/>
      </c>
      <c r="R1372" s="69"/>
      <c r="S1372">
        <f>'TMIS CA'!A1363</f>
        <v>0</v>
      </c>
      <c r="T1372" t="str">
        <f>T('TMIS CA'!B1363)</f>
        <v/>
      </c>
      <c r="U1372" t="s">
        <v>4290</v>
      </c>
      <c r="V1372" t="str">
        <f t="shared" si="179"/>
        <v/>
      </c>
      <c r="W1372" t="str">
        <f t="shared" si="178"/>
        <v/>
      </c>
    </row>
    <row r="1373" spans="1:23">
      <c r="A1373">
        <f>'IPTV US'!A1364</f>
        <v>0</v>
      </c>
      <c r="B1373" t="str">
        <f>T('IPTV US'!B1364)</f>
        <v/>
      </c>
      <c r="C1373" t="s">
        <v>4290</v>
      </c>
      <c r="D1373" t="str">
        <f t="shared" si="173"/>
        <v/>
      </c>
      <c r="E1373" t="str">
        <f t="shared" si="174"/>
        <v/>
      </c>
      <c r="F1373" s="68" t="s">
        <v>4289</v>
      </c>
      <c r="G1373">
        <f>'IPTV CA'!A1364</f>
        <v>0</v>
      </c>
      <c r="H1373" t="str">
        <f>T('IPTV CA'!B1364)</f>
        <v/>
      </c>
      <c r="I1373" t="s">
        <v>4290</v>
      </c>
      <c r="J1373" t="str">
        <f t="shared" si="175"/>
        <v/>
      </c>
      <c r="K1373" t="str">
        <f t="shared" si="172"/>
        <v/>
      </c>
      <c r="L1373" s="69"/>
      <c r="M1373">
        <f>'TMIS US'!A1364</f>
        <v>0</v>
      </c>
      <c r="N1373" t="str">
        <f>T('TMIS US'!B1364)</f>
        <v/>
      </c>
      <c r="O1373" t="s">
        <v>4290</v>
      </c>
      <c r="P1373" t="str">
        <f t="shared" si="176"/>
        <v/>
      </c>
      <c r="Q1373" t="str">
        <f t="shared" si="177"/>
        <v/>
      </c>
      <c r="R1373" s="69"/>
      <c r="S1373">
        <f>'TMIS CA'!A1364</f>
        <v>0</v>
      </c>
      <c r="T1373" t="str">
        <f>T('TMIS CA'!B1364)</f>
        <v/>
      </c>
      <c r="U1373" t="s">
        <v>4290</v>
      </c>
      <c r="V1373" t="str">
        <f t="shared" si="179"/>
        <v/>
      </c>
      <c r="W1373" t="str">
        <f t="shared" si="178"/>
        <v/>
      </c>
    </row>
    <row r="1374" spans="1:23">
      <c r="A1374">
        <f>'IPTV US'!A1365</f>
        <v>0</v>
      </c>
      <c r="B1374" t="str">
        <f>T('IPTV US'!B1365)</f>
        <v/>
      </c>
      <c r="C1374" t="s">
        <v>4290</v>
      </c>
      <c r="D1374" t="str">
        <f t="shared" si="173"/>
        <v/>
      </c>
      <c r="E1374" t="str">
        <f t="shared" si="174"/>
        <v/>
      </c>
      <c r="F1374" s="68" t="s">
        <v>4289</v>
      </c>
      <c r="G1374">
        <f>'IPTV CA'!A1365</f>
        <v>0</v>
      </c>
      <c r="H1374" t="str">
        <f>T('IPTV CA'!B1365)</f>
        <v/>
      </c>
      <c r="I1374" t="s">
        <v>4290</v>
      </c>
      <c r="J1374" t="str">
        <f t="shared" si="175"/>
        <v/>
      </c>
      <c r="K1374" t="str">
        <f t="shared" si="172"/>
        <v/>
      </c>
      <c r="L1374" s="69"/>
      <c r="M1374">
        <f>'TMIS US'!A1365</f>
        <v>0</v>
      </c>
      <c r="N1374" t="str">
        <f>T('TMIS US'!B1365)</f>
        <v/>
      </c>
      <c r="O1374" t="s">
        <v>4290</v>
      </c>
      <c r="P1374" t="str">
        <f t="shared" si="176"/>
        <v/>
      </c>
      <c r="Q1374" t="str">
        <f t="shared" si="177"/>
        <v/>
      </c>
      <c r="R1374" s="69"/>
      <c r="S1374">
        <f>'TMIS CA'!A1365</f>
        <v>0</v>
      </c>
      <c r="T1374" t="str">
        <f>T('TMIS CA'!B1365)</f>
        <v/>
      </c>
      <c r="U1374" t="s">
        <v>4290</v>
      </c>
      <c r="V1374" t="str">
        <f t="shared" si="179"/>
        <v/>
      </c>
      <c r="W1374" t="str">
        <f t="shared" si="178"/>
        <v/>
      </c>
    </row>
    <row r="1375" spans="1:23">
      <c r="A1375">
        <f>'IPTV US'!A1366</f>
        <v>0</v>
      </c>
      <c r="B1375" t="str">
        <f>T('IPTV US'!B1366)</f>
        <v/>
      </c>
      <c r="C1375" t="s">
        <v>4290</v>
      </c>
      <c r="D1375" t="str">
        <f t="shared" si="173"/>
        <v/>
      </c>
      <c r="E1375" t="str">
        <f t="shared" si="174"/>
        <v/>
      </c>
      <c r="F1375" s="68" t="s">
        <v>4289</v>
      </c>
      <c r="G1375">
        <f>'IPTV CA'!A1366</f>
        <v>0</v>
      </c>
      <c r="H1375" t="str">
        <f>T('IPTV CA'!B1366)</f>
        <v/>
      </c>
      <c r="I1375" t="s">
        <v>4290</v>
      </c>
      <c r="J1375" t="str">
        <f t="shared" si="175"/>
        <v/>
      </c>
      <c r="K1375" t="str">
        <f t="shared" si="172"/>
        <v/>
      </c>
      <c r="L1375" s="69"/>
      <c r="M1375">
        <f>'TMIS US'!A1366</f>
        <v>0</v>
      </c>
      <c r="N1375" t="str">
        <f>T('TMIS US'!B1366)</f>
        <v/>
      </c>
      <c r="O1375" t="s">
        <v>4290</v>
      </c>
      <c r="P1375" t="str">
        <f t="shared" si="176"/>
        <v/>
      </c>
      <c r="Q1375" t="str">
        <f t="shared" si="177"/>
        <v/>
      </c>
      <c r="R1375" s="69"/>
      <c r="S1375">
        <f>'TMIS CA'!A1366</f>
        <v>0</v>
      </c>
      <c r="T1375" t="str">
        <f>T('TMIS CA'!B1366)</f>
        <v/>
      </c>
      <c r="U1375" t="s">
        <v>4290</v>
      </c>
      <c r="V1375" t="str">
        <f t="shared" si="179"/>
        <v/>
      </c>
      <c r="W1375" t="str">
        <f t="shared" si="178"/>
        <v/>
      </c>
    </row>
    <row r="1376" spans="1:23">
      <c r="A1376">
        <f>'IPTV US'!A1367</f>
        <v>0</v>
      </c>
      <c r="B1376" t="str">
        <f>T('IPTV US'!B1367)</f>
        <v/>
      </c>
      <c r="C1376" t="s">
        <v>4290</v>
      </c>
      <c r="D1376" t="str">
        <f t="shared" si="173"/>
        <v/>
      </c>
      <c r="E1376" t="str">
        <f t="shared" si="174"/>
        <v/>
      </c>
      <c r="F1376" s="68" t="s">
        <v>4289</v>
      </c>
      <c r="G1376">
        <f>'IPTV CA'!A1367</f>
        <v>0</v>
      </c>
      <c r="H1376" t="str">
        <f>T('IPTV CA'!B1367)</f>
        <v/>
      </c>
      <c r="I1376" t="s">
        <v>4290</v>
      </c>
      <c r="J1376" t="str">
        <f t="shared" si="175"/>
        <v/>
      </c>
      <c r="K1376" t="str">
        <f t="shared" si="172"/>
        <v/>
      </c>
      <c r="L1376" s="69"/>
      <c r="M1376">
        <f>'TMIS US'!A1367</f>
        <v>0</v>
      </c>
      <c r="N1376" t="str">
        <f>T('TMIS US'!B1367)</f>
        <v/>
      </c>
      <c r="O1376" t="s">
        <v>4290</v>
      </c>
      <c r="P1376" t="str">
        <f t="shared" si="176"/>
        <v/>
      </c>
      <c r="Q1376" t="str">
        <f t="shared" si="177"/>
        <v/>
      </c>
      <c r="R1376" s="69"/>
      <c r="S1376">
        <f>'TMIS CA'!A1367</f>
        <v>0</v>
      </c>
      <c r="T1376" t="str">
        <f>T('TMIS CA'!B1367)</f>
        <v/>
      </c>
      <c r="U1376" t="s">
        <v>4290</v>
      </c>
      <c r="V1376" t="str">
        <f t="shared" si="179"/>
        <v/>
      </c>
      <c r="W1376" t="str">
        <f t="shared" si="178"/>
        <v/>
      </c>
    </row>
    <row r="1377" spans="1:23">
      <c r="A1377">
        <f>'IPTV US'!A1368</f>
        <v>0</v>
      </c>
      <c r="B1377" t="str">
        <f>T('IPTV US'!B1368)</f>
        <v/>
      </c>
      <c r="C1377" t="s">
        <v>4290</v>
      </c>
      <c r="D1377" t="str">
        <f t="shared" si="173"/>
        <v/>
      </c>
      <c r="E1377" t="str">
        <f t="shared" si="174"/>
        <v/>
      </c>
      <c r="F1377" s="68" t="s">
        <v>4289</v>
      </c>
      <c r="G1377">
        <f>'IPTV CA'!A1368</f>
        <v>0</v>
      </c>
      <c r="H1377" t="str">
        <f>T('IPTV CA'!B1368)</f>
        <v/>
      </c>
      <c r="I1377" t="s">
        <v>4290</v>
      </c>
      <c r="J1377" t="str">
        <f t="shared" si="175"/>
        <v/>
      </c>
      <c r="K1377" t="str">
        <f t="shared" si="172"/>
        <v/>
      </c>
      <c r="L1377" s="69"/>
      <c r="M1377">
        <f>'TMIS US'!A1368</f>
        <v>0</v>
      </c>
      <c r="N1377" t="str">
        <f>T('TMIS US'!B1368)</f>
        <v/>
      </c>
      <c r="O1377" t="s">
        <v>4290</v>
      </c>
      <c r="P1377" t="str">
        <f t="shared" si="176"/>
        <v/>
      </c>
      <c r="Q1377" t="str">
        <f t="shared" si="177"/>
        <v/>
      </c>
      <c r="R1377" s="69"/>
      <c r="S1377">
        <f>'TMIS CA'!A1368</f>
        <v>0</v>
      </c>
      <c r="T1377" t="str">
        <f>T('TMIS CA'!B1368)</f>
        <v/>
      </c>
      <c r="U1377" t="s">
        <v>4290</v>
      </c>
      <c r="V1377" t="str">
        <f t="shared" si="179"/>
        <v/>
      </c>
      <c r="W1377" t="str">
        <f t="shared" si="178"/>
        <v/>
      </c>
    </row>
    <row r="1378" spans="1:23">
      <c r="A1378">
        <f>'IPTV US'!A1369</f>
        <v>0</v>
      </c>
      <c r="B1378" t="str">
        <f>T('IPTV US'!B1369)</f>
        <v/>
      </c>
      <c r="C1378" t="s">
        <v>4290</v>
      </c>
      <c r="D1378" t="str">
        <f t="shared" si="173"/>
        <v/>
      </c>
      <c r="E1378" t="str">
        <f t="shared" si="174"/>
        <v/>
      </c>
      <c r="F1378" s="68" t="s">
        <v>4289</v>
      </c>
      <c r="G1378">
        <f>'IPTV CA'!A1369</f>
        <v>0</v>
      </c>
      <c r="H1378" t="str">
        <f>T('IPTV CA'!B1369)</f>
        <v/>
      </c>
      <c r="I1378" t="s">
        <v>4290</v>
      </c>
      <c r="J1378" t="str">
        <f t="shared" si="175"/>
        <v/>
      </c>
      <c r="K1378" t="str">
        <f t="shared" si="172"/>
        <v/>
      </c>
      <c r="L1378" s="69"/>
      <c r="M1378">
        <f>'TMIS US'!A1369</f>
        <v>0</v>
      </c>
      <c r="N1378" t="str">
        <f>T('TMIS US'!B1369)</f>
        <v/>
      </c>
      <c r="O1378" t="s">
        <v>4290</v>
      </c>
      <c r="P1378" t="str">
        <f t="shared" si="176"/>
        <v/>
      </c>
      <c r="Q1378" t="str">
        <f t="shared" si="177"/>
        <v/>
      </c>
      <c r="R1378" s="69"/>
      <c r="S1378">
        <f>'TMIS CA'!A1369</f>
        <v>0</v>
      </c>
      <c r="T1378" t="str">
        <f>T('TMIS CA'!B1369)</f>
        <v/>
      </c>
      <c r="U1378" t="s">
        <v>4290</v>
      </c>
      <c r="V1378" t="str">
        <f t="shared" si="179"/>
        <v/>
      </c>
      <c r="W1378" t="str">
        <f t="shared" si="178"/>
        <v/>
      </c>
    </row>
    <row r="1379" spans="1:23">
      <c r="A1379">
        <f>'IPTV US'!A1370</f>
        <v>0</v>
      </c>
      <c r="B1379" t="str">
        <f>T('IPTV US'!B1370)</f>
        <v/>
      </c>
      <c r="C1379" t="s">
        <v>4290</v>
      </c>
      <c r="D1379" t="str">
        <f t="shared" si="173"/>
        <v/>
      </c>
      <c r="E1379" t="str">
        <f t="shared" si="174"/>
        <v/>
      </c>
      <c r="F1379" s="68" t="s">
        <v>4289</v>
      </c>
      <c r="G1379">
        <f>'IPTV CA'!A1370</f>
        <v>0</v>
      </c>
      <c r="H1379" t="str">
        <f>T('IPTV CA'!B1370)</f>
        <v/>
      </c>
      <c r="I1379" t="s">
        <v>4290</v>
      </c>
      <c r="J1379" t="str">
        <f t="shared" si="175"/>
        <v/>
      </c>
      <c r="K1379" t="str">
        <f t="shared" si="172"/>
        <v/>
      </c>
      <c r="L1379" s="69"/>
      <c r="M1379">
        <f>'TMIS US'!A1370</f>
        <v>0</v>
      </c>
      <c r="N1379" t="str">
        <f>T('TMIS US'!B1370)</f>
        <v/>
      </c>
      <c r="O1379" t="s">
        <v>4290</v>
      </c>
      <c r="P1379" t="str">
        <f t="shared" si="176"/>
        <v/>
      </c>
      <c r="Q1379" t="str">
        <f t="shared" si="177"/>
        <v/>
      </c>
      <c r="R1379" s="69"/>
      <c r="S1379">
        <f>'TMIS CA'!A1370</f>
        <v>0</v>
      </c>
      <c r="T1379" t="str">
        <f>T('TMIS CA'!B1370)</f>
        <v/>
      </c>
      <c r="U1379" t="s">
        <v>4290</v>
      </c>
      <c r="V1379" t="str">
        <f t="shared" si="179"/>
        <v/>
      </c>
      <c r="W1379" t="str">
        <f t="shared" si="178"/>
        <v/>
      </c>
    </row>
    <row r="1380" spans="1:23">
      <c r="A1380">
        <f>'IPTV US'!A1371</f>
        <v>0</v>
      </c>
      <c r="B1380" t="str">
        <f>T('IPTV US'!B1371)</f>
        <v/>
      </c>
      <c r="C1380" t="s">
        <v>4290</v>
      </c>
      <c r="D1380" t="str">
        <f t="shared" si="173"/>
        <v/>
      </c>
      <c r="E1380" t="str">
        <f t="shared" si="174"/>
        <v/>
      </c>
      <c r="F1380" s="68" t="s">
        <v>4289</v>
      </c>
      <c r="G1380">
        <f>'IPTV CA'!A1371</f>
        <v>0</v>
      </c>
      <c r="H1380" t="str">
        <f>T('IPTV CA'!B1371)</f>
        <v/>
      </c>
      <c r="I1380" t="s">
        <v>4290</v>
      </c>
      <c r="J1380" t="str">
        <f t="shared" si="175"/>
        <v/>
      </c>
      <c r="K1380" t="str">
        <f t="shared" si="172"/>
        <v/>
      </c>
      <c r="L1380" s="69"/>
      <c r="M1380">
        <f>'TMIS US'!A1371</f>
        <v>0</v>
      </c>
      <c r="N1380" t="str">
        <f>T('TMIS US'!B1371)</f>
        <v/>
      </c>
      <c r="O1380" t="s">
        <v>4290</v>
      </c>
      <c r="P1380" t="str">
        <f t="shared" si="176"/>
        <v/>
      </c>
      <c r="Q1380" t="str">
        <f t="shared" si="177"/>
        <v/>
      </c>
      <c r="R1380" s="69"/>
      <c r="S1380">
        <f>'TMIS CA'!A1371</f>
        <v>0</v>
      </c>
      <c r="T1380" t="str">
        <f>T('TMIS CA'!B1371)</f>
        <v/>
      </c>
      <c r="U1380" t="s">
        <v>4290</v>
      </c>
      <c r="V1380" t="str">
        <f t="shared" si="179"/>
        <v/>
      </c>
      <c r="W1380" t="str">
        <f t="shared" si="178"/>
        <v/>
      </c>
    </row>
    <row r="1381" spans="1:23">
      <c r="A1381">
        <f>'IPTV US'!A1372</f>
        <v>0</v>
      </c>
      <c r="B1381" t="str">
        <f>T('IPTV US'!B1372)</f>
        <v/>
      </c>
      <c r="C1381" t="s">
        <v>4290</v>
      </c>
      <c r="D1381" t="str">
        <f t="shared" si="173"/>
        <v/>
      </c>
      <c r="E1381" t="str">
        <f t="shared" si="174"/>
        <v/>
      </c>
      <c r="F1381" s="68" t="s">
        <v>4289</v>
      </c>
      <c r="G1381">
        <f>'IPTV CA'!A1372</f>
        <v>0</v>
      </c>
      <c r="H1381" t="str">
        <f>T('IPTV CA'!B1372)</f>
        <v/>
      </c>
      <c r="I1381" t="s">
        <v>4290</v>
      </c>
      <c r="J1381" t="str">
        <f t="shared" si="175"/>
        <v/>
      </c>
      <c r="K1381" t="str">
        <f t="shared" si="172"/>
        <v/>
      </c>
      <c r="L1381" s="69"/>
      <c r="M1381">
        <f>'TMIS US'!A1372</f>
        <v>0</v>
      </c>
      <c r="N1381" t="str">
        <f>T('TMIS US'!B1372)</f>
        <v/>
      </c>
      <c r="O1381" t="s">
        <v>4290</v>
      </c>
      <c r="P1381" t="str">
        <f t="shared" si="176"/>
        <v/>
      </c>
      <c r="Q1381" t="str">
        <f t="shared" si="177"/>
        <v/>
      </c>
      <c r="R1381" s="69"/>
      <c r="S1381">
        <f>'TMIS CA'!A1372</f>
        <v>0</v>
      </c>
      <c r="T1381" t="str">
        <f>T('TMIS CA'!B1372)</f>
        <v/>
      </c>
      <c r="U1381" t="s">
        <v>4290</v>
      </c>
      <c r="V1381" t="str">
        <f t="shared" si="179"/>
        <v/>
      </c>
      <c r="W1381" t="str">
        <f t="shared" si="178"/>
        <v/>
      </c>
    </row>
    <row r="1382" spans="1:23">
      <c r="A1382">
        <f>'IPTV US'!A1373</f>
        <v>0</v>
      </c>
      <c r="B1382" t="str">
        <f>T('IPTV US'!B1373)</f>
        <v/>
      </c>
      <c r="C1382" t="s">
        <v>4290</v>
      </c>
      <c r="D1382" t="str">
        <f t="shared" si="173"/>
        <v/>
      </c>
      <c r="E1382" t="str">
        <f t="shared" si="174"/>
        <v/>
      </c>
      <c r="F1382" s="68" t="s">
        <v>4289</v>
      </c>
      <c r="G1382">
        <f>'IPTV CA'!A1373</f>
        <v>0</v>
      </c>
      <c r="H1382" t="str">
        <f>T('IPTV CA'!B1373)</f>
        <v/>
      </c>
      <c r="I1382" t="s">
        <v>4290</v>
      </c>
      <c r="J1382" t="str">
        <f t="shared" si="175"/>
        <v/>
      </c>
      <c r="K1382" t="str">
        <f t="shared" si="172"/>
        <v/>
      </c>
      <c r="L1382" s="69"/>
      <c r="M1382">
        <f>'TMIS US'!A1373</f>
        <v>0</v>
      </c>
      <c r="N1382" t="str">
        <f>T('TMIS US'!B1373)</f>
        <v/>
      </c>
      <c r="O1382" t="s">
        <v>4290</v>
      </c>
      <c r="P1382" t="str">
        <f t="shared" si="176"/>
        <v/>
      </c>
      <c r="Q1382" t="str">
        <f t="shared" si="177"/>
        <v/>
      </c>
      <c r="R1382" s="69"/>
      <c r="S1382">
        <f>'TMIS CA'!A1373</f>
        <v>0</v>
      </c>
      <c r="T1382" t="str">
        <f>T('TMIS CA'!B1373)</f>
        <v/>
      </c>
      <c r="U1382" t="s">
        <v>4290</v>
      </c>
      <c r="V1382" t="str">
        <f t="shared" si="179"/>
        <v/>
      </c>
      <c r="W1382" t="str">
        <f t="shared" si="178"/>
        <v/>
      </c>
    </row>
    <row r="1383" spans="1:23">
      <c r="A1383">
        <f>'IPTV US'!A1374</f>
        <v>0</v>
      </c>
      <c r="B1383" t="str">
        <f>T('IPTV US'!B1374)</f>
        <v/>
      </c>
      <c r="C1383" t="s">
        <v>4290</v>
      </c>
      <c r="D1383" t="str">
        <f t="shared" si="173"/>
        <v/>
      </c>
      <c r="E1383" t="str">
        <f t="shared" si="174"/>
        <v/>
      </c>
      <c r="F1383" s="68" t="s">
        <v>4289</v>
      </c>
      <c r="G1383">
        <f>'IPTV CA'!A1374</f>
        <v>0</v>
      </c>
      <c r="H1383" t="str">
        <f>T('IPTV CA'!B1374)</f>
        <v/>
      </c>
      <c r="I1383" t="s">
        <v>4290</v>
      </c>
      <c r="J1383" t="str">
        <f t="shared" si="175"/>
        <v/>
      </c>
      <c r="K1383" t="str">
        <f t="shared" si="172"/>
        <v/>
      </c>
      <c r="L1383" s="69"/>
      <c r="M1383">
        <f>'TMIS US'!A1374</f>
        <v>0</v>
      </c>
      <c r="N1383" t="str">
        <f>T('TMIS US'!B1374)</f>
        <v/>
      </c>
      <c r="O1383" t="s">
        <v>4290</v>
      </c>
      <c r="P1383" t="str">
        <f t="shared" si="176"/>
        <v/>
      </c>
      <c r="Q1383" t="str">
        <f t="shared" si="177"/>
        <v/>
      </c>
      <c r="R1383" s="69"/>
      <c r="S1383">
        <f>'TMIS CA'!A1374</f>
        <v>0</v>
      </c>
      <c r="T1383" t="str">
        <f>T('TMIS CA'!B1374)</f>
        <v/>
      </c>
      <c r="U1383" t="s">
        <v>4290</v>
      </c>
      <c r="V1383" t="str">
        <f t="shared" si="179"/>
        <v/>
      </c>
      <c r="W1383" t="str">
        <f t="shared" si="178"/>
        <v/>
      </c>
    </row>
    <row r="1384" spans="1:23">
      <c r="A1384">
        <f>'IPTV US'!A1375</f>
        <v>0</v>
      </c>
      <c r="B1384" t="str">
        <f>T('IPTV US'!B1375)</f>
        <v/>
      </c>
      <c r="C1384" t="s">
        <v>4290</v>
      </c>
      <c r="D1384" t="str">
        <f t="shared" si="173"/>
        <v/>
      </c>
      <c r="E1384" t="str">
        <f t="shared" si="174"/>
        <v/>
      </c>
      <c r="F1384" s="68" t="s">
        <v>4289</v>
      </c>
      <c r="G1384">
        <f>'IPTV CA'!A1375</f>
        <v>0</v>
      </c>
      <c r="H1384" t="str">
        <f>T('IPTV CA'!B1375)</f>
        <v/>
      </c>
      <c r="I1384" t="s">
        <v>4290</v>
      </c>
      <c r="J1384" t="str">
        <f t="shared" si="175"/>
        <v/>
      </c>
      <c r="K1384" t="str">
        <f t="shared" si="172"/>
        <v/>
      </c>
      <c r="L1384" s="69"/>
      <c r="M1384">
        <f>'TMIS US'!A1375</f>
        <v>0</v>
      </c>
      <c r="N1384" t="str">
        <f>T('TMIS US'!B1375)</f>
        <v/>
      </c>
      <c r="O1384" t="s">
        <v>4290</v>
      </c>
      <c r="P1384" t="str">
        <f t="shared" si="176"/>
        <v/>
      </c>
      <c r="Q1384" t="str">
        <f t="shared" si="177"/>
        <v/>
      </c>
      <c r="R1384" s="69"/>
      <c r="S1384">
        <f>'TMIS CA'!A1375</f>
        <v>0</v>
      </c>
      <c r="T1384" t="str">
        <f>T('TMIS CA'!B1375)</f>
        <v/>
      </c>
      <c r="U1384" t="s">
        <v>4290</v>
      </c>
      <c r="V1384" t="str">
        <f t="shared" si="179"/>
        <v/>
      </c>
      <c r="W1384" t="str">
        <f t="shared" si="178"/>
        <v/>
      </c>
    </row>
    <row r="1385" spans="1:23">
      <c r="A1385">
        <f>'IPTV US'!A1376</f>
        <v>0</v>
      </c>
      <c r="B1385" t="str">
        <f>T('IPTV US'!B1376)</f>
        <v/>
      </c>
      <c r="C1385" t="s">
        <v>4290</v>
      </c>
      <c r="D1385" t="str">
        <f t="shared" si="173"/>
        <v/>
      </c>
      <c r="E1385" t="str">
        <f t="shared" si="174"/>
        <v/>
      </c>
      <c r="F1385" s="68" t="s">
        <v>4289</v>
      </c>
      <c r="G1385">
        <f>'IPTV CA'!A1376</f>
        <v>0</v>
      </c>
      <c r="H1385" t="str">
        <f>T('IPTV CA'!B1376)</f>
        <v/>
      </c>
      <c r="I1385" t="s">
        <v>4290</v>
      </c>
      <c r="J1385" t="str">
        <f t="shared" si="175"/>
        <v/>
      </c>
      <c r="K1385" t="str">
        <f t="shared" si="172"/>
        <v/>
      </c>
      <c r="L1385" s="69"/>
      <c r="M1385">
        <f>'TMIS US'!A1376</f>
        <v>0</v>
      </c>
      <c r="N1385" t="str">
        <f>T('TMIS US'!B1376)</f>
        <v/>
      </c>
      <c r="O1385" t="s">
        <v>4290</v>
      </c>
      <c r="P1385" t="str">
        <f t="shared" si="176"/>
        <v/>
      </c>
      <c r="Q1385" t="str">
        <f t="shared" si="177"/>
        <v/>
      </c>
      <c r="R1385" s="69"/>
      <c r="S1385">
        <f>'TMIS CA'!A1376</f>
        <v>0</v>
      </c>
      <c r="T1385" t="str">
        <f>T('TMIS CA'!B1376)</f>
        <v/>
      </c>
      <c r="U1385" t="s">
        <v>4290</v>
      </c>
      <c r="V1385" t="str">
        <f t="shared" si="179"/>
        <v/>
      </c>
      <c r="W1385" t="str">
        <f t="shared" si="178"/>
        <v/>
      </c>
    </row>
    <row r="1386" spans="1:23">
      <c r="A1386">
        <f>'IPTV US'!A1377</f>
        <v>0</v>
      </c>
      <c r="B1386" t="str">
        <f>T('IPTV US'!B1377)</f>
        <v/>
      </c>
      <c r="C1386" t="s">
        <v>4290</v>
      </c>
      <c r="D1386" t="str">
        <f t="shared" si="173"/>
        <v/>
      </c>
      <c r="E1386" t="str">
        <f t="shared" si="174"/>
        <v/>
      </c>
      <c r="F1386" s="68" t="s">
        <v>4289</v>
      </c>
      <c r="G1386">
        <f>'IPTV CA'!A1377</f>
        <v>0</v>
      </c>
      <c r="H1386" t="str">
        <f>T('IPTV CA'!B1377)</f>
        <v/>
      </c>
      <c r="I1386" t="s">
        <v>4290</v>
      </c>
      <c r="J1386" t="str">
        <f t="shared" si="175"/>
        <v/>
      </c>
      <c r="K1386" t="str">
        <f t="shared" si="172"/>
        <v/>
      </c>
      <c r="L1386" s="69"/>
      <c r="M1386">
        <f>'TMIS US'!A1377</f>
        <v>0</v>
      </c>
      <c r="N1386" t="str">
        <f>T('TMIS US'!B1377)</f>
        <v/>
      </c>
      <c r="O1386" t="s">
        <v>4290</v>
      </c>
      <c r="P1386" t="str">
        <f t="shared" si="176"/>
        <v/>
      </c>
      <c r="Q1386" t="str">
        <f t="shared" si="177"/>
        <v/>
      </c>
      <c r="R1386" s="69"/>
      <c r="S1386">
        <f>'TMIS CA'!A1377</f>
        <v>0</v>
      </c>
      <c r="T1386" t="str">
        <f>T('TMIS CA'!B1377)</f>
        <v/>
      </c>
      <c r="U1386" t="s">
        <v>4290</v>
      </c>
      <c r="V1386" t="str">
        <f t="shared" si="179"/>
        <v/>
      </c>
      <c r="W1386" t="str">
        <f t="shared" si="178"/>
        <v/>
      </c>
    </row>
    <row r="1387" spans="1:23">
      <c r="A1387">
        <f>'IPTV US'!A1378</f>
        <v>0</v>
      </c>
      <c r="B1387" t="str">
        <f>T('IPTV US'!B1378)</f>
        <v/>
      </c>
      <c r="C1387" t="s">
        <v>4290</v>
      </c>
      <c r="D1387" t="str">
        <f t="shared" si="173"/>
        <v/>
      </c>
      <c r="E1387" t="str">
        <f t="shared" si="174"/>
        <v/>
      </c>
      <c r="F1387" s="68" t="s">
        <v>4289</v>
      </c>
      <c r="G1387">
        <f>'IPTV CA'!A1378</f>
        <v>0</v>
      </c>
      <c r="H1387" t="str">
        <f>T('IPTV CA'!B1378)</f>
        <v/>
      </c>
      <c r="I1387" t="s">
        <v>4290</v>
      </c>
      <c r="J1387" t="str">
        <f t="shared" si="175"/>
        <v/>
      </c>
      <c r="K1387" t="str">
        <f t="shared" si="172"/>
        <v/>
      </c>
      <c r="L1387" s="69"/>
      <c r="M1387">
        <f>'TMIS US'!A1378</f>
        <v>0</v>
      </c>
      <c r="N1387" t="str">
        <f>T('TMIS US'!B1378)</f>
        <v/>
      </c>
      <c r="O1387" t="s">
        <v>4290</v>
      </c>
      <c r="P1387" t="str">
        <f t="shared" si="176"/>
        <v/>
      </c>
      <c r="Q1387" t="str">
        <f t="shared" si="177"/>
        <v/>
      </c>
      <c r="R1387" s="69"/>
      <c r="S1387">
        <f>'TMIS CA'!A1378</f>
        <v>0</v>
      </c>
      <c r="T1387" t="str">
        <f>T('TMIS CA'!B1378)</f>
        <v/>
      </c>
      <c r="U1387" t="s">
        <v>4290</v>
      </c>
      <c r="V1387" t="str">
        <f t="shared" si="179"/>
        <v/>
      </c>
      <c r="W1387" t="str">
        <f t="shared" si="178"/>
        <v/>
      </c>
    </row>
    <row r="1388" spans="1:23">
      <c r="A1388">
        <f>'IPTV US'!A1379</f>
        <v>0</v>
      </c>
      <c r="B1388" t="str">
        <f>T('IPTV US'!B1379)</f>
        <v/>
      </c>
      <c r="C1388" t="s">
        <v>4290</v>
      </c>
      <c r="D1388" t="str">
        <f t="shared" si="173"/>
        <v/>
      </c>
      <c r="E1388" t="str">
        <f t="shared" si="174"/>
        <v/>
      </c>
      <c r="F1388" s="68" t="s">
        <v>4289</v>
      </c>
      <c r="G1388">
        <f>'IPTV CA'!A1379</f>
        <v>0</v>
      </c>
      <c r="H1388" t="str">
        <f>T('IPTV CA'!B1379)</f>
        <v/>
      </c>
      <c r="I1388" t="s">
        <v>4290</v>
      </c>
      <c r="J1388" t="str">
        <f t="shared" si="175"/>
        <v/>
      </c>
      <c r="K1388" t="str">
        <f t="shared" si="172"/>
        <v/>
      </c>
      <c r="L1388" s="69"/>
      <c r="M1388">
        <f>'TMIS US'!A1379</f>
        <v>0</v>
      </c>
      <c r="N1388" t="str">
        <f>T('TMIS US'!B1379)</f>
        <v/>
      </c>
      <c r="O1388" t="s">
        <v>4290</v>
      </c>
      <c r="P1388" t="str">
        <f t="shared" si="176"/>
        <v/>
      </c>
      <c r="Q1388" t="str">
        <f t="shared" si="177"/>
        <v/>
      </c>
      <c r="R1388" s="69"/>
      <c r="S1388">
        <f>'TMIS CA'!A1379</f>
        <v>0</v>
      </c>
      <c r="T1388" t="str">
        <f>T('TMIS CA'!B1379)</f>
        <v/>
      </c>
      <c r="U1388" t="s">
        <v>4290</v>
      </c>
      <c r="V1388" t="str">
        <f t="shared" si="179"/>
        <v/>
      </c>
      <c r="W1388" t="str">
        <f t="shared" si="178"/>
        <v/>
      </c>
    </row>
    <row r="1389" spans="1:23">
      <c r="A1389">
        <f>'IPTV US'!A1380</f>
        <v>0</v>
      </c>
      <c r="B1389" t="str">
        <f>T('IPTV US'!B1380)</f>
        <v/>
      </c>
      <c r="C1389" t="s">
        <v>4290</v>
      </c>
      <c r="D1389" t="str">
        <f t="shared" si="173"/>
        <v/>
      </c>
      <c r="E1389" t="str">
        <f t="shared" si="174"/>
        <v/>
      </c>
      <c r="F1389" s="68" t="s">
        <v>4289</v>
      </c>
      <c r="G1389">
        <f>'IPTV CA'!A1380</f>
        <v>0</v>
      </c>
      <c r="H1389" t="str">
        <f>T('IPTV CA'!B1380)</f>
        <v/>
      </c>
      <c r="I1389" t="s">
        <v>4290</v>
      </c>
      <c r="J1389" t="str">
        <f t="shared" si="175"/>
        <v/>
      </c>
      <c r="K1389" t="str">
        <f t="shared" ref="K1389:K1452" si="180">IF(I1389="Vacant",IF(H1389="","","Please Notify - Channel Added"),"")</f>
        <v/>
      </c>
      <c r="L1389" s="69"/>
      <c r="M1389">
        <f>'TMIS US'!A1380</f>
        <v>0</v>
      </c>
      <c r="N1389" t="str">
        <f>T('TMIS US'!B1380)</f>
        <v/>
      </c>
      <c r="O1389" t="s">
        <v>4290</v>
      </c>
      <c r="P1389" t="str">
        <f t="shared" si="176"/>
        <v/>
      </c>
      <c r="Q1389" t="str">
        <f t="shared" si="177"/>
        <v/>
      </c>
      <c r="R1389" s="69"/>
      <c r="S1389">
        <f>'TMIS CA'!A1380</f>
        <v>0</v>
      </c>
      <c r="T1389" t="str">
        <f>T('TMIS CA'!B1380)</f>
        <v/>
      </c>
      <c r="U1389" t="s">
        <v>4290</v>
      </c>
      <c r="V1389" t="str">
        <f t="shared" si="179"/>
        <v/>
      </c>
      <c r="W1389" t="str">
        <f t="shared" si="178"/>
        <v/>
      </c>
    </row>
    <row r="1390" spans="1:23">
      <c r="A1390">
        <f>'IPTV US'!A1381</f>
        <v>0</v>
      </c>
      <c r="B1390" t="str">
        <f>T('IPTV US'!B1381)</f>
        <v/>
      </c>
      <c r="C1390" t="s">
        <v>4290</v>
      </c>
      <c r="D1390" t="str">
        <f t="shared" si="173"/>
        <v/>
      </c>
      <c r="E1390" t="str">
        <f t="shared" si="174"/>
        <v/>
      </c>
      <c r="F1390" s="68" t="s">
        <v>4289</v>
      </c>
      <c r="G1390">
        <f>'IPTV CA'!A1381</f>
        <v>0</v>
      </c>
      <c r="H1390" t="str">
        <f>T('IPTV CA'!B1381)</f>
        <v/>
      </c>
      <c r="I1390" t="s">
        <v>4290</v>
      </c>
      <c r="J1390" t="str">
        <f t="shared" si="175"/>
        <v/>
      </c>
      <c r="K1390" t="str">
        <f t="shared" si="180"/>
        <v/>
      </c>
      <c r="L1390" s="69"/>
      <c r="M1390">
        <f>'TMIS US'!A1381</f>
        <v>0</v>
      </c>
      <c r="N1390" t="str">
        <f>T('TMIS US'!B1381)</f>
        <v/>
      </c>
      <c r="O1390" t="s">
        <v>4290</v>
      </c>
      <c r="P1390" t="str">
        <f t="shared" si="176"/>
        <v/>
      </c>
      <c r="Q1390" t="str">
        <f t="shared" si="177"/>
        <v/>
      </c>
      <c r="R1390" s="69"/>
      <c r="S1390">
        <f>'TMIS CA'!A1381</f>
        <v>0</v>
      </c>
      <c r="T1390" t="str">
        <f>T('TMIS CA'!B1381)</f>
        <v/>
      </c>
      <c r="U1390" t="s">
        <v>4290</v>
      </c>
      <c r="V1390" t="str">
        <f t="shared" si="179"/>
        <v/>
      </c>
      <c r="W1390" t="str">
        <f t="shared" si="178"/>
        <v/>
      </c>
    </row>
    <row r="1391" spans="1:23">
      <c r="A1391">
        <f>'IPTV US'!A1382</f>
        <v>0</v>
      </c>
      <c r="B1391" t="str">
        <f>T('IPTV US'!B1382)</f>
        <v/>
      </c>
      <c r="C1391" t="s">
        <v>4290</v>
      </c>
      <c r="D1391" t="str">
        <f t="shared" si="173"/>
        <v/>
      </c>
      <c r="E1391" t="str">
        <f t="shared" si="174"/>
        <v/>
      </c>
      <c r="F1391" s="68" t="s">
        <v>4289</v>
      </c>
      <c r="G1391">
        <f>'IPTV CA'!A1382</f>
        <v>0</v>
      </c>
      <c r="H1391" t="str">
        <f>T('IPTV CA'!B1382)</f>
        <v/>
      </c>
      <c r="I1391" t="s">
        <v>4290</v>
      </c>
      <c r="J1391" t="str">
        <f t="shared" si="175"/>
        <v/>
      </c>
      <c r="K1391" t="str">
        <f t="shared" si="180"/>
        <v/>
      </c>
      <c r="L1391" s="69"/>
      <c r="M1391">
        <f>'TMIS US'!A1382</f>
        <v>0</v>
      </c>
      <c r="N1391" t="str">
        <f>T('TMIS US'!B1382)</f>
        <v/>
      </c>
      <c r="O1391" t="s">
        <v>4290</v>
      </c>
      <c r="P1391" t="str">
        <f t="shared" si="176"/>
        <v/>
      </c>
      <c r="Q1391" t="str">
        <f t="shared" si="177"/>
        <v/>
      </c>
      <c r="R1391" s="69"/>
      <c r="S1391">
        <f>'TMIS CA'!A1382</f>
        <v>0</v>
      </c>
      <c r="T1391" t="str">
        <f>T('TMIS CA'!B1382)</f>
        <v/>
      </c>
      <c r="U1391" t="s">
        <v>4290</v>
      </c>
      <c r="V1391" t="str">
        <f t="shared" si="179"/>
        <v/>
      </c>
      <c r="W1391" t="str">
        <f t="shared" si="178"/>
        <v/>
      </c>
    </row>
    <row r="1392" spans="1:23">
      <c r="A1392">
        <f>'IPTV US'!A1383</f>
        <v>0</v>
      </c>
      <c r="B1392" t="str">
        <f>T('IPTV US'!B1383)</f>
        <v/>
      </c>
      <c r="C1392" t="s">
        <v>4290</v>
      </c>
      <c r="D1392" t="str">
        <f t="shared" si="173"/>
        <v/>
      </c>
      <c r="E1392" t="str">
        <f t="shared" si="174"/>
        <v/>
      </c>
      <c r="F1392" s="68" t="s">
        <v>4289</v>
      </c>
      <c r="G1392">
        <f>'IPTV CA'!A1383</f>
        <v>0</v>
      </c>
      <c r="H1392" t="str">
        <f>T('IPTV CA'!B1383)</f>
        <v/>
      </c>
      <c r="I1392" t="s">
        <v>4290</v>
      </c>
      <c r="J1392" t="str">
        <f t="shared" si="175"/>
        <v/>
      </c>
      <c r="K1392" t="str">
        <f t="shared" si="180"/>
        <v/>
      </c>
      <c r="L1392" s="69"/>
      <c r="M1392">
        <f>'TMIS US'!A1383</f>
        <v>0</v>
      </c>
      <c r="N1392" t="str">
        <f>T('TMIS US'!B1383)</f>
        <v/>
      </c>
      <c r="O1392" t="s">
        <v>4290</v>
      </c>
      <c r="P1392" t="str">
        <f t="shared" si="176"/>
        <v/>
      </c>
      <c r="Q1392" t="str">
        <f t="shared" si="177"/>
        <v/>
      </c>
      <c r="R1392" s="69"/>
      <c r="S1392">
        <f>'TMIS CA'!A1383</f>
        <v>0</v>
      </c>
      <c r="T1392" t="str">
        <f>T('TMIS CA'!B1383)</f>
        <v/>
      </c>
      <c r="U1392" t="s">
        <v>4290</v>
      </c>
      <c r="V1392" t="str">
        <f t="shared" si="179"/>
        <v/>
      </c>
      <c r="W1392" t="str">
        <f t="shared" si="178"/>
        <v/>
      </c>
    </row>
    <row r="1393" spans="1:23">
      <c r="A1393">
        <f>'IPTV US'!A1384</f>
        <v>0</v>
      </c>
      <c r="B1393" t="str">
        <f>T('IPTV US'!B1384)</f>
        <v/>
      </c>
      <c r="C1393" t="s">
        <v>4290</v>
      </c>
      <c r="D1393" t="str">
        <f t="shared" si="173"/>
        <v/>
      </c>
      <c r="E1393" t="str">
        <f t="shared" si="174"/>
        <v/>
      </c>
      <c r="F1393" s="68" t="s">
        <v>4289</v>
      </c>
      <c r="G1393">
        <f>'IPTV CA'!A1384</f>
        <v>0</v>
      </c>
      <c r="H1393" t="str">
        <f>T('IPTV CA'!B1384)</f>
        <v/>
      </c>
      <c r="I1393" t="s">
        <v>4290</v>
      </c>
      <c r="J1393" t="str">
        <f t="shared" si="175"/>
        <v/>
      </c>
      <c r="K1393" t="str">
        <f t="shared" si="180"/>
        <v/>
      </c>
      <c r="L1393" s="69"/>
      <c r="M1393">
        <f>'TMIS US'!A1384</f>
        <v>0</v>
      </c>
      <c r="N1393" t="str">
        <f>T('TMIS US'!B1384)</f>
        <v/>
      </c>
      <c r="O1393" t="s">
        <v>4290</v>
      </c>
      <c r="P1393" t="str">
        <f t="shared" si="176"/>
        <v/>
      </c>
      <c r="Q1393" t="str">
        <f t="shared" si="177"/>
        <v/>
      </c>
      <c r="R1393" s="69"/>
      <c r="S1393">
        <f>'TMIS CA'!A1384</f>
        <v>0</v>
      </c>
      <c r="T1393" t="str">
        <f>T('TMIS CA'!B1384)</f>
        <v/>
      </c>
      <c r="U1393" t="s">
        <v>4290</v>
      </c>
      <c r="V1393" t="str">
        <f t="shared" si="179"/>
        <v/>
      </c>
      <c r="W1393" t="str">
        <f t="shared" si="178"/>
        <v/>
      </c>
    </row>
    <row r="1394" spans="1:23">
      <c r="A1394">
        <f>'IPTV US'!A1385</f>
        <v>0</v>
      </c>
      <c r="B1394" t="str">
        <f>T('IPTV US'!B1385)</f>
        <v/>
      </c>
      <c r="C1394" t="s">
        <v>4290</v>
      </c>
      <c r="D1394" t="str">
        <f t="shared" si="173"/>
        <v/>
      </c>
      <c r="E1394" t="str">
        <f t="shared" si="174"/>
        <v/>
      </c>
      <c r="F1394" s="68" t="s">
        <v>4289</v>
      </c>
      <c r="G1394">
        <f>'IPTV CA'!A1385</f>
        <v>0</v>
      </c>
      <c r="H1394" t="str">
        <f>T('IPTV CA'!B1385)</f>
        <v/>
      </c>
      <c r="I1394" t="s">
        <v>4290</v>
      </c>
      <c r="J1394" t="str">
        <f t="shared" si="175"/>
        <v/>
      </c>
      <c r="K1394" t="str">
        <f t="shared" si="180"/>
        <v/>
      </c>
      <c r="L1394" s="69"/>
      <c r="M1394">
        <f>'TMIS US'!A1385</f>
        <v>0</v>
      </c>
      <c r="N1394" t="str">
        <f>T('TMIS US'!B1385)</f>
        <v/>
      </c>
      <c r="O1394" t="s">
        <v>4290</v>
      </c>
      <c r="P1394" t="str">
        <f t="shared" si="176"/>
        <v/>
      </c>
      <c r="Q1394" t="str">
        <f t="shared" si="177"/>
        <v/>
      </c>
      <c r="R1394" s="69"/>
      <c r="S1394">
        <f>'TMIS CA'!A1385</f>
        <v>0</v>
      </c>
      <c r="T1394" t="str">
        <f>T('TMIS CA'!B1385)</f>
        <v/>
      </c>
      <c r="U1394" t="s">
        <v>4290</v>
      </c>
      <c r="V1394" t="str">
        <f t="shared" si="179"/>
        <v/>
      </c>
      <c r="W1394" t="str">
        <f t="shared" si="178"/>
        <v/>
      </c>
    </row>
    <row r="1395" spans="1:23">
      <c r="A1395">
        <f>'IPTV US'!A1386</f>
        <v>0</v>
      </c>
      <c r="B1395" t="str">
        <f>T('IPTV US'!B1386)</f>
        <v/>
      </c>
      <c r="C1395" t="s">
        <v>4290</v>
      </c>
      <c r="D1395" t="str">
        <f t="shared" si="173"/>
        <v/>
      </c>
      <c r="E1395" t="str">
        <f t="shared" si="174"/>
        <v/>
      </c>
      <c r="F1395" s="68" t="s">
        <v>4289</v>
      </c>
      <c r="G1395">
        <f>'IPTV CA'!A1386</f>
        <v>0</v>
      </c>
      <c r="H1395" t="str">
        <f>T('IPTV CA'!B1386)</f>
        <v/>
      </c>
      <c r="I1395" t="s">
        <v>4290</v>
      </c>
      <c r="J1395" t="str">
        <f t="shared" si="175"/>
        <v/>
      </c>
      <c r="K1395" t="str">
        <f t="shared" si="180"/>
        <v/>
      </c>
      <c r="L1395" s="69"/>
      <c r="M1395">
        <f>'TMIS US'!A1386</f>
        <v>0</v>
      </c>
      <c r="N1395" t="str">
        <f>T('TMIS US'!B1386)</f>
        <v/>
      </c>
      <c r="O1395" t="s">
        <v>4290</v>
      </c>
      <c r="P1395" t="str">
        <f t="shared" si="176"/>
        <v/>
      </c>
      <c r="Q1395" t="str">
        <f t="shared" si="177"/>
        <v/>
      </c>
      <c r="R1395" s="69"/>
      <c r="S1395">
        <f>'TMIS CA'!A1386</f>
        <v>0</v>
      </c>
      <c r="T1395" t="str">
        <f>T('TMIS CA'!B1386)</f>
        <v/>
      </c>
      <c r="U1395" t="s">
        <v>4290</v>
      </c>
      <c r="V1395" t="str">
        <f t="shared" si="179"/>
        <v/>
      </c>
      <c r="W1395" t="str">
        <f t="shared" si="178"/>
        <v/>
      </c>
    </row>
    <row r="1396" spans="1:23">
      <c r="A1396">
        <f>'IPTV US'!A1387</f>
        <v>0</v>
      </c>
      <c r="B1396" t="str">
        <f>T('IPTV US'!B1387)</f>
        <v/>
      </c>
      <c r="C1396" t="s">
        <v>4290</v>
      </c>
      <c r="D1396" t="str">
        <f t="shared" si="173"/>
        <v/>
      </c>
      <c r="E1396" t="str">
        <f t="shared" si="174"/>
        <v/>
      </c>
      <c r="F1396" s="68" t="s">
        <v>4289</v>
      </c>
      <c r="G1396">
        <f>'IPTV CA'!A1387</f>
        <v>0</v>
      </c>
      <c r="H1396" t="str">
        <f>T('IPTV CA'!B1387)</f>
        <v/>
      </c>
      <c r="I1396" t="s">
        <v>4290</v>
      </c>
      <c r="J1396" t="str">
        <f t="shared" si="175"/>
        <v/>
      </c>
      <c r="K1396" t="str">
        <f t="shared" si="180"/>
        <v/>
      </c>
      <c r="L1396" s="69"/>
      <c r="M1396">
        <f>'TMIS US'!A1387</f>
        <v>0</v>
      </c>
      <c r="N1396" t="str">
        <f>T('TMIS US'!B1387)</f>
        <v/>
      </c>
      <c r="O1396" t="s">
        <v>4290</v>
      </c>
      <c r="P1396" t="str">
        <f t="shared" si="176"/>
        <v/>
      </c>
      <c r="Q1396" t="str">
        <f t="shared" si="177"/>
        <v/>
      </c>
      <c r="R1396" s="69"/>
      <c r="S1396">
        <f>'TMIS CA'!A1387</f>
        <v>0</v>
      </c>
      <c r="T1396" t="str">
        <f>T('TMIS CA'!B1387)</f>
        <v/>
      </c>
      <c r="U1396" t="s">
        <v>4290</v>
      </c>
      <c r="V1396" t="str">
        <f t="shared" si="179"/>
        <v/>
      </c>
      <c r="W1396" t="str">
        <f t="shared" si="178"/>
        <v/>
      </c>
    </row>
    <row r="1397" spans="1:23">
      <c r="A1397">
        <f>'IPTV US'!A1388</f>
        <v>0</v>
      </c>
      <c r="B1397" t="str">
        <f>T('IPTV US'!B1388)</f>
        <v/>
      </c>
      <c r="C1397" t="s">
        <v>4290</v>
      </c>
      <c r="D1397" t="str">
        <f t="shared" si="173"/>
        <v/>
      </c>
      <c r="E1397" t="str">
        <f t="shared" si="174"/>
        <v/>
      </c>
      <c r="F1397" s="68" t="s">
        <v>4289</v>
      </c>
      <c r="G1397">
        <f>'IPTV CA'!A1388</f>
        <v>0</v>
      </c>
      <c r="H1397" t="str">
        <f>T('IPTV CA'!B1388)</f>
        <v/>
      </c>
      <c r="I1397" t="s">
        <v>4290</v>
      </c>
      <c r="J1397" t="str">
        <f t="shared" si="175"/>
        <v/>
      </c>
      <c r="K1397" t="str">
        <f t="shared" si="180"/>
        <v/>
      </c>
      <c r="L1397" s="69"/>
      <c r="M1397">
        <f>'TMIS US'!A1388</f>
        <v>0</v>
      </c>
      <c r="N1397" t="str">
        <f>T('TMIS US'!B1388)</f>
        <v/>
      </c>
      <c r="O1397" t="s">
        <v>4290</v>
      </c>
      <c r="P1397" t="str">
        <f t="shared" si="176"/>
        <v/>
      </c>
      <c r="Q1397" t="str">
        <f t="shared" si="177"/>
        <v/>
      </c>
      <c r="R1397" s="69"/>
      <c r="S1397">
        <f>'TMIS CA'!A1388</f>
        <v>0</v>
      </c>
      <c r="T1397" t="str">
        <f>T('TMIS CA'!B1388)</f>
        <v/>
      </c>
      <c r="U1397" t="s">
        <v>4290</v>
      </c>
      <c r="V1397" t="str">
        <f t="shared" si="179"/>
        <v/>
      </c>
      <c r="W1397" t="str">
        <f t="shared" si="178"/>
        <v/>
      </c>
    </row>
    <row r="1398" spans="1:23">
      <c r="A1398">
        <f>'IPTV US'!A1389</f>
        <v>0</v>
      </c>
      <c r="B1398" t="str">
        <f>T('IPTV US'!B1389)</f>
        <v/>
      </c>
      <c r="C1398" t="s">
        <v>4290</v>
      </c>
      <c r="D1398" t="str">
        <f t="shared" si="173"/>
        <v/>
      </c>
      <c r="E1398" t="str">
        <f t="shared" si="174"/>
        <v/>
      </c>
      <c r="F1398" s="68" t="s">
        <v>4289</v>
      </c>
      <c r="G1398">
        <f>'IPTV CA'!A1389</f>
        <v>0</v>
      </c>
      <c r="H1398" t="str">
        <f>T('IPTV CA'!B1389)</f>
        <v/>
      </c>
      <c r="I1398" t="s">
        <v>4290</v>
      </c>
      <c r="J1398" t="str">
        <f t="shared" si="175"/>
        <v/>
      </c>
      <c r="K1398" t="str">
        <f t="shared" si="180"/>
        <v/>
      </c>
      <c r="L1398" s="69"/>
      <c r="M1398">
        <f>'TMIS US'!A1389</f>
        <v>0</v>
      </c>
      <c r="N1398" t="str">
        <f>T('TMIS US'!B1389)</f>
        <v/>
      </c>
      <c r="O1398" t="s">
        <v>4290</v>
      </c>
      <c r="P1398" t="str">
        <f t="shared" si="176"/>
        <v/>
      </c>
      <c r="Q1398" t="str">
        <f t="shared" si="177"/>
        <v/>
      </c>
      <c r="R1398" s="69"/>
      <c r="S1398">
        <f>'TMIS CA'!A1389</f>
        <v>0</v>
      </c>
      <c r="T1398" t="str">
        <f>T('TMIS CA'!B1389)</f>
        <v/>
      </c>
      <c r="U1398" t="s">
        <v>4290</v>
      </c>
      <c r="V1398" t="str">
        <f t="shared" si="179"/>
        <v/>
      </c>
      <c r="W1398" t="str">
        <f t="shared" si="178"/>
        <v/>
      </c>
    </row>
    <row r="1399" spans="1:23">
      <c r="A1399">
        <f>'IPTV US'!A1390</f>
        <v>0</v>
      </c>
      <c r="B1399" t="str">
        <f>T('IPTV US'!B1390)</f>
        <v/>
      </c>
      <c r="C1399" t="s">
        <v>4290</v>
      </c>
      <c r="D1399" t="str">
        <f t="shared" si="173"/>
        <v/>
      </c>
      <c r="E1399" t="str">
        <f t="shared" si="174"/>
        <v/>
      </c>
      <c r="F1399" s="68" t="s">
        <v>4289</v>
      </c>
      <c r="G1399">
        <f>'IPTV CA'!A1390</f>
        <v>0</v>
      </c>
      <c r="H1399" t="str">
        <f>T('IPTV CA'!B1390)</f>
        <v/>
      </c>
      <c r="I1399" t="s">
        <v>4290</v>
      </c>
      <c r="J1399" t="str">
        <f t="shared" si="175"/>
        <v/>
      </c>
      <c r="K1399" t="str">
        <f t="shared" si="180"/>
        <v/>
      </c>
      <c r="L1399" s="69"/>
      <c r="M1399">
        <f>'TMIS US'!A1390</f>
        <v>0</v>
      </c>
      <c r="N1399" t="str">
        <f>T('TMIS US'!B1390)</f>
        <v/>
      </c>
      <c r="O1399" t="s">
        <v>4290</v>
      </c>
      <c r="P1399" t="str">
        <f t="shared" si="176"/>
        <v/>
      </c>
      <c r="Q1399" t="str">
        <f t="shared" si="177"/>
        <v/>
      </c>
      <c r="R1399" s="69"/>
      <c r="S1399">
        <f>'TMIS CA'!A1390</f>
        <v>0</v>
      </c>
      <c r="T1399" t="str">
        <f>T('TMIS CA'!B1390)</f>
        <v/>
      </c>
      <c r="U1399" t="s">
        <v>4290</v>
      </c>
      <c r="V1399" t="str">
        <f t="shared" si="179"/>
        <v/>
      </c>
      <c r="W1399" t="str">
        <f t="shared" si="178"/>
        <v/>
      </c>
    </row>
    <row r="1400" spans="1:23">
      <c r="A1400">
        <f>'IPTV US'!A1391</f>
        <v>0</v>
      </c>
      <c r="B1400" t="str">
        <f>T('IPTV US'!B1391)</f>
        <v/>
      </c>
      <c r="C1400" t="s">
        <v>4290</v>
      </c>
      <c r="D1400" t="str">
        <f t="shared" si="173"/>
        <v/>
      </c>
      <c r="E1400" t="str">
        <f t="shared" si="174"/>
        <v/>
      </c>
      <c r="F1400" s="68" t="s">
        <v>4289</v>
      </c>
      <c r="G1400">
        <f>'IPTV CA'!A1391</f>
        <v>0</v>
      </c>
      <c r="H1400" t="str">
        <f>T('IPTV CA'!B1391)</f>
        <v/>
      </c>
      <c r="I1400" t="s">
        <v>4290</v>
      </c>
      <c r="J1400" t="str">
        <f t="shared" si="175"/>
        <v/>
      </c>
      <c r="K1400" t="str">
        <f t="shared" si="180"/>
        <v/>
      </c>
      <c r="L1400" s="69"/>
      <c r="M1400">
        <f>'TMIS US'!A1391</f>
        <v>0</v>
      </c>
      <c r="N1400" t="str">
        <f>T('TMIS US'!B1391)</f>
        <v/>
      </c>
      <c r="O1400" t="s">
        <v>4290</v>
      </c>
      <c r="P1400" t="str">
        <f t="shared" si="176"/>
        <v/>
      </c>
      <c r="Q1400" t="str">
        <f t="shared" si="177"/>
        <v/>
      </c>
      <c r="R1400" s="69"/>
      <c r="S1400">
        <f>'TMIS CA'!A1391</f>
        <v>0</v>
      </c>
      <c r="T1400" t="str">
        <f>T('TMIS CA'!B1391)</f>
        <v/>
      </c>
      <c r="U1400" t="s">
        <v>4290</v>
      </c>
      <c r="V1400" t="str">
        <f t="shared" si="179"/>
        <v/>
      </c>
      <c r="W1400" t="str">
        <f t="shared" si="178"/>
        <v/>
      </c>
    </row>
    <row r="1401" spans="1:23">
      <c r="A1401">
        <f>'IPTV US'!A1392</f>
        <v>0</v>
      </c>
      <c r="B1401" t="str">
        <f>T('IPTV US'!B1392)</f>
        <v/>
      </c>
      <c r="C1401" t="s">
        <v>4290</v>
      </c>
      <c r="D1401" t="str">
        <f t="shared" si="173"/>
        <v/>
      </c>
      <c r="E1401" t="str">
        <f t="shared" si="174"/>
        <v/>
      </c>
      <c r="F1401" s="68" t="s">
        <v>4289</v>
      </c>
      <c r="G1401">
        <f>'IPTV CA'!A1392</f>
        <v>0</v>
      </c>
      <c r="H1401" t="str">
        <f>T('IPTV CA'!B1392)</f>
        <v/>
      </c>
      <c r="I1401" t="s">
        <v>4290</v>
      </c>
      <c r="J1401" t="str">
        <f t="shared" si="175"/>
        <v/>
      </c>
      <c r="K1401" t="str">
        <f t="shared" si="180"/>
        <v/>
      </c>
      <c r="L1401" s="69"/>
      <c r="M1401">
        <f>'TMIS US'!A1392</f>
        <v>0</v>
      </c>
      <c r="N1401" t="str">
        <f>T('TMIS US'!B1392)</f>
        <v/>
      </c>
      <c r="O1401" t="s">
        <v>4290</v>
      </c>
      <c r="P1401" t="str">
        <f t="shared" si="176"/>
        <v/>
      </c>
      <c r="Q1401" t="str">
        <f t="shared" si="177"/>
        <v/>
      </c>
      <c r="R1401" s="69"/>
      <c r="S1401">
        <f>'TMIS CA'!A1392</f>
        <v>0</v>
      </c>
      <c r="T1401" t="str">
        <f>T('TMIS CA'!B1392)</f>
        <v/>
      </c>
      <c r="U1401" t="s">
        <v>4290</v>
      </c>
      <c r="V1401" t="str">
        <f t="shared" si="179"/>
        <v/>
      </c>
      <c r="W1401" t="str">
        <f t="shared" si="178"/>
        <v/>
      </c>
    </row>
    <row r="1402" spans="1:23">
      <c r="A1402">
        <f>'IPTV US'!A1393</f>
        <v>0</v>
      </c>
      <c r="B1402" t="str">
        <f>T('IPTV US'!B1393)</f>
        <v/>
      </c>
      <c r="C1402" t="s">
        <v>4290</v>
      </c>
      <c r="D1402" t="str">
        <f t="shared" si="173"/>
        <v/>
      </c>
      <c r="E1402" t="str">
        <f t="shared" si="174"/>
        <v/>
      </c>
      <c r="F1402" s="68" t="s">
        <v>4289</v>
      </c>
      <c r="G1402">
        <f>'IPTV CA'!A1393</f>
        <v>0</v>
      </c>
      <c r="H1402" t="str">
        <f>T('IPTV CA'!B1393)</f>
        <v/>
      </c>
      <c r="I1402" t="s">
        <v>4290</v>
      </c>
      <c r="J1402" t="str">
        <f t="shared" si="175"/>
        <v/>
      </c>
      <c r="K1402" t="str">
        <f t="shared" si="180"/>
        <v/>
      </c>
      <c r="L1402" s="69"/>
      <c r="M1402">
        <f>'TMIS US'!A1393</f>
        <v>0</v>
      </c>
      <c r="N1402" t="str">
        <f>T('TMIS US'!B1393)</f>
        <v/>
      </c>
      <c r="O1402" t="s">
        <v>4290</v>
      </c>
      <c r="P1402" t="str">
        <f t="shared" si="176"/>
        <v/>
      </c>
      <c r="Q1402" t="str">
        <f t="shared" si="177"/>
        <v/>
      </c>
      <c r="R1402" s="69"/>
      <c r="S1402">
        <f>'TMIS CA'!A1393</f>
        <v>0</v>
      </c>
      <c r="T1402" t="str">
        <f>T('TMIS CA'!B1393)</f>
        <v/>
      </c>
      <c r="U1402" t="s">
        <v>4290</v>
      </c>
      <c r="V1402" t="str">
        <f t="shared" si="179"/>
        <v/>
      </c>
      <c r="W1402" t="str">
        <f t="shared" si="178"/>
        <v/>
      </c>
    </row>
    <row r="1403" spans="1:23">
      <c r="A1403">
        <f>'IPTV US'!A1394</f>
        <v>0</v>
      </c>
      <c r="B1403" t="str">
        <f>T('IPTV US'!B1394)</f>
        <v/>
      </c>
      <c r="C1403" t="s">
        <v>4290</v>
      </c>
      <c r="D1403" t="str">
        <f t="shared" si="173"/>
        <v/>
      </c>
      <c r="E1403" t="str">
        <f t="shared" si="174"/>
        <v/>
      </c>
      <c r="F1403" s="68" t="s">
        <v>4289</v>
      </c>
      <c r="G1403">
        <f>'IPTV CA'!A1394</f>
        <v>0</v>
      </c>
      <c r="H1403" t="str">
        <f>T('IPTV CA'!B1394)</f>
        <v/>
      </c>
      <c r="I1403" t="s">
        <v>4290</v>
      </c>
      <c r="J1403" t="str">
        <f t="shared" si="175"/>
        <v/>
      </c>
      <c r="K1403" t="str">
        <f t="shared" si="180"/>
        <v/>
      </c>
      <c r="L1403" s="69"/>
      <c r="M1403">
        <f>'TMIS US'!A1394</f>
        <v>0</v>
      </c>
      <c r="N1403" t="str">
        <f>T('TMIS US'!B1394)</f>
        <v/>
      </c>
      <c r="O1403" t="s">
        <v>4290</v>
      </c>
      <c r="P1403" t="str">
        <f t="shared" si="176"/>
        <v/>
      </c>
      <c r="Q1403" t="str">
        <f t="shared" si="177"/>
        <v/>
      </c>
      <c r="R1403" s="69"/>
      <c r="S1403">
        <f>'TMIS CA'!A1394</f>
        <v>0</v>
      </c>
      <c r="T1403" t="str">
        <f>T('TMIS CA'!B1394)</f>
        <v/>
      </c>
      <c r="U1403" t="s">
        <v>4290</v>
      </c>
      <c r="V1403" t="str">
        <f t="shared" si="179"/>
        <v/>
      </c>
      <c r="W1403" t="str">
        <f t="shared" si="178"/>
        <v/>
      </c>
    </row>
    <row r="1404" spans="1:23">
      <c r="A1404">
        <f>'IPTV US'!A1395</f>
        <v>0</v>
      </c>
      <c r="B1404" t="str">
        <f>T('IPTV US'!B1395)</f>
        <v/>
      </c>
      <c r="C1404" t="s">
        <v>4290</v>
      </c>
      <c r="D1404" t="str">
        <f t="shared" si="173"/>
        <v/>
      </c>
      <c r="E1404" t="str">
        <f t="shared" si="174"/>
        <v/>
      </c>
      <c r="F1404" s="68" t="s">
        <v>4289</v>
      </c>
      <c r="G1404">
        <f>'IPTV CA'!A1395</f>
        <v>0</v>
      </c>
      <c r="H1404" t="str">
        <f>T('IPTV CA'!B1395)</f>
        <v/>
      </c>
      <c r="I1404" t="s">
        <v>4290</v>
      </c>
      <c r="J1404" t="str">
        <f t="shared" si="175"/>
        <v/>
      </c>
      <c r="K1404" t="str">
        <f t="shared" si="180"/>
        <v/>
      </c>
      <c r="L1404" s="69"/>
      <c r="M1404">
        <f>'TMIS US'!A1395</f>
        <v>0</v>
      </c>
      <c r="N1404" t="str">
        <f>T('TMIS US'!B1395)</f>
        <v/>
      </c>
      <c r="O1404" t="s">
        <v>4290</v>
      </c>
      <c r="P1404" t="str">
        <f t="shared" si="176"/>
        <v/>
      </c>
      <c r="Q1404" t="str">
        <f t="shared" si="177"/>
        <v/>
      </c>
      <c r="R1404" s="69"/>
      <c r="S1404">
        <f>'TMIS CA'!A1395</f>
        <v>0</v>
      </c>
      <c r="T1404" t="str">
        <f>T('TMIS CA'!B1395)</f>
        <v/>
      </c>
      <c r="U1404" t="s">
        <v>4290</v>
      </c>
      <c r="V1404" t="str">
        <f t="shared" si="179"/>
        <v/>
      </c>
      <c r="W1404" t="str">
        <f t="shared" si="178"/>
        <v/>
      </c>
    </row>
    <row r="1405" spans="1:23">
      <c r="A1405">
        <f>'IPTV US'!A1396</f>
        <v>0</v>
      </c>
      <c r="B1405" t="str">
        <f>T('IPTV US'!B1396)</f>
        <v/>
      </c>
      <c r="C1405" t="s">
        <v>4290</v>
      </c>
      <c r="D1405" t="str">
        <f t="shared" si="173"/>
        <v/>
      </c>
      <c r="E1405" t="str">
        <f t="shared" si="174"/>
        <v/>
      </c>
      <c r="F1405" s="68" t="s">
        <v>4289</v>
      </c>
      <c r="G1405">
        <f>'IPTV CA'!A1396</f>
        <v>0</v>
      </c>
      <c r="H1405" t="str">
        <f>T('IPTV CA'!B1396)</f>
        <v/>
      </c>
      <c r="I1405" t="s">
        <v>4290</v>
      </c>
      <c r="J1405" t="str">
        <f t="shared" si="175"/>
        <v/>
      </c>
      <c r="K1405" t="str">
        <f t="shared" si="180"/>
        <v/>
      </c>
      <c r="L1405" s="69"/>
      <c r="M1405">
        <f>'TMIS US'!A1396</f>
        <v>0</v>
      </c>
      <c r="N1405" t="str">
        <f>T('TMIS US'!B1396)</f>
        <v/>
      </c>
      <c r="O1405" t="s">
        <v>4290</v>
      </c>
      <c r="P1405" t="str">
        <f t="shared" si="176"/>
        <v/>
      </c>
      <c r="Q1405" t="str">
        <f t="shared" si="177"/>
        <v/>
      </c>
      <c r="R1405" s="69"/>
      <c r="S1405">
        <f>'TMIS CA'!A1396</f>
        <v>0</v>
      </c>
      <c r="T1405" t="str">
        <f>T('TMIS CA'!B1396)</f>
        <v/>
      </c>
      <c r="U1405" t="s">
        <v>4290</v>
      </c>
      <c r="V1405" t="str">
        <f t="shared" si="179"/>
        <v/>
      </c>
      <c r="W1405" t="str">
        <f t="shared" si="178"/>
        <v/>
      </c>
    </row>
    <row r="1406" spans="1:23">
      <c r="A1406">
        <f>'IPTV US'!A1397</f>
        <v>0</v>
      </c>
      <c r="B1406" t="str">
        <f>T('IPTV US'!B1397)</f>
        <v/>
      </c>
      <c r="C1406" t="s">
        <v>4290</v>
      </c>
      <c r="D1406" t="str">
        <f t="shared" si="173"/>
        <v/>
      </c>
      <c r="E1406" t="str">
        <f t="shared" si="174"/>
        <v/>
      </c>
      <c r="F1406" s="68" t="s">
        <v>4289</v>
      </c>
      <c r="G1406">
        <f>'IPTV CA'!A1397</f>
        <v>0</v>
      </c>
      <c r="H1406" t="str">
        <f>T('IPTV CA'!B1397)</f>
        <v/>
      </c>
      <c r="I1406" t="s">
        <v>4290</v>
      </c>
      <c r="J1406" t="str">
        <f t="shared" si="175"/>
        <v/>
      </c>
      <c r="K1406" t="str">
        <f t="shared" si="180"/>
        <v/>
      </c>
      <c r="L1406" s="69"/>
      <c r="M1406">
        <f>'TMIS US'!A1397</f>
        <v>0</v>
      </c>
      <c r="N1406" t="str">
        <f>T('TMIS US'!B1397)</f>
        <v/>
      </c>
      <c r="O1406" t="s">
        <v>4290</v>
      </c>
      <c r="P1406" t="str">
        <f t="shared" si="176"/>
        <v/>
      </c>
      <c r="Q1406" t="str">
        <f t="shared" si="177"/>
        <v/>
      </c>
      <c r="R1406" s="69"/>
      <c r="S1406">
        <f>'TMIS CA'!A1397</f>
        <v>0</v>
      </c>
      <c r="T1406" t="str">
        <f>T('TMIS CA'!B1397)</f>
        <v/>
      </c>
      <c r="U1406" t="s">
        <v>4290</v>
      </c>
      <c r="V1406" t="str">
        <f t="shared" si="179"/>
        <v/>
      </c>
      <c r="W1406" t="str">
        <f t="shared" si="178"/>
        <v/>
      </c>
    </row>
    <row r="1407" spans="1:23">
      <c r="A1407">
        <f>'IPTV US'!A1398</f>
        <v>0</v>
      </c>
      <c r="B1407" t="str">
        <f>T('IPTV US'!B1398)</f>
        <v/>
      </c>
      <c r="C1407" t="s">
        <v>4290</v>
      </c>
      <c r="D1407" t="str">
        <f t="shared" si="173"/>
        <v/>
      </c>
      <c r="E1407" t="str">
        <f t="shared" si="174"/>
        <v/>
      </c>
      <c r="F1407" s="68" t="s">
        <v>4289</v>
      </c>
      <c r="G1407">
        <f>'IPTV CA'!A1398</f>
        <v>0</v>
      </c>
      <c r="H1407" t="str">
        <f>T('IPTV CA'!B1398)</f>
        <v/>
      </c>
      <c r="I1407" t="s">
        <v>4290</v>
      </c>
      <c r="J1407" t="str">
        <f t="shared" si="175"/>
        <v/>
      </c>
      <c r="K1407" t="str">
        <f t="shared" si="180"/>
        <v/>
      </c>
      <c r="L1407" s="69"/>
      <c r="M1407">
        <f>'TMIS US'!A1398</f>
        <v>0</v>
      </c>
      <c r="N1407" t="str">
        <f>T('TMIS US'!B1398)</f>
        <v/>
      </c>
      <c r="O1407" t="s">
        <v>4290</v>
      </c>
      <c r="P1407" t="str">
        <f t="shared" si="176"/>
        <v/>
      </c>
      <c r="Q1407" t="str">
        <f t="shared" si="177"/>
        <v/>
      </c>
      <c r="R1407" s="69"/>
      <c r="S1407">
        <f>'TMIS CA'!A1398</f>
        <v>0</v>
      </c>
      <c r="T1407" t="str">
        <f>T('TMIS CA'!B1398)</f>
        <v/>
      </c>
      <c r="U1407" t="s">
        <v>4290</v>
      </c>
      <c r="V1407" t="str">
        <f t="shared" si="179"/>
        <v/>
      </c>
      <c r="W1407" t="str">
        <f t="shared" si="178"/>
        <v/>
      </c>
    </row>
    <row r="1408" spans="1:23">
      <c r="A1408">
        <f>'IPTV US'!A1399</f>
        <v>0</v>
      </c>
      <c r="B1408" t="str">
        <f>T('IPTV US'!B1399)</f>
        <v/>
      </c>
      <c r="C1408" t="s">
        <v>4290</v>
      </c>
      <c r="D1408" t="str">
        <f t="shared" si="173"/>
        <v/>
      </c>
      <c r="E1408" t="str">
        <f t="shared" si="174"/>
        <v/>
      </c>
      <c r="F1408" s="68" t="s">
        <v>4289</v>
      </c>
      <c r="G1408">
        <f>'IPTV CA'!A1399</f>
        <v>0</v>
      </c>
      <c r="H1408" t="str">
        <f>T('IPTV CA'!B1399)</f>
        <v/>
      </c>
      <c r="I1408" t="s">
        <v>4290</v>
      </c>
      <c r="J1408" t="str">
        <f t="shared" si="175"/>
        <v/>
      </c>
      <c r="K1408" t="str">
        <f t="shared" si="180"/>
        <v/>
      </c>
      <c r="L1408" s="69"/>
      <c r="M1408">
        <f>'TMIS US'!A1399</f>
        <v>0</v>
      </c>
      <c r="N1408" t="str">
        <f>T('TMIS US'!B1399)</f>
        <v/>
      </c>
      <c r="O1408" t="s">
        <v>4290</v>
      </c>
      <c r="P1408" t="str">
        <f t="shared" si="176"/>
        <v/>
      </c>
      <c r="Q1408" t="str">
        <f t="shared" si="177"/>
        <v/>
      </c>
      <c r="R1408" s="69"/>
      <c r="S1408">
        <f>'TMIS CA'!A1399</f>
        <v>0</v>
      </c>
      <c r="T1408" t="str">
        <f>T('TMIS CA'!B1399)</f>
        <v/>
      </c>
      <c r="U1408" t="s">
        <v>4290</v>
      </c>
      <c r="V1408" t="str">
        <f t="shared" si="179"/>
        <v/>
      </c>
      <c r="W1408" t="str">
        <f t="shared" si="178"/>
        <v/>
      </c>
    </row>
    <row r="1409" spans="1:23">
      <c r="A1409">
        <f>'IPTV US'!A1400</f>
        <v>0</v>
      </c>
      <c r="B1409" t="str">
        <f>T('IPTV US'!B1400)</f>
        <v/>
      </c>
      <c r="C1409" t="s">
        <v>4290</v>
      </c>
      <c r="D1409" t="str">
        <f t="shared" si="173"/>
        <v/>
      </c>
      <c r="E1409" t="str">
        <f t="shared" si="174"/>
        <v/>
      </c>
      <c r="F1409" s="68" t="s">
        <v>4289</v>
      </c>
      <c r="G1409">
        <f>'IPTV CA'!A1400</f>
        <v>0</v>
      </c>
      <c r="H1409" t="str">
        <f>T('IPTV CA'!B1400)</f>
        <v/>
      </c>
      <c r="I1409" t="s">
        <v>4290</v>
      </c>
      <c r="J1409" t="str">
        <f t="shared" si="175"/>
        <v/>
      </c>
      <c r="K1409" t="str">
        <f t="shared" si="180"/>
        <v/>
      </c>
      <c r="L1409" s="69"/>
      <c r="M1409">
        <f>'TMIS US'!A1400</f>
        <v>0</v>
      </c>
      <c r="N1409" t="str">
        <f>T('TMIS US'!B1400)</f>
        <v/>
      </c>
      <c r="O1409" t="s">
        <v>4290</v>
      </c>
      <c r="P1409" t="str">
        <f t="shared" si="176"/>
        <v/>
      </c>
      <c r="Q1409" t="str">
        <f t="shared" si="177"/>
        <v/>
      </c>
      <c r="R1409" s="69"/>
      <c r="S1409">
        <f>'TMIS CA'!A1400</f>
        <v>0</v>
      </c>
      <c r="T1409" t="str">
        <f>T('TMIS CA'!B1400)</f>
        <v/>
      </c>
      <c r="U1409" t="s">
        <v>4290</v>
      </c>
      <c r="V1409" t="str">
        <f t="shared" si="179"/>
        <v/>
      </c>
      <c r="W1409" t="str">
        <f t="shared" si="178"/>
        <v/>
      </c>
    </row>
    <row r="1410" spans="1:23">
      <c r="A1410">
        <f>'IPTV US'!A1401</f>
        <v>0</v>
      </c>
      <c r="B1410" t="str">
        <f>T('IPTV US'!B1401)</f>
        <v/>
      </c>
      <c r="C1410" t="s">
        <v>4290</v>
      </c>
      <c r="D1410" t="str">
        <f t="shared" si="173"/>
        <v/>
      </c>
      <c r="E1410" t="str">
        <f t="shared" si="174"/>
        <v/>
      </c>
      <c r="F1410" s="68" t="s">
        <v>4289</v>
      </c>
      <c r="G1410">
        <f>'IPTV CA'!A1401</f>
        <v>0</v>
      </c>
      <c r="H1410" t="str">
        <f>T('IPTV CA'!B1401)</f>
        <v/>
      </c>
      <c r="I1410" t="s">
        <v>4290</v>
      </c>
      <c r="J1410" t="str">
        <f t="shared" si="175"/>
        <v/>
      </c>
      <c r="K1410" t="str">
        <f t="shared" si="180"/>
        <v/>
      </c>
      <c r="L1410" s="69"/>
      <c r="M1410">
        <f>'TMIS US'!A1401</f>
        <v>0</v>
      </c>
      <c r="N1410" t="str">
        <f>T('TMIS US'!B1401)</f>
        <v/>
      </c>
      <c r="O1410" t="s">
        <v>4290</v>
      </c>
      <c r="P1410" t="str">
        <f t="shared" si="176"/>
        <v/>
      </c>
      <c r="Q1410" t="str">
        <f t="shared" si="177"/>
        <v/>
      </c>
      <c r="R1410" s="69"/>
      <c r="S1410">
        <f>'TMIS CA'!A1401</f>
        <v>0</v>
      </c>
      <c r="T1410" t="str">
        <f>T('TMIS CA'!B1401)</f>
        <v/>
      </c>
      <c r="U1410" t="s">
        <v>4290</v>
      </c>
      <c r="V1410" t="str">
        <f t="shared" si="179"/>
        <v/>
      </c>
      <c r="W1410" t="str">
        <f t="shared" si="178"/>
        <v/>
      </c>
    </row>
    <row r="1411" spans="1:23">
      <c r="A1411">
        <f>'IPTV US'!A1402</f>
        <v>0</v>
      </c>
      <c r="B1411" t="str">
        <f>T('IPTV US'!B1402)</f>
        <v/>
      </c>
      <c r="C1411" t="s">
        <v>4290</v>
      </c>
      <c r="D1411" t="str">
        <f t="shared" si="173"/>
        <v/>
      </c>
      <c r="E1411" t="str">
        <f t="shared" si="174"/>
        <v/>
      </c>
      <c r="F1411" s="68" t="s">
        <v>4289</v>
      </c>
      <c r="G1411">
        <f>'IPTV CA'!A1402</f>
        <v>0</v>
      </c>
      <c r="H1411" t="str">
        <f>T('IPTV CA'!B1402)</f>
        <v/>
      </c>
      <c r="I1411" t="s">
        <v>4290</v>
      </c>
      <c r="J1411" t="str">
        <f t="shared" si="175"/>
        <v/>
      </c>
      <c r="K1411" t="str">
        <f t="shared" si="180"/>
        <v/>
      </c>
      <c r="L1411" s="69"/>
      <c r="M1411">
        <f>'TMIS US'!A1402</f>
        <v>0</v>
      </c>
      <c r="N1411" t="str">
        <f>T('TMIS US'!B1402)</f>
        <v/>
      </c>
      <c r="O1411" t="s">
        <v>4290</v>
      </c>
      <c r="P1411" t="str">
        <f t="shared" si="176"/>
        <v/>
      </c>
      <c r="Q1411" t="str">
        <f t="shared" si="177"/>
        <v/>
      </c>
      <c r="R1411" s="69"/>
      <c r="S1411">
        <f>'TMIS CA'!A1402</f>
        <v>0</v>
      </c>
      <c r="T1411" t="str">
        <f>T('TMIS CA'!B1402)</f>
        <v/>
      </c>
      <c r="U1411" t="s">
        <v>4290</v>
      </c>
      <c r="V1411" t="str">
        <f t="shared" si="179"/>
        <v/>
      </c>
      <c r="W1411" t="str">
        <f t="shared" si="178"/>
        <v/>
      </c>
    </row>
    <row r="1412" spans="1:23">
      <c r="A1412">
        <f>'IPTV US'!A1403</f>
        <v>0</v>
      </c>
      <c r="B1412" t="str">
        <f>T('IPTV US'!B1403)</f>
        <v/>
      </c>
      <c r="C1412" t="s">
        <v>4290</v>
      </c>
      <c r="D1412" t="str">
        <f t="shared" si="173"/>
        <v/>
      </c>
      <c r="E1412" t="str">
        <f t="shared" si="174"/>
        <v/>
      </c>
      <c r="F1412" s="68" t="s">
        <v>4289</v>
      </c>
      <c r="G1412">
        <f>'IPTV CA'!A1403</f>
        <v>0</v>
      </c>
      <c r="H1412" t="str">
        <f>T('IPTV CA'!B1403)</f>
        <v/>
      </c>
      <c r="I1412" t="s">
        <v>4290</v>
      </c>
      <c r="J1412" t="str">
        <f t="shared" si="175"/>
        <v/>
      </c>
      <c r="K1412" t="str">
        <f t="shared" si="180"/>
        <v/>
      </c>
      <c r="L1412" s="69"/>
      <c r="M1412">
        <f>'TMIS US'!A1403</f>
        <v>0</v>
      </c>
      <c r="N1412" t="str">
        <f>T('TMIS US'!B1403)</f>
        <v/>
      </c>
      <c r="O1412" t="s">
        <v>4290</v>
      </c>
      <c r="P1412" t="str">
        <f t="shared" si="176"/>
        <v/>
      </c>
      <c r="Q1412" t="str">
        <f t="shared" si="177"/>
        <v/>
      </c>
      <c r="R1412" s="69"/>
      <c r="S1412">
        <f>'TMIS CA'!A1403</f>
        <v>0</v>
      </c>
      <c r="T1412" t="str">
        <f>T('TMIS CA'!B1403)</f>
        <v/>
      </c>
      <c r="U1412" t="s">
        <v>4290</v>
      </c>
      <c r="V1412" t="str">
        <f t="shared" si="179"/>
        <v/>
      </c>
      <c r="W1412" t="str">
        <f t="shared" si="178"/>
        <v/>
      </c>
    </row>
    <row r="1413" spans="1:23">
      <c r="A1413">
        <f>'IPTV US'!A1404</f>
        <v>0</v>
      </c>
      <c r="B1413" t="str">
        <f>T('IPTV US'!B1404)</f>
        <v/>
      </c>
      <c r="C1413" t="s">
        <v>4290</v>
      </c>
      <c r="D1413" t="str">
        <f t="shared" si="173"/>
        <v/>
      </c>
      <c r="E1413" t="str">
        <f t="shared" si="174"/>
        <v/>
      </c>
      <c r="F1413" s="68" t="s">
        <v>4289</v>
      </c>
      <c r="G1413">
        <f>'IPTV CA'!A1404</f>
        <v>0</v>
      </c>
      <c r="H1413" t="str">
        <f>T('IPTV CA'!B1404)</f>
        <v/>
      </c>
      <c r="I1413" t="s">
        <v>4290</v>
      </c>
      <c r="J1413" t="str">
        <f t="shared" si="175"/>
        <v/>
      </c>
      <c r="K1413" t="str">
        <f t="shared" si="180"/>
        <v/>
      </c>
      <c r="L1413" s="69"/>
      <c r="M1413">
        <f>'TMIS US'!A1404</f>
        <v>0</v>
      </c>
      <c r="N1413" t="str">
        <f>T('TMIS US'!B1404)</f>
        <v/>
      </c>
      <c r="O1413" t="s">
        <v>4290</v>
      </c>
      <c r="P1413" t="str">
        <f t="shared" si="176"/>
        <v/>
      </c>
      <c r="Q1413" t="str">
        <f t="shared" si="177"/>
        <v/>
      </c>
      <c r="R1413" s="69"/>
      <c r="S1413">
        <f>'TMIS CA'!A1404</f>
        <v>0</v>
      </c>
      <c r="T1413" t="str">
        <f>T('TMIS CA'!B1404)</f>
        <v/>
      </c>
      <c r="U1413" t="s">
        <v>4290</v>
      </c>
      <c r="V1413" t="str">
        <f t="shared" si="179"/>
        <v/>
      </c>
      <c r="W1413" t="str">
        <f t="shared" si="178"/>
        <v/>
      </c>
    </row>
    <row r="1414" spans="1:23">
      <c r="A1414">
        <f>'IPTV US'!A1405</f>
        <v>0</v>
      </c>
      <c r="B1414" t="str">
        <f>T('IPTV US'!B1405)</f>
        <v/>
      </c>
      <c r="C1414" t="s">
        <v>4290</v>
      </c>
      <c r="D1414" t="str">
        <f t="shared" si="173"/>
        <v/>
      </c>
      <c r="E1414" t="str">
        <f t="shared" si="174"/>
        <v/>
      </c>
      <c r="F1414" s="68" t="s">
        <v>4289</v>
      </c>
      <c r="G1414">
        <f>'IPTV CA'!A1405</f>
        <v>0</v>
      </c>
      <c r="H1414" t="str">
        <f>T('IPTV CA'!B1405)</f>
        <v/>
      </c>
      <c r="I1414" t="s">
        <v>4290</v>
      </c>
      <c r="J1414" t="str">
        <f t="shared" si="175"/>
        <v/>
      </c>
      <c r="K1414" t="str">
        <f t="shared" si="180"/>
        <v/>
      </c>
      <c r="L1414" s="69"/>
      <c r="M1414">
        <f>'TMIS US'!A1405</f>
        <v>0</v>
      </c>
      <c r="N1414" t="str">
        <f>T('TMIS US'!B1405)</f>
        <v/>
      </c>
      <c r="O1414" t="s">
        <v>4290</v>
      </c>
      <c r="P1414" t="str">
        <f t="shared" si="176"/>
        <v/>
      </c>
      <c r="Q1414" t="str">
        <f t="shared" si="177"/>
        <v/>
      </c>
      <c r="R1414" s="69"/>
      <c r="S1414">
        <f>'TMIS CA'!A1405</f>
        <v>0</v>
      </c>
      <c r="T1414" t="str">
        <f>T('TMIS CA'!B1405)</f>
        <v/>
      </c>
      <c r="U1414" t="s">
        <v>4290</v>
      </c>
      <c r="V1414" t="str">
        <f t="shared" si="179"/>
        <v/>
      </c>
      <c r="W1414" t="str">
        <f t="shared" si="178"/>
        <v/>
      </c>
    </row>
    <row r="1415" spans="1:23">
      <c r="A1415">
        <f>'IPTV US'!A1406</f>
        <v>0</v>
      </c>
      <c r="B1415" t="str">
        <f>T('IPTV US'!B1406)</f>
        <v/>
      </c>
      <c r="C1415" t="s">
        <v>4290</v>
      </c>
      <c r="D1415" t="str">
        <f t="shared" si="173"/>
        <v/>
      </c>
      <c r="E1415" t="str">
        <f t="shared" si="174"/>
        <v/>
      </c>
      <c r="F1415" s="68" t="s">
        <v>4289</v>
      </c>
      <c r="G1415">
        <f>'IPTV CA'!A1406</f>
        <v>0</v>
      </c>
      <c r="H1415" t="str">
        <f>T('IPTV CA'!B1406)</f>
        <v/>
      </c>
      <c r="I1415" t="s">
        <v>4290</v>
      </c>
      <c r="J1415" t="str">
        <f t="shared" si="175"/>
        <v/>
      </c>
      <c r="K1415" t="str">
        <f t="shared" si="180"/>
        <v/>
      </c>
      <c r="L1415" s="69"/>
      <c r="M1415">
        <f>'TMIS US'!A1406</f>
        <v>0</v>
      </c>
      <c r="N1415" t="str">
        <f>T('TMIS US'!B1406)</f>
        <v/>
      </c>
      <c r="O1415" t="s">
        <v>4290</v>
      </c>
      <c r="P1415" t="str">
        <f t="shared" si="176"/>
        <v/>
      </c>
      <c r="Q1415" t="str">
        <f t="shared" si="177"/>
        <v/>
      </c>
      <c r="R1415" s="69"/>
      <c r="S1415">
        <f>'TMIS CA'!A1406</f>
        <v>0</v>
      </c>
      <c r="T1415" t="str">
        <f>T('TMIS CA'!B1406)</f>
        <v/>
      </c>
      <c r="U1415" t="s">
        <v>4290</v>
      </c>
      <c r="V1415" t="str">
        <f t="shared" si="179"/>
        <v/>
      </c>
      <c r="W1415" t="str">
        <f t="shared" si="178"/>
        <v/>
      </c>
    </row>
    <row r="1416" spans="1:23">
      <c r="A1416">
        <f>'IPTV US'!A1407</f>
        <v>0</v>
      </c>
      <c r="B1416" t="str">
        <f>T('IPTV US'!B1407)</f>
        <v/>
      </c>
      <c r="C1416" t="s">
        <v>4290</v>
      </c>
      <c r="D1416" t="str">
        <f t="shared" si="173"/>
        <v/>
      </c>
      <c r="E1416" t="str">
        <f t="shared" si="174"/>
        <v/>
      </c>
      <c r="F1416" s="68" t="s">
        <v>4289</v>
      </c>
      <c r="G1416">
        <f>'IPTV CA'!A1407</f>
        <v>0</v>
      </c>
      <c r="H1416" t="str">
        <f>T('IPTV CA'!B1407)</f>
        <v/>
      </c>
      <c r="I1416" t="s">
        <v>4290</v>
      </c>
      <c r="J1416" t="str">
        <f t="shared" si="175"/>
        <v/>
      </c>
      <c r="K1416" t="str">
        <f t="shared" si="180"/>
        <v/>
      </c>
      <c r="L1416" s="69"/>
      <c r="M1416">
        <f>'TMIS US'!A1407</f>
        <v>0</v>
      </c>
      <c r="N1416" t="str">
        <f>T('TMIS US'!B1407)</f>
        <v/>
      </c>
      <c r="O1416" t="s">
        <v>4290</v>
      </c>
      <c r="P1416" t="str">
        <f t="shared" si="176"/>
        <v/>
      </c>
      <c r="Q1416" t="str">
        <f t="shared" si="177"/>
        <v/>
      </c>
      <c r="R1416" s="69"/>
      <c r="S1416">
        <f>'TMIS CA'!A1407</f>
        <v>0</v>
      </c>
      <c r="T1416" t="str">
        <f>T('TMIS CA'!B1407)</f>
        <v/>
      </c>
      <c r="U1416" t="s">
        <v>4290</v>
      </c>
      <c r="V1416" t="str">
        <f t="shared" si="179"/>
        <v/>
      </c>
      <c r="W1416" t="str">
        <f t="shared" si="178"/>
        <v/>
      </c>
    </row>
    <row r="1417" spans="1:23">
      <c r="A1417">
        <f>'IPTV US'!A1408</f>
        <v>0</v>
      </c>
      <c r="B1417" t="str">
        <f>T('IPTV US'!B1408)</f>
        <v/>
      </c>
      <c r="C1417" t="s">
        <v>4290</v>
      </c>
      <c r="D1417" t="str">
        <f t="shared" si="173"/>
        <v/>
      </c>
      <c r="E1417" t="str">
        <f t="shared" si="174"/>
        <v/>
      </c>
      <c r="F1417" s="68" t="s">
        <v>4289</v>
      </c>
      <c r="G1417">
        <f>'IPTV CA'!A1408</f>
        <v>0</v>
      </c>
      <c r="H1417" t="str">
        <f>T('IPTV CA'!B1408)</f>
        <v/>
      </c>
      <c r="I1417" t="s">
        <v>4290</v>
      </c>
      <c r="J1417" t="str">
        <f t="shared" si="175"/>
        <v/>
      </c>
      <c r="K1417" t="str">
        <f t="shared" si="180"/>
        <v/>
      </c>
      <c r="L1417" s="69"/>
      <c r="M1417">
        <f>'TMIS US'!A1408</f>
        <v>0</v>
      </c>
      <c r="N1417" t="str">
        <f>T('TMIS US'!B1408)</f>
        <v/>
      </c>
      <c r="O1417" t="s">
        <v>4290</v>
      </c>
      <c r="P1417" t="str">
        <f t="shared" si="176"/>
        <v/>
      </c>
      <c r="Q1417" t="str">
        <f t="shared" si="177"/>
        <v/>
      </c>
      <c r="R1417" s="69"/>
      <c r="S1417">
        <f>'TMIS CA'!A1408</f>
        <v>0</v>
      </c>
      <c r="T1417" t="str">
        <f>T('TMIS CA'!B1408)</f>
        <v/>
      </c>
      <c r="U1417" t="s">
        <v>4290</v>
      </c>
      <c r="V1417" t="str">
        <f t="shared" si="179"/>
        <v/>
      </c>
      <c r="W1417" t="str">
        <f t="shared" si="178"/>
        <v/>
      </c>
    </row>
    <row r="1418" spans="1:23">
      <c r="A1418">
        <f>'IPTV US'!A1409</f>
        <v>0</v>
      </c>
      <c r="B1418" t="str">
        <f>T('IPTV US'!B1409)</f>
        <v/>
      </c>
      <c r="C1418" t="s">
        <v>4290</v>
      </c>
      <c r="D1418" t="str">
        <f t="shared" si="173"/>
        <v/>
      </c>
      <c r="E1418" t="str">
        <f t="shared" si="174"/>
        <v/>
      </c>
      <c r="F1418" s="68" t="s">
        <v>4289</v>
      </c>
      <c r="G1418">
        <f>'IPTV CA'!A1409</f>
        <v>0</v>
      </c>
      <c r="H1418" t="str">
        <f>T('IPTV CA'!B1409)</f>
        <v/>
      </c>
      <c r="I1418" t="s">
        <v>4290</v>
      </c>
      <c r="J1418" t="str">
        <f t="shared" si="175"/>
        <v/>
      </c>
      <c r="K1418" t="str">
        <f t="shared" si="180"/>
        <v/>
      </c>
      <c r="L1418" s="69"/>
      <c r="M1418">
        <f>'TMIS US'!A1409</f>
        <v>0</v>
      </c>
      <c r="N1418" t="str">
        <f>T('TMIS US'!B1409)</f>
        <v/>
      </c>
      <c r="O1418" t="s">
        <v>4290</v>
      </c>
      <c r="P1418" t="str">
        <f t="shared" si="176"/>
        <v/>
      </c>
      <c r="Q1418" t="str">
        <f t="shared" si="177"/>
        <v/>
      </c>
      <c r="R1418" s="69"/>
      <c r="S1418">
        <f>'TMIS CA'!A1409</f>
        <v>0</v>
      </c>
      <c r="T1418" t="str">
        <f>T('TMIS CA'!B1409)</f>
        <v/>
      </c>
      <c r="U1418" t="s">
        <v>4290</v>
      </c>
      <c r="V1418" t="str">
        <f t="shared" si="179"/>
        <v/>
      </c>
      <c r="W1418" t="str">
        <f t="shared" si="178"/>
        <v/>
      </c>
    </row>
    <row r="1419" spans="1:23">
      <c r="A1419">
        <f>'IPTV US'!A1410</f>
        <v>0</v>
      </c>
      <c r="B1419" t="str">
        <f>T('IPTV US'!B1410)</f>
        <v/>
      </c>
      <c r="C1419" t="s">
        <v>4290</v>
      </c>
      <c r="D1419" t="str">
        <f t="shared" ref="D1419:D1482" si="181">IF(C1419="Active",IF(B1419="","Please Notify - Channel Removed",""),"")</f>
        <v/>
      </c>
      <c r="E1419" t="str">
        <f t="shared" ref="E1419:E1482" si="182">IF(C1419="Vacant",IF(B1419="","","Please Notify - Channel Added"),"")</f>
        <v/>
      </c>
      <c r="F1419" s="68" t="s">
        <v>4289</v>
      </c>
      <c r="G1419">
        <f>'IPTV CA'!A1410</f>
        <v>0</v>
      </c>
      <c r="H1419" t="str">
        <f>T('IPTV CA'!B1410)</f>
        <v/>
      </c>
      <c r="I1419" t="s">
        <v>4290</v>
      </c>
      <c r="J1419" t="str">
        <f t="shared" ref="J1419:J1482" si="183">IF(I1419="Active",IF(H1419="","Please Notify - Channel Removed",""),"")</f>
        <v/>
      </c>
      <c r="K1419" t="str">
        <f t="shared" si="180"/>
        <v/>
      </c>
      <c r="L1419" s="69"/>
      <c r="M1419">
        <f>'TMIS US'!A1410</f>
        <v>0</v>
      </c>
      <c r="N1419" t="str">
        <f>T('TMIS US'!B1410)</f>
        <v/>
      </c>
      <c r="O1419" t="s">
        <v>4290</v>
      </c>
      <c r="P1419" t="str">
        <f t="shared" ref="P1419:P1482" si="184">IF(O1419="Active",IF(N1419="","Please Notify - Channel Removed",""),"")</f>
        <v/>
      </c>
      <c r="Q1419" t="str">
        <f t="shared" si="177"/>
        <v/>
      </c>
      <c r="R1419" s="69"/>
      <c r="S1419">
        <f>'TMIS CA'!A1410</f>
        <v>0</v>
      </c>
      <c r="T1419" t="str">
        <f>T('TMIS CA'!B1410)</f>
        <v/>
      </c>
      <c r="U1419" t="s">
        <v>4290</v>
      </c>
      <c r="V1419" t="str">
        <f t="shared" si="179"/>
        <v/>
      </c>
      <c r="W1419" t="str">
        <f t="shared" si="178"/>
        <v/>
      </c>
    </row>
    <row r="1420" spans="1:23">
      <c r="A1420">
        <f>'IPTV US'!A1411</f>
        <v>0</v>
      </c>
      <c r="B1420" t="str">
        <f>T('IPTV US'!B1411)</f>
        <v/>
      </c>
      <c r="C1420" t="s">
        <v>4290</v>
      </c>
      <c r="D1420" t="str">
        <f t="shared" si="181"/>
        <v/>
      </c>
      <c r="E1420" t="str">
        <f t="shared" si="182"/>
        <v/>
      </c>
      <c r="F1420" s="68" t="s">
        <v>4289</v>
      </c>
      <c r="G1420">
        <f>'IPTV CA'!A1411</f>
        <v>0</v>
      </c>
      <c r="H1420" t="str">
        <f>T('IPTV CA'!B1411)</f>
        <v/>
      </c>
      <c r="I1420" t="s">
        <v>4290</v>
      </c>
      <c r="J1420" t="str">
        <f t="shared" si="183"/>
        <v/>
      </c>
      <c r="K1420" t="str">
        <f t="shared" si="180"/>
        <v/>
      </c>
      <c r="L1420" s="69"/>
      <c r="M1420">
        <f>'TMIS US'!A1411</f>
        <v>0</v>
      </c>
      <c r="N1420" t="str">
        <f>T('TMIS US'!B1411)</f>
        <v/>
      </c>
      <c r="O1420" t="s">
        <v>4290</v>
      </c>
      <c r="P1420" t="str">
        <f t="shared" si="184"/>
        <v/>
      </c>
      <c r="Q1420" t="str">
        <f t="shared" ref="Q1420:Q1483" si="185">IF(O1420="Vacant",IF(N1420="","","Please Notify - Channel Added"),"")</f>
        <v/>
      </c>
      <c r="R1420" s="69"/>
      <c r="S1420">
        <f>'TMIS CA'!A1411</f>
        <v>0</v>
      </c>
      <c r="T1420" t="str">
        <f>T('TMIS CA'!B1411)</f>
        <v/>
      </c>
      <c r="U1420" t="s">
        <v>4290</v>
      </c>
      <c r="V1420" t="str">
        <f t="shared" si="179"/>
        <v/>
      </c>
      <c r="W1420" t="str">
        <f t="shared" ref="W1420:W1483" si="186">IF(U1420="Vacant",IF(T1420="","","Please Notify - Channel Added"),"")</f>
        <v/>
      </c>
    </row>
    <row r="1421" spans="1:23">
      <c r="A1421">
        <f>'IPTV US'!A1412</f>
        <v>0</v>
      </c>
      <c r="B1421" t="str">
        <f>T('IPTV US'!B1412)</f>
        <v/>
      </c>
      <c r="C1421" t="s">
        <v>4290</v>
      </c>
      <c r="D1421" t="str">
        <f t="shared" si="181"/>
        <v/>
      </c>
      <c r="E1421" t="str">
        <f t="shared" si="182"/>
        <v/>
      </c>
      <c r="F1421" s="68" t="s">
        <v>4289</v>
      </c>
      <c r="G1421">
        <f>'IPTV CA'!A1412</f>
        <v>0</v>
      </c>
      <c r="H1421" t="str">
        <f>T('IPTV CA'!B1412)</f>
        <v/>
      </c>
      <c r="I1421" t="s">
        <v>4290</v>
      </c>
      <c r="J1421" t="str">
        <f t="shared" si="183"/>
        <v/>
      </c>
      <c r="K1421" t="str">
        <f t="shared" si="180"/>
        <v/>
      </c>
      <c r="L1421" s="69"/>
      <c r="M1421">
        <f>'TMIS US'!A1412</f>
        <v>0</v>
      </c>
      <c r="N1421" t="str">
        <f>T('TMIS US'!B1412)</f>
        <v/>
      </c>
      <c r="O1421" t="s">
        <v>4290</v>
      </c>
      <c r="P1421" t="str">
        <f t="shared" si="184"/>
        <v/>
      </c>
      <c r="Q1421" t="str">
        <f t="shared" si="185"/>
        <v/>
      </c>
      <c r="R1421" s="69"/>
      <c r="S1421">
        <f>'TMIS CA'!A1412</f>
        <v>0</v>
      </c>
      <c r="T1421" t="str">
        <f>T('TMIS CA'!B1412)</f>
        <v/>
      </c>
      <c r="U1421" t="s">
        <v>4290</v>
      </c>
      <c r="V1421" t="str">
        <f t="shared" si="179"/>
        <v/>
      </c>
      <c r="W1421" t="str">
        <f t="shared" si="186"/>
        <v/>
      </c>
    </row>
    <row r="1422" spans="1:23">
      <c r="A1422">
        <f>'IPTV US'!A1413</f>
        <v>0</v>
      </c>
      <c r="B1422" t="str">
        <f>T('IPTV US'!B1413)</f>
        <v/>
      </c>
      <c r="C1422" t="s">
        <v>4290</v>
      </c>
      <c r="D1422" t="str">
        <f t="shared" si="181"/>
        <v/>
      </c>
      <c r="E1422" t="str">
        <f t="shared" si="182"/>
        <v/>
      </c>
      <c r="F1422" s="68" t="s">
        <v>4289</v>
      </c>
      <c r="G1422">
        <f>'IPTV CA'!A1413</f>
        <v>0</v>
      </c>
      <c r="H1422" t="str">
        <f>T('IPTV CA'!B1413)</f>
        <v/>
      </c>
      <c r="I1422" t="s">
        <v>4290</v>
      </c>
      <c r="J1422" t="str">
        <f t="shared" si="183"/>
        <v/>
      </c>
      <c r="K1422" t="str">
        <f t="shared" si="180"/>
        <v/>
      </c>
      <c r="L1422" s="69"/>
      <c r="M1422">
        <f>'TMIS US'!A1413</f>
        <v>0</v>
      </c>
      <c r="N1422" t="str">
        <f>T('TMIS US'!B1413)</f>
        <v/>
      </c>
      <c r="O1422" t="s">
        <v>4290</v>
      </c>
      <c r="P1422" t="str">
        <f t="shared" si="184"/>
        <v/>
      </c>
      <c r="Q1422" t="str">
        <f t="shared" si="185"/>
        <v/>
      </c>
      <c r="R1422" s="69"/>
      <c r="S1422">
        <f>'TMIS CA'!A1413</f>
        <v>0</v>
      </c>
      <c r="T1422" t="str">
        <f>T('TMIS CA'!B1413)</f>
        <v/>
      </c>
      <c r="U1422" t="s">
        <v>4290</v>
      </c>
      <c r="V1422" t="str">
        <f t="shared" ref="V1422:V1485" si="187">IF(U1422="Active",IF(T1422="","Please Notify - Channel Removed",""),"")</f>
        <v/>
      </c>
      <c r="W1422" t="str">
        <f t="shared" si="186"/>
        <v/>
      </c>
    </row>
    <row r="1423" spans="1:23">
      <c r="A1423">
        <f>'IPTV US'!A1414</f>
        <v>0</v>
      </c>
      <c r="B1423" t="str">
        <f>T('IPTV US'!B1414)</f>
        <v/>
      </c>
      <c r="C1423" t="s">
        <v>4290</v>
      </c>
      <c r="D1423" t="str">
        <f t="shared" si="181"/>
        <v/>
      </c>
      <c r="E1423" t="str">
        <f t="shared" si="182"/>
        <v/>
      </c>
      <c r="F1423" s="68" t="s">
        <v>4289</v>
      </c>
      <c r="G1423">
        <f>'IPTV CA'!A1414</f>
        <v>0</v>
      </c>
      <c r="H1423" t="str">
        <f>T('IPTV CA'!B1414)</f>
        <v/>
      </c>
      <c r="I1423" t="s">
        <v>4290</v>
      </c>
      <c r="J1423" t="str">
        <f t="shared" si="183"/>
        <v/>
      </c>
      <c r="K1423" t="str">
        <f t="shared" si="180"/>
        <v/>
      </c>
      <c r="L1423" s="69"/>
      <c r="M1423">
        <f>'TMIS US'!A1414</f>
        <v>0</v>
      </c>
      <c r="N1423" t="str">
        <f>T('TMIS US'!B1414)</f>
        <v/>
      </c>
      <c r="O1423" t="s">
        <v>4290</v>
      </c>
      <c r="P1423" t="str">
        <f t="shared" si="184"/>
        <v/>
      </c>
      <c r="Q1423" t="str">
        <f t="shared" si="185"/>
        <v/>
      </c>
      <c r="R1423" s="69"/>
      <c r="S1423">
        <f>'TMIS CA'!A1414</f>
        <v>0</v>
      </c>
      <c r="T1423" t="str">
        <f>T('TMIS CA'!B1414)</f>
        <v/>
      </c>
      <c r="U1423" t="s">
        <v>4290</v>
      </c>
      <c r="V1423" t="str">
        <f t="shared" si="187"/>
        <v/>
      </c>
      <c r="W1423" t="str">
        <f t="shared" si="186"/>
        <v/>
      </c>
    </row>
    <row r="1424" spans="1:23">
      <c r="A1424">
        <f>'IPTV US'!A1415</f>
        <v>0</v>
      </c>
      <c r="B1424" t="str">
        <f>T('IPTV US'!B1415)</f>
        <v/>
      </c>
      <c r="C1424" t="s">
        <v>4290</v>
      </c>
      <c r="D1424" t="str">
        <f t="shared" si="181"/>
        <v/>
      </c>
      <c r="E1424" t="str">
        <f t="shared" si="182"/>
        <v/>
      </c>
      <c r="F1424" s="68" t="s">
        <v>4289</v>
      </c>
      <c r="G1424">
        <f>'IPTV CA'!A1415</f>
        <v>0</v>
      </c>
      <c r="H1424" t="str">
        <f>T('IPTV CA'!B1415)</f>
        <v/>
      </c>
      <c r="I1424" t="s">
        <v>4290</v>
      </c>
      <c r="J1424" t="str">
        <f t="shared" si="183"/>
        <v/>
      </c>
      <c r="K1424" t="str">
        <f t="shared" si="180"/>
        <v/>
      </c>
      <c r="L1424" s="69"/>
      <c r="M1424">
        <f>'TMIS US'!A1415</f>
        <v>0</v>
      </c>
      <c r="N1424" t="str">
        <f>T('TMIS US'!B1415)</f>
        <v/>
      </c>
      <c r="O1424" t="s">
        <v>4290</v>
      </c>
      <c r="P1424" t="str">
        <f t="shared" si="184"/>
        <v/>
      </c>
      <c r="Q1424" t="str">
        <f t="shared" si="185"/>
        <v/>
      </c>
      <c r="R1424" s="69"/>
      <c r="S1424">
        <f>'TMIS CA'!A1415</f>
        <v>0</v>
      </c>
      <c r="T1424" t="str">
        <f>T('TMIS CA'!B1415)</f>
        <v/>
      </c>
      <c r="U1424" t="s">
        <v>4290</v>
      </c>
      <c r="V1424" t="str">
        <f t="shared" si="187"/>
        <v/>
      </c>
      <c r="W1424" t="str">
        <f t="shared" si="186"/>
        <v/>
      </c>
    </row>
    <row r="1425" spans="1:23">
      <c r="A1425">
        <f>'IPTV US'!A1416</f>
        <v>0</v>
      </c>
      <c r="B1425" t="str">
        <f>T('IPTV US'!B1416)</f>
        <v/>
      </c>
      <c r="C1425" t="s">
        <v>4290</v>
      </c>
      <c r="D1425" t="str">
        <f t="shared" si="181"/>
        <v/>
      </c>
      <c r="E1425" t="str">
        <f t="shared" si="182"/>
        <v/>
      </c>
      <c r="F1425" s="68" t="s">
        <v>4289</v>
      </c>
      <c r="G1425">
        <f>'IPTV CA'!A1416</f>
        <v>0</v>
      </c>
      <c r="H1425" t="str">
        <f>T('IPTV CA'!B1416)</f>
        <v/>
      </c>
      <c r="I1425" t="s">
        <v>4290</v>
      </c>
      <c r="J1425" t="str">
        <f t="shared" si="183"/>
        <v/>
      </c>
      <c r="K1425" t="str">
        <f t="shared" si="180"/>
        <v/>
      </c>
      <c r="L1425" s="69"/>
      <c r="M1425">
        <f>'TMIS US'!A1416</f>
        <v>0</v>
      </c>
      <c r="N1425" t="str">
        <f>T('TMIS US'!B1416)</f>
        <v/>
      </c>
      <c r="O1425" t="s">
        <v>4290</v>
      </c>
      <c r="P1425" t="str">
        <f t="shared" si="184"/>
        <v/>
      </c>
      <c r="Q1425" t="str">
        <f t="shared" si="185"/>
        <v/>
      </c>
      <c r="R1425" s="69"/>
      <c r="S1425">
        <f>'TMIS CA'!A1416</f>
        <v>0</v>
      </c>
      <c r="T1425" t="str">
        <f>T('TMIS CA'!B1416)</f>
        <v/>
      </c>
      <c r="U1425" t="s">
        <v>4290</v>
      </c>
      <c r="V1425" t="str">
        <f t="shared" si="187"/>
        <v/>
      </c>
      <c r="W1425" t="str">
        <f t="shared" si="186"/>
        <v/>
      </c>
    </row>
    <row r="1426" spans="1:23">
      <c r="A1426">
        <f>'IPTV US'!A1417</f>
        <v>0</v>
      </c>
      <c r="B1426" t="str">
        <f>T('IPTV US'!B1417)</f>
        <v/>
      </c>
      <c r="C1426" t="s">
        <v>4290</v>
      </c>
      <c r="D1426" t="str">
        <f t="shared" si="181"/>
        <v/>
      </c>
      <c r="E1426" t="str">
        <f t="shared" si="182"/>
        <v/>
      </c>
      <c r="F1426" s="68" t="s">
        <v>4289</v>
      </c>
      <c r="G1426">
        <f>'IPTV CA'!A1417</f>
        <v>0</v>
      </c>
      <c r="H1426" t="str">
        <f>T('IPTV CA'!B1417)</f>
        <v/>
      </c>
      <c r="I1426" t="s">
        <v>4290</v>
      </c>
      <c r="J1426" t="str">
        <f t="shared" si="183"/>
        <v/>
      </c>
      <c r="K1426" t="str">
        <f t="shared" si="180"/>
        <v/>
      </c>
      <c r="L1426" s="69"/>
      <c r="M1426">
        <f>'TMIS US'!A1417</f>
        <v>0</v>
      </c>
      <c r="N1426" t="str">
        <f>T('TMIS US'!B1417)</f>
        <v/>
      </c>
      <c r="O1426" t="s">
        <v>4290</v>
      </c>
      <c r="P1426" t="str">
        <f t="shared" si="184"/>
        <v/>
      </c>
      <c r="Q1426" t="str">
        <f t="shared" si="185"/>
        <v/>
      </c>
      <c r="R1426" s="69"/>
      <c r="S1426">
        <f>'TMIS CA'!A1417</f>
        <v>0</v>
      </c>
      <c r="T1426" t="str">
        <f>T('TMIS CA'!B1417)</f>
        <v/>
      </c>
      <c r="U1426" t="s">
        <v>4290</v>
      </c>
      <c r="V1426" t="str">
        <f t="shared" si="187"/>
        <v/>
      </c>
      <c r="W1426" t="str">
        <f t="shared" si="186"/>
        <v/>
      </c>
    </row>
    <row r="1427" spans="1:23">
      <c r="A1427">
        <f>'IPTV US'!A1418</f>
        <v>0</v>
      </c>
      <c r="B1427" t="str">
        <f>T('IPTV US'!B1418)</f>
        <v/>
      </c>
      <c r="C1427" t="s">
        <v>4290</v>
      </c>
      <c r="D1427" t="str">
        <f t="shared" si="181"/>
        <v/>
      </c>
      <c r="E1427" t="str">
        <f t="shared" si="182"/>
        <v/>
      </c>
      <c r="F1427" s="68" t="s">
        <v>4289</v>
      </c>
      <c r="G1427">
        <f>'IPTV CA'!A1418</f>
        <v>0</v>
      </c>
      <c r="H1427" t="str">
        <f>T('IPTV CA'!B1418)</f>
        <v/>
      </c>
      <c r="I1427" t="s">
        <v>4290</v>
      </c>
      <c r="J1427" t="str">
        <f t="shared" si="183"/>
        <v/>
      </c>
      <c r="K1427" t="str">
        <f t="shared" si="180"/>
        <v/>
      </c>
      <c r="L1427" s="69"/>
      <c r="M1427">
        <f>'TMIS US'!A1418</f>
        <v>0</v>
      </c>
      <c r="N1427" t="str">
        <f>T('TMIS US'!B1418)</f>
        <v/>
      </c>
      <c r="O1427" t="s">
        <v>4290</v>
      </c>
      <c r="P1427" t="str">
        <f t="shared" si="184"/>
        <v/>
      </c>
      <c r="Q1427" t="str">
        <f t="shared" si="185"/>
        <v/>
      </c>
      <c r="R1427" s="69"/>
      <c r="S1427">
        <f>'TMIS CA'!A1418</f>
        <v>0</v>
      </c>
      <c r="T1427" t="str">
        <f>T('TMIS CA'!B1418)</f>
        <v/>
      </c>
      <c r="U1427" t="s">
        <v>4290</v>
      </c>
      <c r="V1427" t="str">
        <f t="shared" si="187"/>
        <v/>
      </c>
      <c r="W1427" t="str">
        <f t="shared" si="186"/>
        <v/>
      </c>
    </row>
    <row r="1428" spans="1:23">
      <c r="A1428">
        <f>'IPTV US'!A1419</f>
        <v>0</v>
      </c>
      <c r="B1428" t="str">
        <f>T('IPTV US'!B1419)</f>
        <v/>
      </c>
      <c r="C1428" t="s">
        <v>4290</v>
      </c>
      <c r="D1428" t="str">
        <f t="shared" si="181"/>
        <v/>
      </c>
      <c r="E1428" t="str">
        <f t="shared" si="182"/>
        <v/>
      </c>
      <c r="F1428" s="68" t="s">
        <v>4289</v>
      </c>
      <c r="G1428">
        <f>'IPTV CA'!A1419</f>
        <v>0</v>
      </c>
      <c r="H1428" t="str">
        <f>T('IPTV CA'!B1419)</f>
        <v/>
      </c>
      <c r="I1428" t="s">
        <v>4290</v>
      </c>
      <c r="J1428" t="str">
        <f t="shared" si="183"/>
        <v/>
      </c>
      <c r="K1428" t="str">
        <f t="shared" si="180"/>
        <v/>
      </c>
      <c r="L1428" s="69"/>
      <c r="M1428">
        <f>'TMIS US'!A1419</f>
        <v>0</v>
      </c>
      <c r="N1428" t="str">
        <f>T('TMIS US'!B1419)</f>
        <v/>
      </c>
      <c r="O1428" t="s">
        <v>4290</v>
      </c>
      <c r="P1428" t="str">
        <f t="shared" si="184"/>
        <v/>
      </c>
      <c r="Q1428" t="str">
        <f t="shared" si="185"/>
        <v/>
      </c>
      <c r="R1428" s="69"/>
      <c r="S1428">
        <f>'TMIS CA'!A1419</f>
        <v>0</v>
      </c>
      <c r="T1428" t="str">
        <f>T('TMIS CA'!B1419)</f>
        <v/>
      </c>
      <c r="U1428" t="s">
        <v>4290</v>
      </c>
      <c r="V1428" t="str">
        <f t="shared" si="187"/>
        <v/>
      </c>
      <c r="W1428" t="str">
        <f t="shared" si="186"/>
        <v/>
      </c>
    </row>
    <row r="1429" spans="1:23">
      <c r="A1429">
        <f>'IPTV US'!A1420</f>
        <v>0</v>
      </c>
      <c r="B1429" t="str">
        <f>T('IPTV US'!B1420)</f>
        <v/>
      </c>
      <c r="C1429" t="s">
        <v>4290</v>
      </c>
      <c r="D1429" t="str">
        <f t="shared" si="181"/>
        <v/>
      </c>
      <c r="E1429" t="str">
        <f t="shared" si="182"/>
        <v/>
      </c>
      <c r="F1429" s="68" t="s">
        <v>4289</v>
      </c>
      <c r="G1429">
        <f>'IPTV CA'!A1420</f>
        <v>0</v>
      </c>
      <c r="H1429" t="str">
        <f>T('IPTV CA'!B1420)</f>
        <v/>
      </c>
      <c r="I1429" t="s">
        <v>4290</v>
      </c>
      <c r="J1429" t="str">
        <f t="shared" si="183"/>
        <v/>
      </c>
      <c r="K1429" t="str">
        <f t="shared" si="180"/>
        <v/>
      </c>
      <c r="L1429" s="69"/>
      <c r="M1429">
        <f>'TMIS US'!A1420</f>
        <v>0</v>
      </c>
      <c r="N1429" t="str">
        <f>T('TMIS US'!B1420)</f>
        <v/>
      </c>
      <c r="O1429" t="s">
        <v>4290</v>
      </c>
      <c r="P1429" t="str">
        <f t="shared" si="184"/>
        <v/>
      </c>
      <c r="Q1429" t="str">
        <f t="shared" si="185"/>
        <v/>
      </c>
      <c r="R1429" s="69"/>
      <c r="S1429">
        <f>'TMIS CA'!A1420</f>
        <v>0</v>
      </c>
      <c r="T1429" t="str">
        <f>T('TMIS CA'!B1420)</f>
        <v/>
      </c>
      <c r="U1429" t="s">
        <v>4290</v>
      </c>
      <c r="V1429" t="str">
        <f t="shared" si="187"/>
        <v/>
      </c>
      <c r="W1429" t="str">
        <f t="shared" si="186"/>
        <v/>
      </c>
    </row>
    <row r="1430" spans="1:23">
      <c r="A1430">
        <f>'IPTV US'!A1421</f>
        <v>0</v>
      </c>
      <c r="B1430" t="str">
        <f>T('IPTV US'!B1421)</f>
        <v/>
      </c>
      <c r="C1430" t="s">
        <v>4290</v>
      </c>
      <c r="D1430" t="str">
        <f t="shared" si="181"/>
        <v/>
      </c>
      <c r="E1430" t="str">
        <f t="shared" si="182"/>
        <v/>
      </c>
      <c r="F1430" s="68" t="s">
        <v>4289</v>
      </c>
      <c r="G1430">
        <f>'IPTV CA'!A1421</f>
        <v>0</v>
      </c>
      <c r="H1430" t="str">
        <f>T('IPTV CA'!B1421)</f>
        <v/>
      </c>
      <c r="I1430" t="s">
        <v>4290</v>
      </c>
      <c r="J1430" t="str">
        <f t="shared" si="183"/>
        <v/>
      </c>
      <c r="K1430" t="str">
        <f t="shared" si="180"/>
        <v/>
      </c>
      <c r="L1430" s="69"/>
      <c r="M1430">
        <f>'TMIS US'!A1421</f>
        <v>0</v>
      </c>
      <c r="N1430" t="str">
        <f>T('TMIS US'!B1421)</f>
        <v/>
      </c>
      <c r="O1430" t="s">
        <v>4290</v>
      </c>
      <c r="P1430" t="str">
        <f t="shared" si="184"/>
        <v/>
      </c>
      <c r="Q1430" t="str">
        <f t="shared" si="185"/>
        <v/>
      </c>
      <c r="R1430" s="69"/>
      <c r="S1430">
        <f>'TMIS CA'!A1421</f>
        <v>0</v>
      </c>
      <c r="T1430" t="str">
        <f>T('TMIS CA'!B1421)</f>
        <v/>
      </c>
      <c r="U1430" t="s">
        <v>4290</v>
      </c>
      <c r="V1430" t="str">
        <f t="shared" si="187"/>
        <v/>
      </c>
      <c r="W1430" t="str">
        <f t="shared" si="186"/>
        <v/>
      </c>
    </row>
    <row r="1431" spans="1:23">
      <c r="A1431">
        <f>'IPTV US'!A1422</f>
        <v>0</v>
      </c>
      <c r="B1431" t="str">
        <f>T('IPTV US'!B1422)</f>
        <v/>
      </c>
      <c r="C1431" t="s">
        <v>4290</v>
      </c>
      <c r="D1431" t="str">
        <f t="shared" si="181"/>
        <v/>
      </c>
      <c r="E1431" t="str">
        <f t="shared" si="182"/>
        <v/>
      </c>
      <c r="F1431" s="68" t="s">
        <v>4289</v>
      </c>
      <c r="G1431">
        <f>'IPTV CA'!A1422</f>
        <v>0</v>
      </c>
      <c r="H1431" t="str">
        <f>T('IPTV CA'!B1422)</f>
        <v/>
      </c>
      <c r="I1431" t="s">
        <v>4290</v>
      </c>
      <c r="J1431" t="str">
        <f t="shared" si="183"/>
        <v/>
      </c>
      <c r="K1431" t="str">
        <f t="shared" si="180"/>
        <v/>
      </c>
      <c r="L1431" s="69"/>
      <c r="M1431">
        <f>'TMIS US'!A1422</f>
        <v>0</v>
      </c>
      <c r="N1431" t="str">
        <f>T('TMIS US'!B1422)</f>
        <v/>
      </c>
      <c r="O1431" t="s">
        <v>4290</v>
      </c>
      <c r="P1431" t="str">
        <f t="shared" si="184"/>
        <v/>
      </c>
      <c r="Q1431" t="str">
        <f t="shared" si="185"/>
        <v/>
      </c>
      <c r="R1431" s="69"/>
      <c r="S1431">
        <f>'TMIS CA'!A1422</f>
        <v>0</v>
      </c>
      <c r="T1431" t="str">
        <f>T('TMIS CA'!B1422)</f>
        <v/>
      </c>
      <c r="U1431" t="s">
        <v>4290</v>
      </c>
      <c r="V1431" t="str">
        <f t="shared" si="187"/>
        <v/>
      </c>
      <c r="W1431" t="str">
        <f t="shared" si="186"/>
        <v/>
      </c>
    </row>
    <row r="1432" spans="1:23">
      <c r="A1432">
        <f>'IPTV US'!A1423</f>
        <v>0</v>
      </c>
      <c r="B1432" t="str">
        <f>T('IPTV US'!B1423)</f>
        <v/>
      </c>
      <c r="C1432" t="s">
        <v>4290</v>
      </c>
      <c r="D1432" t="str">
        <f t="shared" si="181"/>
        <v/>
      </c>
      <c r="E1432" t="str">
        <f t="shared" si="182"/>
        <v/>
      </c>
      <c r="F1432" s="68" t="s">
        <v>4289</v>
      </c>
      <c r="G1432">
        <f>'IPTV CA'!A1423</f>
        <v>0</v>
      </c>
      <c r="H1432" t="str">
        <f>T('IPTV CA'!B1423)</f>
        <v/>
      </c>
      <c r="I1432" t="s">
        <v>4290</v>
      </c>
      <c r="J1432" t="str">
        <f t="shared" si="183"/>
        <v/>
      </c>
      <c r="K1432" t="str">
        <f t="shared" si="180"/>
        <v/>
      </c>
      <c r="L1432" s="69"/>
      <c r="M1432">
        <f>'TMIS US'!A1423</f>
        <v>0</v>
      </c>
      <c r="N1432" t="str">
        <f>T('TMIS US'!B1423)</f>
        <v/>
      </c>
      <c r="O1432" t="s">
        <v>4290</v>
      </c>
      <c r="P1432" t="str">
        <f t="shared" si="184"/>
        <v/>
      </c>
      <c r="Q1432" t="str">
        <f t="shared" si="185"/>
        <v/>
      </c>
      <c r="R1432" s="69"/>
      <c r="S1432">
        <f>'TMIS CA'!A1423</f>
        <v>0</v>
      </c>
      <c r="T1432" t="str">
        <f>T('TMIS CA'!B1423)</f>
        <v/>
      </c>
      <c r="U1432" t="s">
        <v>4290</v>
      </c>
      <c r="V1432" t="str">
        <f t="shared" si="187"/>
        <v/>
      </c>
      <c r="W1432" t="str">
        <f t="shared" si="186"/>
        <v/>
      </c>
    </row>
    <row r="1433" spans="1:23">
      <c r="A1433">
        <f>'IPTV US'!A1424</f>
        <v>0</v>
      </c>
      <c r="B1433" t="str">
        <f>T('IPTV US'!B1424)</f>
        <v/>
      </c>
      <c r="C1433" t="s">
        <v>4290</v>
      </c>
      <c r="D1433" t="str">
        <f t="shared" si="181"/>
        <v/>
      </c>
      <c r="E1433" t="str">
        <f t="shared" si="182"/>
        <v/>
      </c>
      <c r="F1433" s="68" t="s">
        <v>4289</v>
      </c>
      <c r="G1433">
        <f>'IPTV CA'!A1424</f>
        <v>0</v>
      </c>
      <c r="H1433" t="str">
        <f>T('IPTV CA'!B1424)</f>
        <v/>
      </c>
      <c r="I1433" t="s">
        <v>4290</v>
      </c>
      <c r="J1433" t="str">
        <f t="shared" si="183"/>
        <v/>
      </c>
      <c r="K1433" t="str">
        <f t="shared" si="180"/>
        <v/>
      </c>
      <c r="L1433" s="69"/>
      <c r="M1433">
        <f>'TMIS US'!A1424</f>
        <v>0</v>
      </c>
      <c r="N1433" t="str">
        <f>T('TMIS US'!B1424)</f>
        <v/>
      </c>
      <c r="O1433" t="s">
        <v>4290</v>
      </c>
      <c r="P1433" t="str">
        <f t="shared" si="184"/>
        <v/>
      </c>
      <c r="Q1433" t="str">
        <f t="shared" si="185"/>
        <v/>
      </c>
      <c r="R1433" s="69"/>
      <c r="S1433">
        <f>'TMIS CA'!A1424</f>
        <v>0</v>
      </c>
      <c r="T1433" t="str">
        <f>T('TMIS CA'!B1424)</f>
        <v/>
      </c>
      <c r="U1433" t="s">
        <v>4290</v>
      </c>
      <c r="V1433" t="str">
        <f t="shared" si="187"/>
        <v/>
      </c>
      <c r="W1433" t="str">
        <f t="shared" si="186"/>
        <v/>
      </c>
    </row>
    <row r="1434" spans="1:23">
      <c r="A1434">
        <f>'IPTV US'!A1425</f>
        <v>0</v>
      </c>
      <c r="B1434" t="str">
        <f>T('IPTV US'!B1425)</f>
        <v/>
      </c>
      <c r="C1434" t="s">
        <v>4290</v>
      </c>
      <c r="D1434" t="str">
        <f t="shared" si="181"/>
        <v/>
      </c>
      <c r="E1434" t="str">
        <f t="shared" si="182"/>
        <v/>
      </c>
      <c r="F1434" s="68" t="s">
        <v>4289</v>
      </c>
      <c r="G1434">
        <f>'IPTV CA'!A1425</f>
        <v>0</v>
      </c>
      <c r="H1434" t="str">
        <f>T('IPTV CA'!B1425)</f>
        <v/>
      </c>
      <c r="I1434" t="s">
        <v>4290</v>
      </c>
      <c r="J1434" t="str">
        <f t="shared" si="183"/>
        <v/>
      </c>
      <c r="K1434" t="str">
        <f t="shared" si="180"/>
        <v/>
      </c>
      <c r="L1434" s="69"/>
      <c r="M1434">
        <f>'TMIS US'!A1425</f>
        <v>0</v>
      </c>
      <c r="N1434" t="str">
        <f>T('TMIS US'!B1425)</f>
        <v/>
      </c>
      <c r="O1434" t="s">
        <v>4290</v>
      </c>
      <c r="P1434" t="str">
        <f t="shared" si="184"/>
        <v/>
      </c>
      <c r="Q1434" t="str">
        <f t="shared" si="185"/>
        <v/>
      </c>
      <c r="R1434" s="69"/>
      <c r="S1434">
        <f>'TMIS CA'!A1425</f>
        <v>0</v>
      </c>
      <c r="T1434" t="str">
        <f>T('TMIS CA'!B1425)</f>
        <v/>
      </c>
      <c r="U1434" t="s">
        <v>4290</v>
      </c>
      <c r="V1434" t="str">
        <f t="shared" si="187"/>
        <v/>
      </c>
      <c r="W1434" t="str">
        <f t="shared" si="186"/>
        <v/>
      </c>
    </row>
    <row r="1435" spans="1:23">
      <c r="A1435">
        <f>'IPTV US'!A1426</f>
        <v>0</v>
      </c>
      <c r="B1435" t="str">
        <f>T('IPTV US'!B1426)</f>
        <v/>
      </c>
      <c r="C1435" t="s">
        <v>4290</v>
      </c>
      <c r="D1435" t="str">
        <f t="shared" si="181"/>
        <v/>
      </c>
      <c r="E1435" t="str">
        <f t="shared" si="182"/>
        <v/>
      </c>
      <c r="F1435" s="68" t="s">
        <v>4289</v>
      </c>
      <c r="G1435">
        <f>'IPTV CA'!A1426</f>
        <v>0</v>
      </c>
      <c r="H1435" t="str">
        <f>T('IPTV CA'!B1426)</f>
        <v/>
      </c>
      <c r="I1435" t="s">
        <v>4290</v>
      </c>
      <c r="J1435" t="str">
        <f t="shared" si="183"/>
        <v/>
      </c>
      <c r="K1435" t="str">
        <f t="shared" si="180"/>
        <v/>
      </c>
      <c r="L1435" s="69"/>
      <c r="M1435">
        <f>'TMIS US'!A1426</f>
        <v>0</v>
      </c>
      <c r="N1435" t="str">
        <f>T('TMIS US'!B1426)</f>
        <v/>
      </c>
      <c r="O1435" t="s">
        <v>4290</v>
      </c>
      <c r="P1435" t="str">
        <f t="shared" si="184"/>
        <v/>
      </c>
      <c r="Q1435" t="str">
        <f t="shared" si="185"/>
        <v/>
      </c>
      <c r="R1435" s="69"/>
      <c r="S1435">
        <f>'TMIS CA'!A1426</f>
        <v>0</v>
      </c>
      <c r="T1435" t="str">
        <f>T('TMIS CA'!B1426)</f>
        <v/>
      </c>
      <c r="U1435" t="s">
        <v>4290</v>
      </c>
      <c r="V1435" t="str">
        <f t="shared" si="187"/>
        <v/>
      </c>
      <c r="W1435" t="str">
        <f t="shared" si="186"/>
        <v/>
      </c>
    </row>
    <row r="1436" spans="1:23">
      <c r="A1436">
        <f>'IPTV US'!A1427</f>
        <v>0</v>
      </c>
      <c r="B1436" t="str">
        <f>T('IPTV US'!B1427)</f>
        <v/>
      </c>
      <c r="C1436" t="s">
        <v>4290</v>
      </c>
      <c r="D1436" t="str">
        <f t="shared" si="181"/>
        <v/>
      </c>
      <c r="E1436" t="str">
        <f t="shared" si="182"/>
        <v/>
      </c>
      <c r="F1436" s="68" t="s">
        <v>4289</v>
      </c>
      <c r="G1436">
        <f>'IPTV CA'!A1427</f>
        <v>0</v>
      </c>
      <c r="H1436" t="str">
        <f>T('IPTV CA'!B1427)</f>
        <v/>
      </c>
      <c r="I1436" t="s">
        <v>4290</v>
      </c>
      <c r="J1436" t="str">
        <f t="shared" si="183"/>
        <v/>
      </c>
      <c r="K1436" t="str">
        <f t="shared" si="180"/>
        <v/>
      </c>
      <c r="L1436" s="69"/>
      <c r="M1436">
        <f>'TMIS US'!A1427</f>
        <v>0</v>
      </c>
      <c r="N1436" t="str">
        <f>T('TMIS US'!B1427)</f>
        <v/>
      </c>
      <c r="O1436" t="s">
        <v>4290</v>
      </c>
      <c r="P1436" t="str">
        <f t="shared" si="184"/>
        <v/>
      </c>
      <c r="Q1436" t="str">
        <f t="shared" si="185"/>
        <v/>
      </c>
      <c r="R1436" s="69"/>
      <c r="S1436">
        <f>'TMIS CA'!A1427</f>
        <v>0</v>
      </c>
      <c r="T1436" t="str">
        <f>T('TMIS CA'!B1427)</f>
        <v/>
      </c>
      <c r="U1436" t="s">
        <v>4290</v>
      </c>
      <c r="V1436" t="str">
        <f t="shared" si="187"/>
        <v/>
      </c>
      <c r="W1436" t="str">
        <f t="shared" si="186"/>
        <v/>
      </c>
    </row>
    <row r="1437" spans="1:23">
      <c r="A1437">
        <f>'IPTV US'!A1428</f>
        <v>0</v>
      </c>
      <c r="B1437" t="str">
        <f>T('IPTV US'!B1428)</f>
        <v/>
      </c>
      <c r="C1437" t="s">
        <v>4290</v>
      </c>
      <c r="D1437" t="str">
        <f t="shared" si="181"/>
        <v/>
      </c>
      <c r="E1437" t="str">
        <f t="shared" si="182"/>
        <v/>
      </c>
      <c r="F1437" s="68" t="s">
        <v>4289</v>
      </c>
      <c r="G1437">
        <f>'IPTV CA'!A1428</f>
        <v>0</v>
      </c>
      <c r="H1437" t="str">
        <f>T('IPTV CA'!B1428)</f>
        <v/>
      </c>
      <c r="I1437" t="s">
        <v>4290</v>
      </c>
      <c r="J1437" t="str">
        <f t="shared" si="183"/>
        <v/>
      </c>
      <c r="K1437" t="str">
        <f t="shared" si="180"/>
        <v/>
      </c>
      <c r="L1437" s="69"/>
      <c r="M1437">
        <f>'TMIS US'!A1428</f>
        <v>0</v>
      </c>
      <c r="N1437" t="str">
        <f>T('TMIS US'!B1428)</f>
        <v/>
      </c>
      <c r="O1437" t="s">
        <v>4290</v>
      </c>
      <c r="P1437" t="str">
        <f t="shared" si="184"/>
        <v/>
      </c>
      <c r="Q1437" t="str">
        <f t="shared" si="185"/>
        <v/>
      </c>
      <c r="R1437" s="69"/>
      <c r="S1437">
        <f>'TMIS CA'!A1428</f>
        <v>0</v>
      </c>
      <c r="T1437" t="str">
        <f>T('TMIS CA'!B1428)</f>
        <v/>
      </c>
      <c r="U1437" t="s">
        <v>4290</v>
      </c>
      <c r="V1437" t="str">
        <f t="shared" si="187"/>
        <v/>
      </c>
      <c r="W1437" t="str">
        <f t="shared" si="186"/>
        <v/>
      </c>
    </row>
    <row r="1438" spans="1:23">
      <c r="A1438">
        <f>'IPTV US'!A1429</f>
        <v>0</v>
      </c>
      <c r="B1438" t="str">
        <f>T('IPTV US'!B1429)</f>
        <v/>
      </c>
      <c r="C1438" t="s">
        <v>4290</v>
      </c>
      <c r="D1438" t="str">
        <f t="shared" si="181"/>
        <v/>
      </c>
      <c r="E1438" t="str">
        <f t="shared" si="182"/>
        <v/>
      </c>
      <c r="F1438" s="68" t="s">
        <v>4289</v>
      </c>
      <c r="G1438">
        <f>'IPTV CA'!A1429</f>
        <v>0</v>
      </c>
      <c r="H1438" t="str">
        <f>T('IPTV CA'!B1429)</f>
        <v/>
      </c>
      <c r="I1438" t="s">
        <v>4290</v>
      </c>
      <c r="J1438" t="str">
        <f t="shared" si="183"/>
        <v/>
      </c>
      <c r="K1438" t="str">
        <f t="shared" si="180"/>
        <v/>
      </c>
      <c r="L1438" s="69"/>
      <c r="M1438">
        <f>'TMIS US'!A1429</f>
        <v>0</v>
      </c>
      <c r="N1438" t="str">
        <f>T('TMIS US'!B1429)</f>
        <v/>
      </c>
      <c r="O1438" t="s">
        <v>4290</v>
      </c>
      <c r="P1438" t="str">
        <f t="shared" si="184"/>
        <v/>
      </c>
      <c r="Q1438" t="str">
        <f t="shared" si="185"/>
        <v/>
      </c>
      <c r="R1438" s="69"/>
      <c r="S1438">
        <f>'TMIS CA'!A1429</f>
        <v>0</v>
      </c>
      <c r="T1438" t="str">
        <f>T('TMIS CA'!B1429)</f>
        <v/>
      </c>
      <c r="U1438" t="s">
        <v>4290</v>
      </c>
      <c r="V1438" t="str">
        <f t="shared" si="187"/>
        <v/>
      </c>
      <c r="W1438" t="str">
        <f t="shared" si="186"/>
        <v/>
      </c>
    </row>
    <row r="1439" spans="1:23">
      <c r="A1439">
        <f>'IPTV US'!A1430</f>
        <v>0</v>
      </c>
      <c r="B1439" t="str">
        <f>T('IPTV US'!B1430)</f>
        <v/>
      </c>
      <c r="C1439" t="s">
        <v>4290</v>
      </c>
      <c r="D1439" t="str">
        <f t="shared" si="181"/>
        <v/>
      </c>
      <c r="E1439" t="str">
        <f t="shared" si="182"/>
        <v/>
      </c>
      <c r="F1439" s="68" t="s">
        <v>4289</v>
      </c>
      <c r="G1439">
        <f>'IPTV CA'!A1430</f>
        <v>0</v>
      </c>
      <c r="H1439" t="str">
        <f>T('IPTV CA'!B1430)</f>
        <v/>
      </c>
      <c r="I1439" t="s">
        <v>4290</v>
      </c>
      <c r="J1439" t="str">
        <f t="shared" si="183"/>
        <v/>
      </c>
      <c r="K1439" t="str">
        <f t="shared" si="180"/>
        <v/>
      </c>
      <c r="L1439" s="69"/>
      <c r="M1439">
        <f>'TMIS US'!A1430</f>
        <v>0</v>
      </c>
      <c r="N1439" t="str">
        <f>T('TMIS US'!B1430)</f>
        <v/>
      </c>
      <c r="O1439" t="s">
        <v>4290</v>
      </c>
      <c r="P1439" t="str">
        <f t="shared" si="184"/>
        <v/>
      </c>
      <c r="Q1439" t="str">
        <f t="shared" si="185"/>
        <v/>
      </c>
      <c r="R1439" s="69"/>
      <c r="S1439">
        <f>'TMIS CA'!A1430</f>
        <v>0</v>
      </c>
      <c r="T1439" t="str">
        <f>T('TMIS CA'!B1430)</f>
        <v/>
      </c>
      <c r="U1439" t="s">
        <v>4290</v>
      </c>
      <c r="V1439" t="str">
        <f t="shared" si="187"/>
        <v/>
      </c>
      <c r="W1439" t="str">
        <f t="shared" si="186"/>
        <v/>
      </c>
    </row>
    <row r="1440" spans="1:23">
      <c r="A1440">
        <f>'IPTV US'!A1431</f>
        <v>0</v>
      </c>
      <c r="B1440" t="str">
        <f>T('IPTV US'!B1431)</f>
        <v/>
      </c>
      <c r="C1440" t="s">
        <v>4290</v>
      </c>
      <c r="D1440" t="str">
        <f t="shared" si="181"/>
        <v/>
      </c>
      <c r="E1440" t="str">
        <f t="shared" si="182"/>
        <v/>
      </c>
      <c r="F1440" s="68" t="s">
        <v>4289</v>
      </c>
      <c r="G1440">
        <f>'IPTV CA'!A1431</f>
        <v>0</v>
      </c>
      <c r="H1440" t="str">
        <f>T('IPTV CA'!B1431)</f>
        <v/>
      </c>
      <c r="I1440" t="s">
        <v>4290</v>
      </c>
      <c r="J1440" t="str">
        <f t="shared" si="183"/>
        <v/>
      </c>
      <c r="K1440" t="str">
        <f t="shared" si="180"/>
        <v/>
      </c>
      <c r="L1440" s="69"/>
      <c r="M1440">
        <f>'TMIS US'!A1431</f>
        <v>0</v>
      </c>
      <c r="N1440" t="str">
        <f>T('TMIS US'!B1431)</f>
        <v/>
      </c>
      <c r="O1440" t="s">
        <v>4290</v>
      </c>
      <c r="P1440" t="str">
        <f t="shared" si="184"/>
        <v/>
      </c>
      <c r="Q1440" t="str">
        <f t="shared" si="185"/>
        <v/>
      </c>
      <c r="R1440" s="69"/>
      <c r="S1440">
        <f>'TMIS CA'!A1431</f>
        <v>0</v>
      </c>
      <c r="T1440" t="str">
        <f>T('TMIS CA'!B1431)</f>
        <v/>
      </c>
      <c r="U1440" t="s">
        <v>4290</v>
      </c>
      <c r="V1440" t="str">
        <f t="shared" si="187"/>
        <v/>
      </c>
      <c r="W1440" t="str">
        <f t="shared" si="186"/>
        <v/>
      </c>
    </row>
    <row r="1441" spans="1:23">
      <c r="A1441">
        <f>'IPTV US'!A1432</f>
        <v>0</v>
      </c>
      <c r="B1441" t="str">
        <f>T('IPTV US'!B1432)</f>
        <v/>
      </c>
      <c r="C1441" t="s">
        <v>4290</v>
      </c>
      <c r="D1441" t="str">
        <f t="shared" si="181"/>
        <v/>
      </c>
      <c r="E1441" t="str">
        <f t="shared" si="182"/>
        <v/>
      </c>
      <c r="F1441" s="68" t="s">
        <v>4289</v>
      </c>
      <c r="G1441">
        <f>'IPTV CA'!A1432</f>
        <v>0</v>
      </c>
      <c r="H1441" t="str">
        <f>T('IPTV CA'!B1432)</f>
        <v/>
      </c>
      <c r="I1441" t="s">
        <v>4290</v>
      </c>
      <c r="J1441" t="str">
        <f t="shared" si="183"/>
        <v/>
      </c>
      <c r="K1441" t="str">
        <f t="shared" si="180"/>
        <v/>
      </c>
      <c r="L1441" s="69"/>
      <c r="M1441">
        <f>'TMIS US'!A1432</f>
        <v>0</v>
      </c>
      <c r="N1441" t="str">
        <f>T('TMIS US'!B1432)</f>
        <v/>
      </c>
      <c r="O1441" t="s">
        <v>4290</v>
      </c>
      <c r="P1441" t="str">
        <f t="shared" si="184"/>
        <v/>
      </c>
      <c r="Q1441" t="str">
        <f t="shared" si="185"/>
        <v/>
      </c>
      <c r="R1441" s="69"/>
      <c r="S1441">
        <f>'TMIS CA'!A1432</f>
        <v>0</v>
      </c>
      <c r="T1441" t="str">
        <f>T('TMIS CA'!B1432)</f>
        <v/>
      </c>
      <c r="U1441" t="s">
        <v>4290</v>
      </c>
      <c r="V1441" t="str">
        <f t="shared" si="187"/>
        <v/>
      </c>
      <c r="W1441" t="str">
        <f t="shared" si="186"/>
        <v/>
      </c>
    </row>
    <row r="1442" spans="1:23">
      <c r="A1442">
        <f>'IPTV US'!A1433</f>
        <v>0</v>
      </c>
      <c r="B1442" t="str">
        <f>T('IPTV US'!B1433)</f>
        <v/>
      </c>
      <c r="C1442" t="s">
        <v>4290</v>
      </c>
      <c r="D1442" t="str">
        <f t="shared" si="181"/>
        <v/>
      </c>
      <c r="E1442" t="str">
        <f t="shared" si="182"/>
        <v/>
      </c>
      <c r="F1442" s="68" t="s">
        <v>4289</v>
      </c>
      <c r="G1442">
        <f>'IPTV CA'!A1433</f>
        <v>0</v>
      </c>
      <c r="H1442" t="str">
        <f>T('IPTV CA'!B1433)</f>
        <v/>
      </c>
      <c r="I1442" t="s">
        <v>4290</v>
      </c>
      <c r="J1442" t="str">
        <f t="shared" si="183"/>
        <v/>
      </c>
      <c r="K1442" t="str">
        <f t="shared" si="180"/>
        <v/>
      </c>
      <c r="L1442" s="69"/>
      <c r="M1442">
        <f>'TMIS US'!A1433</f>
        <v>0</v>
      </c>
      <c r="N1442" t="str">
        <f>T('TMIS US'!B1433)</f>
        <v/>
      </c>
      <c r="O1442" t="s">
        <v>4290</v>
      </c>
      <c r="P1442" t="str">
        <f t="shared" si="184"/>
        <v/>
      </c>
      <c r="Q1442" t="str">
        <f t="shared" si="185"/>
        <v/>
      </c>
      <c r="R1442" s="69"/>
      <c r="S1442">
        <f>'TMIS CA'!A1433</f>
        <v>0</v>
      </c>
      <c r="T1442" t="str">
        <f>T('TMIS CA'!B1433)</f>
        <v/>
      </c>
      <c r="U1442" t="s">
        <v>4290</v>
      </c>
      <c r="V1442" t="str">
        <f t="shared" si="187"/>
        <v/>
      </c>
      <c r="W1442" t="str">
        <f t="shared" si="186"/>
        <v/>
      </c>
    </row>
    <row r="1443" spans="1:23">
      <c r="A1443">
        <f>'IPTV US'!A1434</f>
        <v>0</v>
      </c>
      <c r="B1443" t="str">
        <f>T('IPTV US'!B1434)</f>
        <v/>
      </c>
      <c r="C1443" t="s">
        <v>4290</v>
      </c>
      <c r="D1443" t="str">
        <f t="shared" si="181"/>
        <v/>
      </c>
      <c r="E1443" t="str">
        <f t="shared" si="182"/>
        <v/>
      </c>
      <c r="F1443" s="68" t="s">
        <v>4289</v>
      </c>
      <c r="G1443">
        <f>'IPTV CA'!A1434</f>
        <v>0</v>
      </c>
      <c r="H1443" t="str">
        <f>T('IPTV CA'!B1434)</f>
        <v/>
      </c>
      <c r="I1443" t="s">
        <v>4290</v>
      </c>
      <c r="J1443" t="str">
        <f t="shared" si="183"/>
        <v/>
      </c>
      <c r="K1443" t="str">
        <f t="shared" si="180"/>
        <v/>
      </c>
      <c r="L1443" s="69"/>
      <c r="M1443">
        <f>'TMIS US'!A1434</f>
        <v>0</v>
      </c>
      <c r="N1443" t="str">
        <f>T('TMIS US'!B1434)</f>
        <v/>
      </c>
      <c r="O1443" t="s">
        <v>4290</v>
      </c>
      <c r="P1443" t="str">
        <f t="shared" si="184"/>
        <v/>
      </c>
      <c r="Q1443" t="str">
        <f t="shared" si="185"/>
        <v/>
      </c>
      <c r="R1443" s="69"/>
      <c r="S1443">
        <f>'TMIS CA'!A1434</f>
        <v>0</v>
      </c>
      <c r="T1443" t="str">
        <f>T('TMIS CA'!B1434)</f>
        <v/>
      </c>
      <c r="U1443" t="s">
        <v>4290</v>
      </c>
      <c r="V1443" t="str">
        <f t="shared" si="187"/>
        <v/>
      </c>
      <c r="W1443" t="str">
        <f t="shared" si="186"/>
        <v/>
      </c>
    </row>
    <row r="1444" spans="1:23">
      <c r="A1444">
        <f>'IPTV US'!A1435</f>
        <v>0</v>
      </c>
      <c r="B1444" t="str">
        <f>T('IPTV US'!B1435)</f>
        <v/>
      </c>
      <c r="C1444" t="s">
        <v>4290</v>
      </c>
      <c r="D1444" t="str">
        <f t="shared" si="181"/>
        <v/>
      </c>
      <c r="E1444" t="str">
        <f t="shared" si="182"/>
        <v/>
      </c>
      <c r="F1444" s="68" t="s">
        <v>4289</v>
      </c>
      <c r="G1444">
        <f>'IPTV CA'!A1435</f>
        <v>0</v>
      </c>
      <c r="H1444" t="str">
        <f>T('IPTV CA'!B1435)</f>
        <v/>
      </c>
      <c r="I1444" t="s">
        <v>4290</v>
      </c>
      <c r="J1444" t="str">
        <f t="shared" si="183"/>
        <v/>
      </c>
      <c r="K1444" t="str">
        <f t="shared" si="180"/>
        <v/>
      </c>
      <c r="L1444" s="69"/>
      <c r="M1444">
        <f>'TMIS US'!A1435</f>
        <v>0</v>
      </c>
      <c r="N1444" t="str">
        <f>T('TMIS US'!B1435)</f>
        <v/>
      </c>
      <c r="O1444" t="s">
        <v>4290</v>
      </c>
      <c r="P1444" t="str">
        <f t="shared" si="184"/>
        <v/>
      </c>
      <c r="Q1444" t="str">
        <f t="shared" si="185"/>
        <v/>
      </c>
      <c r="R1444" s="69"/>
      <c r="S1444">
        <f>'TMIS CA'!A1435</f>
        <v>0</v>
      </c>
      <c r="T1444" t="str">
        <f>T('TMIS CA'!B1435)</f>
        <v/>
      </c>
      <c r="U1444" t="s">
        <v>4290</v>
      </c>
      <c r="V1444" t="str">
        <f t="shared" si="187"/>
        <v/>
      </c>
      <c r="W1444" t="str">
        <f t="shared" si="186"/>
        <v/>
      </c>
    </row>
    <row r="1445" spans="1:23">
      <c r="A1445">
        <f>'IPTV US'!A1436</f>
        <v>0</v>
      </c>
      <c r="B1445" t="str">
        <f>T('IPTV US'!B1436)</f>
        <v/>
      </c>
      <c r="C1445" t="s">
        <v>4290</v>
      </c>
      <c r="D1445" t="str">
        <f t="shared" si="181"/>
        <v/>
      </c>
      <c r="E1445" t="str">
        <f t="shared" si="182"/>
        <v/>
      </c>
      <c r="F1445" s="68" t="s">
        <v>4289</v>
      </c>
      <c r="G1445">
        <f>'IPTV CA'!A1436</f>
        <v>0</v>
      </c>
      <c r="H1445" t="str">
        <f>T('IPTV CA'!B1436)</f>
        <v/>
      </c>
      <c r="I1445" t="s">
        <v>4290</v>
      </c>
      <c r="J1445" t="str">
        <f t="shared" si="183"/>
        <v/>
      </c>
      <c r="K1445" t="str">
        <f t="shared" si="180"/>
        <v/>
      </c>
      <c r="L1445" s="69"/>
      <c r="M1445">
        <f>'TMIS US'!A1436</f>
        <v>0</v>
      </c>
      <c r="N1445" t="str">
        <f>T('TMIS US'!B1436)</f>
        <v/>
      </c>
      <c r="O1445" t="s">
        <v>4290</v>
      </c>
      <c r="P1445" t="str">
        <f t="shared" si="184"/>
        <v/>
      </c>
      <c r="Q1445" t="str">
        <f t="shared" si="185"/>
        <v/>
      </c>
      <c r="R1445" s="69"/>
      <c r="S1445">
        <f>'TMIS CA'!A1436</f>
        <v>0</v>
      </c>
      <c r="T1445" t="str">
        <f>T('TMIS CA'!B1436)</f>
        <v/>
      </c>
      <c r="U1445" t="s">
        <v>4290</v>
      </c>
      <c r="V1445" t="str">
        <f t="shared" si="187"/>
        <v/>
      </c>
      <c r="W1445" t="str">
        <f t="shared" si="186"/>
        <v/>
      </c>
    </row>
    <row r="1446" spans="1:23">
      <c r="A1446">
        <f>'IPTV US'!A1437</f>
        <v>0</v>
      </c>
      <c r="B1446" t="str">
        <f>T('IPTV US'!B1437)</f>
        <v/>
      </c>
      <c r="C1446" t="s">
        <v>4290</v>
      </c>
      <c r="D1446" t="str">
        <f t="shared" si="181"/>
        <v/>
      </c>
      <c r="E1446" t="str">
        <f t="shared" si="182"/>
        <v/>
      </c>
      <c r="F1446" s="68" t="s">
        <v>4289</v>
      </c>
      <c r="G1446">
        <f>'IPTV CA'!A1437</f>
        <v>0</v>
      </c>
      <c r="H1446" t="str">
        <f>T('IPTV CA'!B1437)</f>
        <v/>
      </c>
      <c r="I1446" t="s">
        <v>4290</v>
      </c>
      <c r="J1446" t="str">
        <f t="shared" si="183"/>
        <v/>
      </c>
      <c r="K1446" t="str">
        <f t="shared" si="180"/>
        <v/>
      </c>
      <c r="L1446" s="69"/>
      <c r="M1446">
        <f>'TMIS US'!A1437</f>
        <v>0</v>
      </c>
      <c r="N1446" t="str">
        <f>T('TMIS US'!B1437)</f>
        <v/>
      </c>
      <c r="O1446" t="s">
        <v>4290</v>
      </c>
      <c r="P1446" t="str">
        <f t="shared" si="184"/>
        <v/>
      </c>
      <c r="Q1446" t="str">
        <f t="shared" si="185"/>
        <v/>
      </c>
      <c r="R1446" s="69"/>
      <c r="S1446">
        <f>'TMIS CA'!A1437</f>
        <v>0</v>
      </c>
      <c r="T1446" t="str">
        <f>T('TMIS CA'!B1437)</f>
        <v/>
      </c>
      <c r="U1446" t="s">
        <v>4290</v>
      </c>
      <c r="V1446" t="str">
        <f t="shared" si="187"/>
        <v/>
      </c>
      <c r="W1446" t="str">
        <f t="shared" si="186"/>
        <v/>
      </c>
    </row>
    <row r="1447" spans="1:23">
      <c r="A1447">
        <f>'IPTV US'!A1438</f>
        <v>0</v>
      </c>
      <c r="B1447" t="str">
        <f>T('IPTV US'!B1438)</f>
        <v/>
      </c>
      <c r="C1447" t="s">
        <v>4290</v>
      </c>
      <c r="D1447" t="str">
        <f t="shared" si="181"/>
        <v/>
      </c>
      <c r="E1447" t="str">
        <f t="shared" si="182"/>
        <v/>
      </c>
      <c r="F1447" s="68" t="s">
        <v>4289</v>
      </c>
      <c r="G1447">
        <f>'IPTV CA'!A1438</f>
        <v>0</v>
      </c>
      <c r="H1447" t="str">
        <f>T('IPTV CA'!B1438)</f>
        <v/>
      </c>
      <c r="I1447" t="s">
        <v>4290</v>
      </c>
      <c r="J1447" t="str">
        <f t="shared" si="183"/>
        <v/>
      </c>
      <c r="K1447" t="str">
        <f t="shared" si="180"/>
        <v/>
      </c>
      <c r="L1447" s="69"/>
      <c r="M1447">
        <f>'TMIS US'!A1438</f>
        <v>0</v>
      </c>
      <c r="N1447" t="str">
        <f>T('TMIS US'!B1438)</f>
        <v/>
      </c>
      <c r="O1447" t="s">
        <v>4290</v>
      </c>
      <c r="P1447" t="str">
        <f t="shared" si="184"/>
        <v/>
      </c>
      <c r="Q1447" t="str">
        <f t="shared" si="185"/>
        <v/>
      </c>
      <c r="R1447" s="69"/>
      <c r="S1447">
        <f>'TMIS CA'!A1438</f>
        <v>0</v>
      </c>
      <c r="T1447" t="str">
        <f>T('TMIS CA'!B1438)</f>
        <v/>
      </c>
      <c r="U1447" t="s">
        <v>4290</v>
      </c>
      <c r="V1447" t="str">
        <f t="shared" si="187"/>
        <v/>
      </c>
      <c r="W1447" t="str">
        <f t="shared" si="186"/>
        <v/>
      </c>
    </row>
    <row r="1448" spans="1:23">
      <c r="A1448">
        <f>'IPTV US'!A1439</f>
        <v>0</v>
      </c>
      <c r="B1448" t="str">
        <f>T('IPTV US'!B1439)</f>
        <v/>
      </c>
      <c r="C1448" t="s">
        <v>4290</v>
      </c>
      <c r="D1448" t="str">
        <f t="shared" si="181"/>
        <v/>
      </c>
      <c r="E1448" t="str">
        <f t="shared" si="182"/>
        <v/>
      </c>
      <c r="F1448" s="68" t="s">
        <v>4289</v>
      </c>
      <c r="G1448">
        <f>'IPTV CA'!A1439</f>
        <v>0</v>
      </c>
      <c r="H1448" t="str">
        <f>T('IPTV CA'!B1439)</f>
        <v/>
      </c>
      <c r="I1448" t="s">
        <v>4290</v>
      </c>
      <c r="J1448" t="str">
        <f t="shared" si="183"/>
        <v/>
      </c>
      <c r="K1448" t="str">
        <f t="shared" si="180"/>
        <v/>
      </c>
      <c r="L1448" s="69"/>
      <c r="M1448">
        <f>'TMIS US'!A1439</f>
        <v>0</v>
      </c>
      <c r="N1448" t="str">
        <f>T('TMIS US'!B1439)</f>
        <v/>
      </c>
      <c r="O1448" t="s">
        <v>4290</v>
      </c>
      <c r="P1448" t="str">
        <f t="shared" si="184"/>
        <v/>
      </c>
      <c r="Q1448" t="str">
        <f t="shared" si="185"/>
        <v/>
      </c>
      <c r="R1448" s="69"/>
      <c r="S1448">
        <f>'TMIS CA'!A1439</f>
        <v>0</v>
      </c>
      <c r="T1448" t="str">
        <f>T('TMIS CA'!B1439)</f>
        <v/>
      </c>
      <c r="U1448" t="s">
        <v>4290</v>
      </c>
      <c r="V1448" t="str">
        <f t="shared" si="187"/>
        <v/>
      </c>
      <c r="W1448" t="str">
        <f t="shared" si="186"/>
        <v/>
      </c>
    </row>
    <row r="1449" spans="1:23">
      <c r="A1449">
        <f>'IPTV US'!A1440</f>
        <v>0</v>
      </c>
      <c r="B1449" t="str">
        <f>T('IPTV US'!B1440)</f>
        <v/>
      </c>
      <c r="C1449" t="s">
        <v>4290</v>
      </c>
      <c r="D1449" t="str">
        <f t="shared" si="181"/>
        <v/>
      </c>
      <c r="E1449" t="str">
        <f t="shared" si="182"/>
        <v/>
      </c>
      <c r="F1449" s="68" t="s">
        <v>4289</v>
      </c>
      <c r="G1449">
        <f>'IPTV CA'!A1440</f>
        <v>0</v>
      </c>
      <c r="H1449" t="str">
        <f>T('IPTV CA'!B1440)</f>
        <v/>
      </c>
      <c r="I1449" t="s">
        <v>4290</v>
      </c>
      <c r="J1449" t="str">
        <f t="shared" si="183"/>
        <v/>
      </c>
      <c r="K1449" t="str">
        <f t="shared" si="180"/>
        <v/>
      </c>
      <c r="L1449" s="69"/>
      <c r="M1449">
        <f>'TMIS US'!A1440</f>
        <v>0</v>
      </c>
      <c r="N1449" t="str">
        <f>T('TMIS US'!B1440)</f>
        <v/>
      </c>
      <c r="O1449" t="s">
        <v>4290</v>
      </c>
      <c r="P1449" t="str">
        <f t="shared" si="184"/>
        <v/>
      </c>
      <c r="Q1449" t="str">
        <f t="shared" si="185"/>
        <v/>
      </c>
      <c r="R1449" s="69"/>
      <c r="S1449">
        <f>'TMIS CA'!A1440</f>
        <v>0</v>
      </c>
      <c r="T1449" t="str">
        <f>T('TMIS CA'!B1440)</f>
        <v/>
      </c>
      <c r="U1449" t="s">
        <v>4290</v>
      </c>
      <c r="V1449" t="str">
        <f t="shared" si="187"/>
        <v/>
      </c>
      <c r="W1449" t="str">
        <f t="shared" si="186"/>
        <v/>
      </c>
    </row>
    <row r="1450" spans="1:23">
      <c r="A1450">
        <f>'IPTV US'!A1441</f>
        <v>0</v>
      </c>
      <c r="B1450" t="str">
        <f>T('IPTV US'!B1441)</f>
        <v/>
      </c>
      <c r="C1450" t="s">
        <v>4290</v>
      </c>
      <c r="D1450" t="str">
        <f t="shared" si="181"/>
        <v/>
      </c>
      <c r="E1450" t="str">
        <f t="shared" si="182"/>
        <v/>
      </c>
      <c r="F1450" s="68" t="s">
        <v>4289</v>
      </c>
      <c r="G1450">
        <f>'IPTV CA'!A1441</f>
        <v>0</v>
      </c>
      <c r="H1450" t="str">
        <f>T('IPTV CA'!B1441)</f>
        <v/>
      </c>
      <c r="I1450" t="s">
        <v>4290</v>
      </c>
      <c r="J1450" t="str">
        <f t="shared" si="183"/>
        <v/>
      </c>
      <c r="K1450" t="str">
        <f t="shared" si="180"/>
        <v/>
      </c>
      <c r="L1450" s="69"/>
      <c r="M1450">
        <f>'TMIS US'!A1441</f>
        <v>0</v>
      </c>
      <c r="N1450" t="str">
        <f>T('TMIS US'!B1441)</f>
        <v/>
      </c>
      <c r="O1450" t="s">
        <v>4290</v>
      </c>
      <c r="P1450" t="str">
        <f t="shared" si="184"/>
        <v/>
      </c>
      <c r="Q1450" t="str">
        <f t="shared" si="185"/>
        <v/>
      </c>
      <c r="R1450" s="69"/>
      <c r="S1450">
        <f>'TMIS CA'!A1441</f>
        <v>0</v>
      </c>
      <c r="T1450" t="str">
        <f>T('TMIS CA'!B1441)</f>
        <v/>
      </c>
      <c r="U1450" t="s">
        <v>4290</v>
      </c>
      <c r="V1450" t="str">
        <f t="shared" si="187"/>
        <v/>
      </c>
      <c r="W1450" t="str">
        <f t="shared" si="186"/>
        <v/>
      </c>
    </row>
    <row r="1451" spans="1:23">
      <c r="A1451">
        <f>'IPTV US'!A1442</f>
        <v>0</v>
      </c>
      <c r="B1451" t="str">
        <f>T('IPTV US'!B1442)</f>
        <v/>
      </c>
      <c r="C1451" t="s">
        <v>4290</v>
      </c>
      <c r="D1451" t="str">
        <f t="shared" si="181"/>
        <v/>
      </c>
      <c r="E1451" t="str">
        <f t="shared" si="182"/>
        <v/>
      </c>
      <c r="F1451" s="68" t="s">
        <v>4289</v>
      </c>
      <c r="G1451">
        <f>'IPTV CA'!A1442</f>
        <v>0</v>
      </c>
      <c r="H1451" t="str">
        <f>T('IPTV CA'!B1442)</f>
        <v/>
      </c>
      <c r="I1451" t="s">
        <v>4290</v>
      </c>
      <c r="J1451" t="str">
        <f t="shared" si="183"/>
        <v/>
      </c>
      <c r="K1451" t="str">
        <f t="shared" si="180"/>
        <v/>
      </c>
      <c r="L1451" s="69"/>
      <c r="M1451">
        <f>'TMIS US'!A1442</f>
        <v>0</v>
      </c>
      <c r="N1451" t="str">
        <f>T('TMIS US'!B1442)</f>
        <v/>
      </c>
      <c r="O1451" t="s">
        <v>4290</v>
      </c>
      <c r="P1451" t="str">
        <f t="shared" si="184"/>
        <v/>
      </c>
      <c r="Q1451" t="str">
        <f t="shared" si="185"/>
        <v/>
      </c>
      <c r="R1451" s="69"/>
      <c r="S1451">
        <f>'TMIS CA'!A1442</f>
        <v>0</v>
      </c>
      <c r="T1451" t="str">
        <f>T('TMIS CA'!B1442)</f>
        <v/>
      </c>
      <c r="U1451" t="s">
        <v>4290</v>
      </c>
      <c r="V1451" t="str">
        <f t="shared" si="187"/>
        <v/>
      </c>
      <c r="W1451" t="str">
        <f t="shared" si="186"/>
        <v/>
      </c>
    </row>
    <row r="1452" spans="1:23">
      <c r="A1452">
        <f>'IPTV US'!A1443</f>
        <v>0</v>
      </c>
      <c r="B1452" t="str">
        <f>T('IPTV US'!B1443)</f>
        <v/>
      </c>
      <c r="C1452" t="s">
        <v>4290</v>
      </c>
      <c r="D1452" t="str">
        <f t="shared" si="181"/>
        <v/>
      </c>
      <c r="E1452" t="str">
        <f t="shared" si="182"/>
        <v/>
      </c>
      <c r="F1452" s="68" t="s">
        <v>4289</v>
      </c>
      <c r="G1452">
        <f>'IPTV CA'!A1443</f>
        <v>0</v>
      </c>
      <c r="H1452" t="str">
        <f>T('IPTV CA'!B1443)</f>
        <v/>
      </c>
      <c r="I1452" t="s">
        <v>4290</v>
      </c>
      <c r="J1452" t="str">
        <f t="shared" si="183"/>
        <v/>
      </c>
      <c r="K1452" t="str">
        <f t="shared" si="180"/>
        <v/>
      </c>
      <c r="L1452" s="69"/>
      <c r="M1452">
        <f>'TMIS US'!A1443</f>
        <v>0</v>
      </c>
      <c r="N1452" t="str">
        <f>T('TMIS US'!B1443)</f>
        <v/>
      </c>
      <c r="O1452" t="s">
        <v>4290</v>
      </c>
      <c r="P1452" t="str">
        <f t="shared" si="184"/>
        <v/>
      </c>
      <c r="Q1452" t="str">
        <f t="shared" si="185"/>
        <v/>
      </c>
      <c r="R1452" s="69"/>
      <c r="S1452">
        <f>'TMIS CA'!A1443</f>
        <v>0</v>
      </c>
      <c r="T1452" t="str">
        <f>T('TMIS CA'!B1443)</f>
        <v/>
      </c>
      <c r="U1452" t="s">
        <v>4290</v>
      </c>
      <c r="V1452" t="str">
        <f t="shared" si="187"/>
        <v/>
      </c>
      <c r="W1452" t="str">
        <f t="shared" si="186"/>
        <v/>
      </c>
    </row>
    <row r="1453" spans="1:23">
      <c r="A1453">
        <f>'IPTV US'!A1444</f>
        <v>0</v>
      </c>
      <c r="B1453" t="str">
        <f>T('IPTV US'!B1444)</f>
        <v/>
      </c>
      <c r="C1453" t="s">
        <v>4290</v>
      </c>
      <c r="D1453" t="str">
        <f t="shared" si="181"/>
        <v/>
      </c>
      <c r="E1453" t="str">
        <f t="shared" si="182"/>
        <v/>
      </c>
      <c r="F1453" s="68" t="s">
        <v>4289</v>
      </c>
      <c r="G1453">
        <f>'IPTV CA'!A1444</f>
        <v>0</v>
      </c>
      <c r="H1453" t="str">
        <f>T('IPTV CA'!B1444)</f>
        <v/>
      </c>
      <c r="I1453" t="s">
        <v>4290</v>
      </c>
      <c r="J1453" t="str">
        <f t="shared" si="183"/>
        <v/>
      </c>
      <c r="K1453" t="str">
        <f t="shared" ref="K1453:K1504" si="188">IF(I1453="Vacant",IF(H1453="","","Please Notify - Channel Added"),"")</f>
        <v/>
      </c>
      <c r="L1453" s="69"/>
      <c r="M1453">
        <f>'TMIS US'!A1444</f>
        <v>0</v>
      </c>
      <c r="N1453" t="str">
        <f>T('TMIS US'!B1444)</f>
        <v/>
      </c>
      <c r="O1453" t="s">
        <v>4290</v>
      </c>
      <c r="P1453" t="str">
        <f t="shared" si="184"/>
        <v/>
      </c>
      <c r="Q1453" t="str">
        <f t="shared" si="185"/>
        <v/>
      </c>
      <c r="R1453" s="69"/>
      <c r="S1453">
        <f>'TMIS CA'!A1444</f>
        <v>0</v>
      </c>
      <c r="T1453" t="str">
        <f>T('TMIS CA'!B1444)</f>
        <v/>
      </c>
      <c r="U1453" t="s">
        <v>4290</v>
      </c>
      <c r="V1453" t="str">
        <f t="shared" si="187"/>
        <v/>
      </c>
      <c r="W1453" t="str">
        <f t="shared" si="186"/>
        <v/>
      </c>
    </row>
    <row r="1454" spans="1:23">
      <c r="A1454">
        <f>'IPTV US'!A1445</f>
        <v>0</v>
      </c>
      <c r="B1454" t="str">
        <f>T('IPTV US'!B1445)</f>
        <v/>
      </c>
      <c r="C1454" t="s">
        <v>4290</v>
      </c>
      <c r="D1454" t="str">
        <f t="shared" si="181"/>
        <v/>
      </c>
      <c r="E1454" t="str">
        <f t="shared" si="182"/>
        <v/>
      </c>
      <c r="F1454" s="68" t="s">
        <v>4289</v>
      </c>
      <c r="G1454">
        <f>'IPTV CA'!A1445</f>
        <v>0</v>
      </c>
      <c r="H1454" t="str">
        <f>T('IPTV CA'!B1445)</f>
        <v/>
      </c>
      <c r="I1454" t="s">
        <v>4290</v>
      </c>
      <c r="J1454" t="str">
        <f t="shared" si="183"/>
        <v/>
      </c>
      <c r="K1454" t="str">
        <f t="shared" si="188"/>
        <v/>
      </c>
      <c r="L1454" s="69"/>
      <c r="M1454">
        <f>'TMIS US'!A1445</f>
        <v>0</v>
      </c>
      <c r="N1454" t="str">
        <f>T('TMIS US'!B1445)</f>
        <v/>
      </c>
      <c r="O1454" t="s">
        <v>4290</v>
      </c>
      <c r="P1454" t="str">
        <f t="shared" si="184"/>
        <v/>
      </c>
      <c r="Q1454" t="str">
        <f t="shared" si="185"/>
        <v/>
      </c>
      <c r="R1454" s="69"/>
      <c r="S1454">
        <f>'TMIS CA'!A1445</f>
        <v>0</v>
      </c>
      <c r="T1454" t="str">
        <f>T('TMIS CA'!B1445)</f>
        <v/>
      </c>
      <c r="U1454" t="s">
        <v>4290</v>
      </c>
      <c r="V1454" t="str">
        <f t="shared" si="187"/>
        <v/>
      </c>
      <c r="W1454" t="str">
        <f t="shared" si="186"/>
        <v/>
      </c>
    </row>
    <row r="1455" spans="1:23">
      <c r="A1455">
        <f>'IPTV US'!A1446</f>
        <v>0</v>
      </c>
      <c r="B1455" t="str">
        <f>T('IPTV US'!B1446)</f>
        <v/>
      </c>
      <c r="C1455" t="s">
        <v>4290</v>
      </c>
      <c r="D1455" t="str">
        <f t="shared" si="181"/>
        <v/>
      </c>
      <c r="E1455" t="str">
        <f t="shared" si="182"/>
        <v/>
      </c>
      <c r="F1455" s="68" t="s">
        <v>4289</v>
      </c>
      <c r="G1455">
        <f>'IPTV CA'!A1446</f>
        <v>0</v>
      </c>
      <c r="H1455" t="str">
        <f>T('IPTV CA'!B1446)</f>
        <v/>
      </c>
      <c r="I1455" t="s">
        <v>4290</v>
      </c>
      <c r="J1455" t="str">
        <f t="shared" si="183"/>
        <v/>
      </c>
      <c r="K1455" t="str">
        <f t="shared" si="188"/>
        <v/>
      </c>
      <c r="L1455" s="69"/>
      <c r="M1455">
        <f>'TMIS US'!A1446</f>
        <v>0</v>
      </c>
      <c r="N1455" t="str">
        <f>T('TMIS US'!B1446)</f>
        <v/>
      </c>
      <c r="O1455" t="s">
        <v>4290</v>
      </c>
      <c r="P1455" t="str">
        <f t="shared" si="184"/>
        <v/>
      </c>
      <c r="Q1455" t="str">
        <f t="shared" si="185"/>
        <v/>
      </c>
      <c r="R1455" s="69"/>
      <c r="S1455">
        <f>'TMIS CA'!A1446</f>
        <v>0</v>
      </c>
      <c r="T1455" t="str">
        <f>T('TMIS CA'!B1446)</f>
        <v/>
      </c>
      <c r="U1455" t="s">
        <v>4290</v>
      </c>
      <c r="V1455" t="str">
        <f t="shared" si="187"/>
        <v/>
      </c>
      <c r="W1455" t="str">
        <f t="shared" si="186"/>
        <v/>
      </c>
    </row>
    <row r="1456" spans="1:23">
      <c r="A1456">
        <f>'IPTV US'!A1447</f>
        <v>0</v>
      </c>
      <c r="B1456" t="str">
        <f>T('IPTV US'!B1447)</f>
        <v/>
      </c>
      <c r="C1456" t="s">
        <v>4290</v>
      </c>
      <c r="D1456" t="str">
        <f t="shared" si="181"/>
        <v/>
      </c>
      <c r="E1456" t="str">
        <f t="shared" si="182"/>
        <v/>
      </c>
      <c r="F1456" s="68" t="s">
        <v>4289</v>
      </c>
      <c r="G1456">
        <f>'IPTV CA'!A1447</f>
        <v>0</v>
      </c>
      <c r="H1456" t="str">
        <f>T('IPTV CA'!B1447)</f>
        <v/>
      </c>
      <c r="I1456" t="s">
        <v>4290</v>
      </c>
      <c r="J1456" t="str">
        <f t="shared" si="183"/>
        <v/>
      </c>
      <c r="K1456" t="str">
        <f t="shared" si="188"/>
        <v/>
      </c>
      <c r="L1456" s="69"/>
      <c r="M1456">
        <f>'TMIS US'!A1447</f>
        <v>0</v>
      </c>
      <c r="N1456" t="str">
        <f>T('TMIS US'!B1447)</f>
        <v/>
      </c>
      <c r="O1456" t="s">
        <v>4290</v>
      </c>
      <c r="P1456" t="str">
        <f t="shared" si="184"/>
        <v/>
      </c>
      <c r="Q1456" t="str">
        <f t="shared" si="185"/>
        <v/>
      </c>
      <c r="R1456" s="69"/>
      <c r="S1456">
        <f>'TMIS CA'!A1447</f>
        <v>0</v>
      </c>
      <c r="T1456" t="str">
        <f>T('TMIS CA'!B1447)</f>
        <v/>
      </c>
      <c r="U1456" t="s">
        <v>4290</v>
      </c>
      <c r="V1456" t="str">
        <f t="shared" si="187"/>
        <v/>
      </c>
      <c r="W1456" t="str">
        <f t="shared" si="186"/>
        <v/>
      </c>
    </row>
    <row r="1457" spans="1:23">
      <c r="A1457">
        <f>'IPTV US'!A1448</f>
        <v>0</v>
      </c>
      <c r="B1457" t="str">
        <f>T('IPTV US'!B1448)</f>
        <v/>
      </c>
      <c r="C1457" t="s">
        <v>4290</v>
      </c>
      <c r="D1457" t="str">
        <f t="shared" si="181"/>
        <v/>
      </c>
      <c r="E1457" t="str">
        <f t="shared" si="182"/>
        <v/>
      </c>
      <c r="F1457" s="68" t="s">
        <v>4289</v>
      </c>
      <c r="G1457">
        <f>'IPTV CA'!A1448</f>
        <v>0</v>
      </c>
      <c r="H1457" t="str">
        <f>T('IPTV CA'!B1448)</f>
        <v/>
      </c>
      <c r="I1457" t="s">
        <v>4290</v>
      </c>
      <c r="J1457" t="str">
        <f t="shared" si="183"/>
        <v/>
      </c>
      <c r="K1457" t="str">
        <f t="shared" si="188"/>
        <v/>
      </c>
      <c r="L1457" s="69"/>
      <c r="M1457">
        <f>'TMIS US'!A1448</f>
        <v>0</v>
      </c>
      <c r="N1457" t="str">
        <f>T('TMIS US'!B1448)</f>
        <v/>
      </c>
      <c r="O1457" t="s">
        <v>4290</v>
      </c>
      <c r="P1457" t="str">
        <f t="shared" si="184"/>
        <v/>
      </c>
      <c r="Q1457" t="str">
        <f t="shared" si="185"/>
        <v/>
      </c>
      <c r="R1457" s="69"/>
      <c r="S1457">
        <f>'TMIS CA'!A1448</f>
        <v>0</v>
      </c>
      <c r="T1457" t="str">
        <f>T('TMIS CA'!B1448)</f>
        <v/>
      </c>
      <c r="U1457" t="s">
        <v>4290</v>
      </c>
      <c r="V1457" t="str">
        <f t="shared" si="187"/>
        <v/>
      </c>
      <c r="W1457" t="str">
        <f t="shared" si="186"/>
        <v/>
      </c>
    </row>
    <row r="1458" spans="1:23">
      <c r="A1458">
        <f>'IPTV US'!A1449</f>
        <v>0</v>
      </c>
      <c r="B1458" t="str">
        <f>T('IPTV US'!B1449)</f>
        <v/>
      </c>
      <c r="C1458" t="s">
        <v>4290</v>
      </c>
      <c r="D1458" t="str">
        <f t="shared" si="181"/>
        <v/>
      </c>
      <c r="E1458" t="str">
        <f t="shared" si="182"/>
        <v/>
      </c>
      <c r="F1458" s="68" t="s">
        <v>4289</v>
      </c>
      <c r="G1458">
        <f>'IPTV CA'!A1449</f>
        <v>0</v>
      </c>
      <c r="H1458" t="str">
        <f>T('IPTV CA'!B1449)</f>
        <v/>
      </c>
      <c r="I1458" t="s">
        <v>4290</v>
      </c>
      <c r="J1458" t="str">
        <f t="shared" si="183"/>
        <v/>
      </c>
      <c r="K1458" t="str">
        <f t="shared" si="188"/>
        <v/>
      </c>
      <c r="L1458" s="69"/>
      <c r="M1458">
        <f>'TMIS US'!A1449</f>
        <v>0</v>
      </c>
      <c r="N1458" t="str">
        <f>T('TMIS US'!B1449)</f>
        <v/>
      </c>
      <c r="O1458" t="s">
        <v>4290</v>
      </c>
      <c r="P1458" t="str">
        <f t="shared" si="184"/>
        <v/>
      </c>
      <c r="Q1458" t="str">
        <f t="shared" si="185"/>
        <v/>
      </c>
      <c r="R1458" s="69"/>
      <c r="S1458">
        <f>'TMIS CA'!A1449</f>
        <v>0</v>
      </c>
      <c r="T1458" t="str">
        <f>T('TMIS CA'!B1449)</f>
        <v/>
      </c>
      <c r="U1458" t="s">
        <v>4290</v>
      </c>
      <c r="V1458" t="str">
        <f t="shared" si="187"/>
        <v/>
      </c>
      <c r="W1458" t="str">
        <f t="shared" si="186"/>
        <v/>
      </c>
    </row>
    <row r="1459" spans="1:23">
      <c r="A1459">
        <f>'IPTV US'!A1450</f>
        <v>0</v>
      </c>
      <c r="B1459" t="str">
        <f>T('IPTV US'!B1450)</f>
        <v/>
      </c>
      <c r="C1459" t="s">
        <v>4290</v>
      </c>
      <c r="D1459" t="str">
        <f t="shared" si="181"/>
        <v/>
      </c>
      <c r="E1459" t="str">
        <f t="shared" si="182"/>
        <v/>
      </c>
      <c r="F1459" s="68" t="s">
        <v>4289</v>
      </c>
      <c r="G1459">
        <f>'IPTV CA'!A1450</f>
        <v>0</v>
      </c>
      <c r="H1459" t="str">
        <f>T('IPTV CA'!B1450)</f>
        <v/>
      </c>
      <c r="I1459" t="s">
        <v>4290</v>
      </c>
      <c r="J1459" t="str">
        <f t="shared" si="183"/>
        <v/>
      </c>
      <c r="K1459" t="str">
        <f t="shared" si="188"/>
        <v/>
      </c>
      <c r="L1459" s="69"/>
      <c r="M1459">
        <f>'TMIS US'!A1450</f>
        <v>0</v>
      </c>
      <c r="N1459" t="str">
        <f>T('TMIS US'!B1450)</f>
        <v/>
      </c>
      <c r="O1459" t="s">
        <v>4290</v>
      </c>
      <c r="P1459" t="str">
        <f t="shared" si="184"/>
        <v/>
      </c>
      <c r="Q1459" t="str">
        <f t="shared" si="185"/>
        <v/>
      </c>
      <c r="R1459" s="69"/>
      <c r="S1459">
        <f>'TMIS CA'!A1450</f>
        <v>0</v>
      </c>
      <c r="T1459" t="str">
        <f>T('TMIS CA'!B1450)</f>
        <v/>
      </c>
      <c r="U1459" t="s">
        <v>4290</v>
      </c>
      <c r="V1459" t="str">
        <f t="shared" si="187"/>
        <v/>
      </c>
      <c r="W1459" t="str">
        <f t="shared" si="186"/>
        <v/>
      </c>
    </row>
    <row r="1460" spans="1:23">
      <c r="A1460">
        <f>'IPTV US'!A1451</f>
        <v>0</v>
      </c>
      <c r="B1460" t="str">
        <f>T('IPTV US'!B1451)</f>
        <v/>
      </c>
      <c r="C1460" t="s">
        <v>4290</v>
      </c>
      <c r="D1460" t="str">
        <f t="shared" si="181"/>
        <v/>
      </c>
      <c r="E1460" t="str">
        <f t="shared" si="182"/>
        <v/>
      </c>
      <c r="F1460" s="68" t="s">
        <v>4289</v>
      </c>
      <c r="G1460">
        <f>'IPTV CA'!A1451</f>
        <v>0</v>
      </c>
      <c r="H1460" t="str">
        <f>T('IPTV CA'!B1451)</f>
        <v/>
      </c>
      <c r="I1460" t="s">
        <v>4290</v>
      </c>
      <c r="J1460" t="str">
        <f t="shared" si="183"/>
        <v/>
      </c>
      <c r="K1460" t="str">
        <f t="shared" si="188"/>
        <v/>
      </c>
      <c r="L1460" s="69"/>
      <c r="M1460">
        <f>'TMIS US'!A1451</f>
        <v>0</v>
      </c>
      <c r="N1460" t="str">
        <f>T('TMIS US'!B1451)</f>
        <v/>
      </c>
      <c r="O1460" t="s">
        <v>4290</v>
      </c>
      <c r="P1460" t="str">
        <f t="shared" si="184"/>
        <v/>
      </c>
      <c r="Q1460" t="str">
        <f t="shared" si="185"/>
        <v/>
      </c>
      <c r="R1460" s="69"/>
      <c r="S1460">
        <f>'TMIS CA'!A1451</f>
        <v>0</v>
      </c>
      <c r="T1460" t="str">
        <f>T('TMIS CA'!B1451)</f>
        <v/>
      </c>
      <c r="U1460" t="s">
        <v>4290</v>
      </c>
      <c r="V1460" t="str">
        <f t="shared" si="187"/>
        <v/>
      </c>
      <c r="W1460" t="str">
        <f t="shared" si="186"/>
        <v/>
      </c>
    </row>
    <row r="1461" spans="1:23">
      <c r="A1461">
        <f>'IPTV US'!A1452</f>
        <v>0</v>
      </c>
      <c r="B1461" t="str">
        <f>T('IPTV US'!B1452)</f>
        <v/>
      </c>
      <c r="C1461" t="s">
        <v>4290</v>
      </c>
      <c r="D1461" t="str">
        <f t="shared" si="181"/>
        <v/>
      </c>
      <c r="E1461" t="str">
        <f t="shared" si="182"/>
        <v/>
      </c>
      <c r="F1461" s="68" t="s">
        <v>4289</v>
      </c>
      <c r="G1461">
        <f>'IPTV CA'!A1452</f>
        <v>0</v>
      </c>
      <c r="H1461" t="str">
        <f>T('IPTV CA'!B1452)</f>
        <v/>
      </c>
      <c r="I1461" t="s">
        <v>4290</v>
      </c>
      <c r="J1461" t="str">
        <f t="shared" si="183"/>
        <v/>
      </c>
      <c r="K1461" t="str">
        <f t="shared" si="188"/>
        <v/>
      </c>
      <c r="L1461" s="69"/>
      <c r="M1461">
        <f>'TMIS US'!A1452</f>
        <v>0</v>
      </c>
      <c r="N1461" t="str">
        <f>T('TMIS US'!B1452)</f>
        <v/>
      </c>
      <c r="O1461" t="s">
        <v>4290</v>
      </c>
      <c r="P1461" t="str">
        <f t="shared" si="184"/>
        <v/>
      </c>
      <c r="Q1461" t="str">
        <f t="shared" si="185"/>
        <v/>
      </c>
      <c r="R1461" s="69"/>
      <c r="S1461">
        <f>'TMIS CA'!A1452</f>
        <v>0</v>
      </c>
      <c r="T1461" t="str">
        <f>T('TMIS CA'!B1452)</f>
        <v/>
      </c>
      <c r="U1461" t="s">
        <v>4290</v>
      </c>
      <c r="V1461" t="str">
        <f t="shared" si="187"/>
        <v/>
      </c>
      <c r="W1461" t="str">
        <f t="shared" si="186"/>
        <v/>
      </c>
    </row>
    <row r="1462" spans="1:23">
      <c r="A1462">
        <f>'IPTV US'!A1453</f>
        <v>0</v>
      </c>
      <c r="B1462" t="str">
        <f>T('IPTV US'!B1453)</f>
        <v/>
      </c>
      <c r="C1462" t="s">
        <v>4290</v>
      </c>
      <c r="D1462" t="str">
        <f t="shared" si="181"/>
        <v/>
      </c>
      <c r="E1462" t="str">
        <f t="shared" si="182"/>
        <v/>
      </c>
      <c r="F1462" s="68" t="s">
        <v>4289</v>
      </c>
      <c r="G1462">
        <f>'IPTV CA'!A1453</f>
        <v>0</v>
      </c>
      <c r="H1462" t="str">
        <f>T('IPTV CA'!B1453)</f>
        <v/>
      </c>
      <c r="I1462" t="s">
        <v>4290</v>
      </c>
      <c r="J1462" t="str">
        <f t="shared" si="183"/>
        <v/>
      </c>
      <c r="K1462" t="str">
        <f t="shared" si="188"/>
        <v/>
      </c>
      <c r="L1462" s="69"/>
      <c r="M1462">
        <f>'TMIS US'!A1453</f>
        <v>0</v>
      </c>
      <c r="N1462" t="str">
        <f>T('TMIS US'!B1453)</f>
        <v/>
      </c>
      <c r="O1462" t="s">
        <v>4290</v>
      </c>
      <c r="P1462" t="str">
        <f t="shared" si="184"/>
        <v/>
      </c>
      <c r="Q1462" t="str">
        <f t="shared" si="185"/>
        <v/>
      </c>
      <c r="R1462" s="69"/>
      <c r="S1462">
        <f>'TMIS CA'!A1453</f>
        <v>0</v>
      </c>
      <c r="T1462" t="str">
        <f>T('TMIS CA'!B1453)</f>
        <v/>
      </c>
      <c r="U1462" t="s">
        <v>4290</v>
      </c>
      <c r="V1462" t="str">
        <f t="shared" si="187"/>
        <v/>
      </c>
      <c r="W1462" t="str">
        <f t="shared" si="186"/>
        <v/>
      </c>
    </row>
    <row r="1463" spans="1:23">
      <c r="A1463">
        <f>'IPTV US'!A1454</f>
        <v>0</v>
      </c>
      <c r="B1463" t="str">
        <f>T('IPTV US'!B1454)</f>
        <v/>
      </c>
      <c r="C1463" t="s">
        <v>4290</v>
      </c>
      <c r="D1463" t="str">
        <f t="shared" si="181"/>
        <v/>
      </c>
      <c r="E1463" t="str">
        <f t="shared" si="182"/>
        <v/>
      </c>
      <c r="F1463" s="68" t="s">
        <v>4289</v>
      </c>
      <c r="G1463">
        <f>'IPTV CA'!A1454</f>
        <v>0</v>
      </c>
      <c r="H1463" t="str">
        <f>T('IPTV CA'!B1454)</f>
        <v/>
      </c>
      <c r="I1463" t="s">
        <v>4290</v>
      </c>
      <c r="J1463" t="str">
        <f t="shared" si="183"/>
        <v/>
      </c>
      <c r="K1463" t="str">
        <f t="shared" si="188"/>
        <v/>
      </c>
      <c r="L1463" s="69"/>
      <c r="M1463">
        <f>'TMIS US'!A1454</f>
        <v>0</v>
      </c>
      <c r="N1463" t="str">
        <f>T('TMIS US'!B1454)</f>
        <v/>
      </c>
      <c r="O1463" t="s">
        <v>4290</v>
      </c>
      <c r="P1463" t="str">
        <f t="shared" si="184"/>
        <v/>
      </c>
      <c r="Q1463" t="str">
        <f t="shared" si="185"/>
        <v/>
      </c>
      <c r="R1463" s="69"/>
      <c r="S1463">
        <f>'TMIS CA'!A1454</f>
        <v>0</v>
      </c>
      <c r="T1463" t="str">
        <f>T('TMIS CA'!B1454)</f>
        <v/>
      </c>
      <c r="U1463" t="s">
        <v>4290</v>
      </c>
      <c r="V1463" t="str">
        <f t="shared" si="187"/>
        <v/>
      </c>
      <c r="W1463" t="str">
        <f t="shared" si="186"/>
        <v/>
      </c>
    </row>
    <row r="1464" spans="1:23">
      <c r="A1464">
        <f>'IPTV US'!A1455</f>
        <v>0</v>
      </c>
      <c r="B1464" t="str">
        <f>T('IPTV US'!B1455)</f>
        <v/>
      </c>
      <c r="C1464" t="s">
        <v>4290</v>
      </c>
      <c r="D1464" t="str">
        <f t="shared" si="181"/>
        <v/>
      </c>
      <c r="E1464" t="str">
        <f t="shared" si="182"/>
        <v/>
      </c>
      <c r="F1464" s="68" t="s">
        <v>4289</v>
      </c>
      <c r="G1464">
        <f>'IPTV CA'!A1455</f>
        <v>0</v>
      </c>
      <c r="H1464" t="str">
        <f>T('IPTV CA'!B1455)</f>
        <v/>
      </c>
      <c r="I1464" t="s">
        <v>4290</v>
      </c>
      <c r="J1464" t="str">
        <f t="shared" si="183"/>
        <v/>
      </c>
      <c r="K1464" t="str">
        <f t="shared" si="188"/>
        <v/>
      </c>
      <c r="L1464" s="69"/>
      <c r="M1464">
        <f>'TMIS US'!A1455</f>
        <v>0</v>
      </c>
      <c r="N1464" t="str">
        <f>T('TMIS US'!B1455)</f>
        <v/>
      </c>
      <c r="O1464" t="s">
        <v>4290</v>
      </c>
      <c r="P1464" t="str">
        <f t="shared" si="184"/>
        <v/>
      </c>
      <c r="Q1464" t="str">
        <f t="shared" si="185"/>
        <v/>
      </c>
      <c r="R1464" s="69"/>
      <c r="S1464">
        <f>'TMIS CA'!A1455</f>
        <v>0</v>
      </c>
      <c r="T1464" t="str">
        <f>T('TMIS CA'!B1455)</f>
        <v/>
      </c>
      <c r="U1464" t="s">
        <v>4290</v>
      </c>
      <c r="V1464" t="str">
        <f t="shared" si="187"/>
        <v/>
      </c>
      <c r="W1464" t="str">
        <f t="shared" si="186"/>
        <v/>
      </c>
    </row>
    <row r="1465" spans="1:23">
      <c r="A1465">
        <f>'IPTV US'!A1456</f>
        <v>0</v>
      </c>
      <c r="B1465" t="str">
        <f>T('IPTV US'!B1456)</f>
        <v/>
      </c>
      <c r="C1465" t="s">
        <v>4290</v>
      </c>
      <c r="D1465" t="str">
        <f t="shared" si="181"/>
        <v/>
      </c>
      <c r="E1465" t="str">
        <f t="shared" si="182"/>
        <v/>
      </c>
      <c r="F1465" s="68" t="s">
        <v>4289</v>
      </c>
      <c r="G1465">
        <f>'IPTV CA'!A1456</f>
        <v>0</v>
      </c>
      <c r="H1465" t="str">
        <f>T('IPTV CA'!B1456)</f>
        <v/>
      </c>
      <c r="I1465" t="s">
        <v>4290</v>
      </c>
      <c r="J1465" t="str">
        <f t="shared" si="183"/>
        <v/>
      </c>
      <c r="K1465" t="str">
        <f t="shared" si="188"/>
        <v/>
      </c>
      <c r="L1465" s="69"/>
      <c r="M1465">
        <f>'TMIS US'!A1456</f>
        <v>0</v>
      </c>
      <c r="N1465" t="str">
        <f>T('TMIS US'!B1456)</f>
        <v/>
      </c>
      <c r="O1465" t="s">
        <v>4290</v>
      </c>
      <c r="P1465" t="str">
        <f t="shared" si="184"/>
        <v/>
      </c>
      <c r="Q1465" t="str">
        <f t="shared" si="185"/>
        <v/>
      </c>
      <c r="R1465" s="69"/>
      <c r="S1465">
        <f>'TMIS CA'!A1456</f>
        <v>0</v>
      </c>
      <c r="T1465" t="str">
        <f>T('TMIS CA'!B1456)</f>
        <v/>
      </c>
      <c r="U1465" t="s">
        <v>4290</v>
      </c>
      <c r="V1465" t="str">
        <f t="shared" si="187"/>
        <v/>
      </c>
      <c r="W1465" t="str">
        <f t="shared" si="186"/>
        <v/>
      </c>
    </row>
    <row r="1466" spans="1:23">
      <c r="A1466">
        <f>'IPTV US'!A1457</f>
        <v>0</v>
      </c>
      <c r="B1466" t="str">
        <f>T('IPTV US'!B1457)</f>
        <v/>
      </c>
      <c r="C1466" t="s">
        <v>4290</v>
      </c>
      <c r="D1466" t="str">
        <f t="shared" si="181"/>
        <v/>
      </c>
      <c r="E1466" t="str">
        <f t="shared" si="182"/>
        <v/>
      </c>
      <c r="F1466" s="68" t="s">
        <v>4289</v>
      </c>
      <c r="G1466">
        <f>'IPTV CA'!A1457</f>
        <v>0</v>
      </c>
      <c r="H1466" t="str">
        <f>T('IPTV CA'!B1457)</f>
        <v/>
      </c>
      <c r="I1466" t="s">
        <v>4290</v>
      </c>
      <c r="J1466" t="str">
        <f t="shared" si="183"/>
        <v/>
      </c>
      <c r="K1466" t="str">
        <f t="shared" si="188"/>
        <v/>
      </c>
      <c r="L1466" s="69"/>
      <c r="M1466">
        <f>'TMIS US'!A1457</f>
        <v>0</v>
      </c>
      <c r="N1466" t="str">
        <f>T('TMIS US'!B1457)</f>
        <v/>
      </c>
      <c r="O1466" t="s">
        <v>4290</v>
      </c>
      <c r="P1466" t="str">
        <f t="shared" si="184"/>
        <v/>
      </c>
      <c r="Q1466" t="str">
        <f t="shared" si="185"/>
        <v/>
      </c>
      <c r="R1466" s="69"/>
      <c r="S1466">
        <f>'TMIS CA'!A1457</f>
        <v>0</v>
      </c>
      <c r="T1466" t="str">
        <f>T('TMIS CA'!B1457)</f>
        <v/>
      </c>
      <c r="U1466" t="s">
        <v>4290</v>
      </c>
      <c r="V1466" t="str">
        <f t="shared" si="187"/>
        <v/>
      </c>
      <c r="W1466" t="str">
        <f t="shared" si="186"/>
        <v/>
      </c>
    </row>
    <row r="1467" spans="1:23">
      <c r="A1467">
        <f>'IPTV US'!A1458</f>
        <v>0</v>
      </c>
      <c r="B1467" t="str">
        <f>T('IPTV US'!B1458)</f>
        <v/>
      </c>
      <c r="C1467" t="s">
        <v>4290</v>
      </c>
      <c r="D1467" t="str">
        <f t="shared" si="181"/>
        <v/>
      </c>
      <c r="E1467" t="str">
        <f t="shared" si="182"/>
        <v/>
      </c>
      <c r="F1467" s="68" t="s">
        <v>4289</v>
      </c>
      <c r="G1467">
        <f>'IPTV CA'!A1458</f>
        <v>0</v>
      </c>
      <c r="H1467" t="str">
        <f>T('IPTV CA'!B1458)</f>
        <v/>
      </c>
      <c r="I1467" t="s">
        <v>4290</v>
      </c>
      <c r="J1467" t="str">
        <f t="shared" si="183"/>
        <v/>
      </c>
      <c r="K1467" t="str">
        <f t="shared" si="188"/>
        <v/>
      </c>
      <c r="L1467" s="69"/>
      <c r="M1467">
        <f>'TMIS US'!A1458</f>
        <v>0</v>
      </c>
      <c r="N1467" t="str">
        <f>T('TMIS US'!B1458)</f>
        <v/>
      </c>
      <c r="O1467" t="s">
        <v>4290</v>
      </c>
      <c r="P1467" t="str">
        <f t="shared" si="184"/>
        <v/>
      </c>
      <c r="Q1467" t="str">
        <f t="shared" si="185"/>
        <v/>
      </c>
      <c r="R1467" s="69"/>
      <c r="S1467">
        <f>'TMIS CA'!A1458</f>
        <v>0</v>
      </c>
      <c r="T1467" t="str">
        <f>T('TMIS CA'!B1458)</f>
        <v/>
      </c>
      <c r="U1467" t="s">
        <v>4290</v>
      </c>
      <c r="V1467" t="str">
        <f t="shared" si="187"/>
        <v/>
      </c>
      <c r="W1467" t="str">
        <f t="shared" si="186"/>
        <v/>
      </c>
    </row>
    <row r="1468" spans="1:23">
      <c r="A1468">
        <f>'IPTV US'!A1459</f>
        <v>0</v>
      </c>
      <c r="B1468" t="str">
        <f>T('IPTV US'!B1459)</f>
        <v/>
      </c>
      <c r="C1468" t="s">
        <v>4290</v>
      </c>
      <c r="D1468" t="str">
        <f t="shared" si="181"/>
        <v/>
      </c>
      <c r="E1468" t="str">
        <f t="shared" si="182"/>
        <v/>
      </c>
      <c r="F1468" s="68" t="s">
        <v>4289</v>
      </c>
      <c r="G1468">
        <f>'IPTV CA'!A1459</f>
        <v>0</v>
      </c>
      <c r="H1468" t="str">
        <f>T('IPTV CA'!B1459)</f>
        <v/>
      </c>
      <c r="I1468" t="s">
        <v>4290</v>
      </c>
      <c r="J1468" t="str">
        <f t="shared" si="183"/>
        <v/>
      </c>
      <c r="K1468" t="str">
        <f t="shared" si="188"/>
        <v/>
      </c>
      <c r="L1468" s="69"/>
      <c r="M1468">
        <f>'TMIS US'!A1459</f>
        <v>0</v>
      </c>
      <c r="N1468" t="str">
        <f>T('TMIS US'!B1459)</f>
        <v/>
      </c>
      <c r="O1468" t="s">
        <v>4290</v>
      </c>
      <c r="P1468" t="str">
        <f t="shared" si="184"/>
        <v/>
      </c>
      <c r="Q1468" t="str">
        <f t="shared" si="185"/>
        <v/>
      </c>
      <c r="R1468" s="69"/>
      <c r="S1468">
        <f>'TMIS CA'!A1459</f>
        <v>0</v>
      </c>
      <c r="T1468" t="str">
        <f>T('TMIS CA'!B1459)</f>
        <v/>
      </c>
      <c r="U1468" t="s">
        <v>4290</v>
      </c>
      <c r="V1468" t="str">
        <f t="shared" si="187"/>
        <v/>
      </c>
      <c r="W1468" t="str">
        <f t="shared" si="186"/>
        <v/>
      </c>
    </row>
    <row r="1469" spans="1:23">
      <c r="A1469">
        <f>'IPTV US'!A1460</f>
        <v>0</v>
      </c>
      <c r="B1469" t="str">
        <f>T('IPTV US'!B1460)</f>
        <v/>
      </c>
      <c r="C1469" t="s">
        <v>4290</v>
      </c>
      <c r="D1469" t="str">
        <f t="shared" si="181"/>
        <v/>
      </c>
      <c r="E1469" t="str">
        <f t="shared" si="182"/>
        <v/>
      </c>
      <c r="F1469" s="68" t="s">
        <v>4289</v>
      </c>
      <c r="G1469">
        <f>'IPTV CA'!A1460</f>
        <v>0</v>
      </c>
      <c r="H1469" t="str">
        <f>T('IPTV CA'!B1460)</f>
        <v/>
      </c>
      <c r="I1469" t="s">
        <v>4290</v>
      </c>
      <c r="J1469" t="str">
        <f t="shared" si="183"/>
        <v/>
      </c>
      <c r="K1469" t="str">
        <f t="shared" si="188"/>
        <v/>
      </c>
      <c r="L1469" s="69"/>
      <c r="M1469">
        <f>'TMIS US'!A1460</f>
        <v>0</v>
      </c>
      <c r="N1469" t="str">
        <f>T('TMIS US'!B1460)</f>
        <v/>
      </c>
      <c r="O1469" t="s">
        <v>4290</v>
      </c>
      <c r="P1469" t="str">
        <f t="shared" si="184"/>
        <v/>
      </c>
      <c r="Q1469" t="str">
        <f t="shared" si="185"/>
        <v/>
      </c>
      <c r="R1469" s="69"/>
      <c r="S1469">
        <f>'TMIS CA'!A1460</f>
        <v>0</v>
      </c>
      <c r="T1469" t="str">
        <f>T('TMIS CA'!B1460)</f>
        <v/>
      </c>
      <c r="U1469" t="s">
        <v>4290</v>
      </c>
      <c r="V1469" t="str">
        <f t="shared" si="187"/>
        <v/>
      </c>
      <c r="W1469" t="str">
        <f t="shared" si="186"/>
        <v/>
      </c>
    </row>
    <row r="1470" spans="1:23">
      <c r="A1470">
        <f>'IPTV US'!A1461</f>
        <v>0</v>
      </c>
      <c r="B1470" t="str">
        <f>T('IPTV US'!B1461)</f>
        <v/>
      </c>
      <c r="C1470" t="s">
        <v>4290</v>
      </c>
      <c r="D1470" t="str">
        <f t="shared" si="181"/>
        <v/>
      </c>
      <c r="E1470" t="str">
        <f t="shared" si="182"/>
        <v/>
      </c>
      <c r="F1470" s="68" t="s">
        <v>4289</v>
      </c>
      <c r="G1470">
        <f>'IPTV CA'!A1461</f>
        <v>0</v>
      </c>
      <c r="H1470" t="str">
        <f>T('IPTV CA'!B1461)</f>
        <v/>
      </c>
      <c r="I1470" t="s">
        <v>4290</v>
      </c>
      <c r="J1470" t="str">
        <f t="shared" si="183"/>
        <v/>
      </c>
      <c r="K1470" t="str">
        <f t="shared" si="188"/>
        <v/>
      </c>
      <c r="L1470" s="69"/>
      <c r="M1470">
        <f>'TMIS US'!A1461</f>
        <v>0</v>
      </c>
      <c r="N1470" t="str">
        <f>T('TMIS US'!B1461)</f>
        <v/>
      </c>
      <c r="O1470" t="s">
        <v>4290</v>
      </c>
      <c r="P1470" t="str">
        <f t="shared" si="184"/>
        <v/>
      </c>
      <c r="Q1470" t="str">
        <f t="shared" si="185"/>
        <v/>
      </c>
      <c r="R1470" s="69"/>
      <c r="S1470">
        <f>'TMIS CA'!A1461</f>
        <v>0</v>
      </c>
      <c r="T1470" t="str">
        <f>T('TMIS CA'!B1461)</f>
        <v/>
      </c>
      <c r="U1470" t="s">
        <v>4290</v>
      </c>
      <c r="V1470" t="str">
        <f t="shared" si="187"/>
        <v/>
      </c>
      <c r="W1470" t="str">
        <f t="shared" si="186"/>
        <v/>
      </c>
    </row>
    <row r="1471" spans="1:23">
      <c r="A1471">
        <f>'IPTV US'!A1462</f>
        <v>0</v>
      </c>
      <c r="B1471" t="str">
        <f>T('IPTV US'!B1462)</f>
        <v/>
      </c>
      <c r="C1471" t="s">
        <v>4290</v>
      </c>
      <c r="D1471" t="str">
        <f t="shared" si="181"/>
        <v/>
      </c>
      <c r="E1471" t="str">
        <f t="shared" si="182"/>
        <v/>
      </c>
      <c r="F1471" s="68" t="s">
        <v>4289</v>
      </c>
      <c r="G1471">
        <f>'IPTV CA'!A1462</f>
        <v>0</v>
      </c>
      <c r="H1471" t="str">
        <f>T('IPTV CA'!B1462)</f>
        <v/>
      </c>
      <c r="I1471" t="s">
        <v>4290</v>
      </c>
      <c r="J1471" t="str">
        <f t="shared" si="183"/>
        <v/>
      </c>
      <c r="K1471" t="str">
        <f t="shared" si="188"/>
        <v/>
      </c>
      <c r="L1471" s="69"/>
      <c r="M1471">
        <f>'TMIS US'!A1462</f>
        <v>0</v>
      </c>
      <c r="N1471" t="str">
        <f>T('TMIS US'!B1462)</f>
        <v/>
      </c>
      <c r="O1471" t="s">
        <v>4290</v>
      </c>
      <c r="P1471" t="str">
        <f t="shared" si="184"/>
        <v/>
      </c>
      <c r="Q1471" t="str">
        <f t="shared" si="185"/>
        <v/>
      </c>
      <c r="R1471" s="69"/>
      <c r="S1471">
        <f>'TMIS CA'!A1462</f>
        <v>0</v>
      </c>
      <c r="T1471" t="str">
        <f>T('TMIS CA'!B1462)</f>
        <v/>
      </c>
      <c r="U1471" t="s">
        <v>4290</v>
      </c>
      <c r="V1471" t="str">
        <f t="shared" si="187"/>
        <v/>
      </c>
      <c r="W1471" t="str">
        <f t="shared" si="186"/>
        <v/>
      </c>
    </row>
    <row r="1472" spans="1:23">
      <c r="A1472">
        <f>'IPTV US'!A1463</f>
        <v>0</v>
      </c>
      <c r="B1472" t="str">
        <f>T('IPTV US'!B1463)</f>
        <v/>
      </c>
      <c r="C1472" t="s">
        <v>4290</v>
      </c>
      <c r="D1472" t="str">
        <f t="shared" si="181"/>
        <v/>
      </c>
      <c r="E1472" t="str">
        <f t="shared" si="182"/>
        <v/>
      </c>
      <c r="F1472" s="68" t="s">
        <v>4289</v>
      </c>
      <c r="G1472">
        <f>'IPTV CA'!A1463</f>
        <v>0</v>
      </c>
      <c r="H1472" t="str">
        <f>T('IPTV CA'!B1463)</f>
        <v/>
      </c>
      <c r="I1472" t="s">
        <v>4290</v>
      </c>
      <c r="J1472" t="str">
        <f t="shared" si="183"/>
        <v/>
      </c>
      <c r="K1472" t="str">
        <f t="shared" si="188"/>
        <v/>
      </c>
      <c r="L1472" s="69"/>
      <c r="M1472">
        <f>'TMIS US'!A1463</f>
        <v>0</v>
      </c>
      <c r="N1472" t="str">
        <f>T('TMIS US'!B1463)</f>
        <v/>
      </c>
      <c r="O1472" t="s">
        <v>4290</v>
      </c>
      <c r="P1472" t="str">
        <f t="shared" si="184"/>
        <v/>
      </c>
      <c r="Q1472" t="str">
        <f t="shared" si="185"/>
        <v/>
      </c>
      <c r="R1472" s="69"/>
      <c r="S1472">
        <f>'TMIS CA'!A1463</f>
        <v>0</v>
      </c>
      <c r="T1472" t="str">
        <f>T('TMIS CA'!B1463)</f>
        <v/>
      </c>
      <c r="U1472" t="s">
        <v>4290</v>
      </c>
      <c r="V1472" t="str">
        <f t="shared" si="187"/>
        <v/>
      </c>
      <c r="W1472" t="str">
        <f t="shared" si="186"/>
        <v/>
      </c>
    </row>
    <row r="1473" spans="1:23">
      <c r="A1473">
        <f>'IPTV US'!A1464</f>
        <v>0</v>
      </c>
      <c r="B1473" t="str">
        <f>T('IPTV US'!B1464)</f>
        <v/>
      </c>
      <c r="C1473" t="s">
        <v>4290</v>
      </c>
      <c r="D1473" t="str">
        <f t="shared" si="181"/>
        <v/>
      </c>
      <c r="E1473" t="str">
        <f t="shared" si="182"/>
        <v/>
      </c>
      <c r="F1473" s="68" t="s">
        <v>4289</v>
      </c>
      <c r="G1473">
        <f>'IPTV CA'!A1464</f>
        <v>0</v>
      </c>
      <c r="H1473" t="str">
        <f>T('IPTV CA'!B1464)</f>
        <v/>
      </c>
      <c r="I1473" t="s">
        <v>4290</v>
      </c>
      <c r="J1473" t="str">
        <f t="shared" si="183"/>
        <v/>
      </c>
      <c r="K1473" t="str">
        <f t="shared" si="188"/>
        <v/>
      </c>
      <c r="L1473" s="69"/>
      <c r="M1473">
        <f>'TMIS US'!A1464</f>
        <v>0</v>
      </c>
      <c r="N1473" t="str">
        <f>T('TMIS US'!B1464)</f>
        <v/>
      </c>
      <c r="O1473" t="s">
        <v>4290</v>
      </c>
      <c r="P1473" t="str">
        <f t="shared" si="184"/>
        <v/>
      </c>
      <c r="Q1473" t="str">
        <f t="shared" si="185"/>
        <v/>
      </c>
      <c r="R1473" s="69"/>
      <c r="S1473">
        <f>'TMIS CA'!A1464</f>
        <v>0</v>
      </c>
      <c r="T1473" t="str">
        <f>T('TMIS CA'!B1464)</f>
        <v/>
      </c>
      <c r="U1473" t="s">
        <v>4290</v>
      </c>
      <c r="V1473" t="str">
        <f t="shared" si="187"/>
        <v/>
      </c>
      <c r="W1473" t="str">
        <f t="shared" si="186"/>
        <v/>
      </c>
    </row>
    <row r="1474" spans="1:23">
      <c r="A1474">
        <f>'IPTV US'!A1465</f>
        <v>0</v>
      </c>
      <c r="B1474" t="str">
        <f>T('IPTV US'!B1465)</f>
        <v/>
      </c>
      <c r="C1474" t="s">
        <v>4290</v>
      </c>
      <c r="D1474" t="str">
        <f t="shared" si="181"/>
        <v/>
      </c>
      <c r="E1474" t="str">
        <f t="shared" si="182"/>
        <v/>
      </c>
      <c r="F1474" s="68" t="s">
        <v>4289</v>
      </c>
      <c r="G1474">
        <f>'IPTV CA'!A1465</f>
        <v>0</v>
      </c>
      <c r="H1474" t="str">
        <f>T('IPTV CA'!B1465)</f>
        <v/>
      </c>
      <c r="I1474" t="s">
        <v>4290</v>
      </c>
      <c r="J1474" t="str">
        <f t="shared" si="183"/>
        <v/>
      </c>
      <c r="K1474" t="str">
        <f t="shared" si="188"/>
        <v/>
      </c>
      <c r="L1474" s="69"/>
      <c r="M1474">
        <f>'TMIS US'!A1465</f>
        <v>0</v>
      </c>
      <c r="N1474" t="str">
        <f>T('TMIS US'!B1465)</f>
        <v/>
      </c>
      <c r="O1474" t="s">
        <v>4290</v>
      </c>
      <c r="P1474" t="str">
        <f t="shared" si="184"/>
        <v/>
      </c>
      <c r="Q1474" t="str">
        <f t="shared" si="185"/>
        <v/>
      </c>
      <c r="R1474" s="69"/>
      <c r="S1474">
        <f>'TMIS CA'!A1465</f>
        <v>0</v>
      </c>
      <c r="T1474" t="str">
        <f>T('TMIS CA'!B1465)</f>
        <v/>
      </c>
      <c r="U1474" t="s">
        <v>4290</v>
      </c>
      <c r="V1474" t="str">
        <f t="shared" si="187"/>
        <v/>
      </c>
      <c r="W1474" t="str">
        <f t="shared" si="186"/>
        <v/>
      </c>
    </row>
    <row r="1475" spans="1:23">
      <c r="A1475">
        <f>'IPTV US'!A1466</f>
        <v>0</v>
      </c>
      <c r="B1475" t="str">
        <f>T('IPTV US'!B1466)</f>
        <v/>
      </c>
      <c r="C1475" t="s">
        <v>4290</v>
      </c>
      <c r="D1475" t="str">
        <f t="shared" si="181"/>
        <v/>
      </c>
      <c r="E1475" t="str">
        <f t="shared" si="182"/>
        <v/>
      </c>
      <c r="F1475" s="68" t="s">
        <v>4289</v>
      </c>
      <c r="G1475">
        <f>'IPTV CA'!A1466</f>
        <v>0</v>
      </c>
      <c r="H1475" t="str">
        <f>T('IPTV CA'!B1466)</f>
        <v/>
      </c>
      <c r="I1475" t="s">
        <v>4290</v>
      </c>
      <c r="J1475" t="str">
        <f t="shared" si="183"/>
        <v/>
      </c>
      <c r="K1475" t="str">
        <f t="shared" si="188"/>
        <v/>
      </c>
      <c r="L1475" s="69"/>
      <c r="M1475">
        <f>'TMIS US'!A1466</f>
        <v>0</v>
      </c>
      <c r="N1475" t="str">
        <f>T('TMIS US'!B1466)</f>
        <v/>
      </c>
      <c r="O1475" t="s">
        <v>4290</v>
      </c>
      <c r="P1475" t="str">
        <f t="shared" si="184"/>
        <v/>
      </c>
      <c r="Q1475" t="str">
        <f t="shared" si="185"/>
        <v/>
      </c>
      <c r="R1475" s="69"/>
      <c r="S1475">
        <f>'TMIS CA'!A1466</f>
        <v>0</v>
      </c>
      <c r="T1475" t="str">
        <f>T('TMIS CA'!B1466)</f>
        <v/>
      </c>
      <c r="U1475" t="s">
        <v>4290</v>
      </c>
      <c r="V1475" t="str">
        <f t="shared" si="187"/>
        <v/>
      </c>
      <c r="W1475" t="str">
        <f t="shared" si="186"/>
        <v/>
      </c>
    </row>
    <row r="1476" spans="1:23">
      <c r="A1476">
        <f>'IPTV US'!A1467</f>
        <v>0</v>
      </c>
      <c r="B1476" t="str">
        <f>T('IPTV US'!B1467)</f>
        <v/>
      </c>
      <c r="C1476" t="s">
        <v>4290</v>
      </c>
      <c r="D1476" t="str">
        <f t="shared" si="181"/>
        <v/>
      </c>
      <c r="E1476" t="str">
        <f t="shared" si="182"/>
        <v/>
      </c>
      <c r="F1476" s="68" t="s">
        <v>4289</v>
      </c>
      <c r="G1476">
        <f>'IPTV CA'!A1467</f>
        <v>0</v>
      </c>
      <c r="H1476" t="str">
        <f>T('IPTV CA'!B1467)</f>
        <v/>
      </c>
      <c r="I1476" t="s">
        <v>4290</v>
      </c>
      <c r="J1476" t="str">
        <f t="shared" si="183"/>
        <v/>
      </c>
      <c r="K1476" t="str">
        <f t="shared" si="188"/>
        <v/>
      </c>
      <c r="L1476" s="69"/>
      <c r="M1476">
        <f>'TMIS US'!A1467</f>
        <v>0</v>
      </c>
      <c r="N1476" t="str">
        <f>T('TMIS US'!B1467)</f>
        <v/>
      </c>
      <c r="O1476" t="s">
        <v>4290</v>
      </c>
      <c r="P1476" t="str">
        <f t="shared" si="184"/>
        <v/>
      </c>
      <c r="Q1476" t="str">
        <f t="shared" si="185"/>
        <v/>
      </c>
      <c r="R1476" s="69"/>
      <c r="S1476">
        <f>'TMIS CA'!A1467</f>
        <v>0</v>
      </c>
      <c r="T1476" t="str">
        <f>T('TMIS CA'!B1467)</f>
        <v/>
      </c>
      <c r="U1476" t="s">
        <v>4290</v>
      </c>
      <c r="V1476" t="str">
        <f t="shared" si="187"/>
        <v/>
      </c>
      <c r="W1476" t="str">
        <f t="shared" si="186"/>
        <v/>
      </c>
    </row>
    <row r="1477" spans="1:23">
      <c r="A1477">
        <f>'IPTV US'!A1468</f>
        <v>0</v>
      </c>
      <c r="B1477" t="str">
        <f>T('IPTV US'!B1468)</f>
        <v/>
      </c>
      <c r="C1477" t="s">
        <v>4290</v>
      </c>
      <c r="D1477" t="str">
        <f t="shared" si="181"/>
        <v/>
      </c>
      <c r="E1477" t="str">
        <f t="shared" si="182"/>
        <v/>
      </c>
      <c r="F1477" s="68" t="s">
        <v>4289</v>
      </c>
      <c r="G1477">
        <f>'IPTV CA'!A1468</f>
        <v>0</v>
      </c>
      <c r="H1477" t="str">
        <f>T('IPTV CA'!B1468)</f>
        <v/>
      </c>
      <c r="I1477" t="s">
        <v>4290</v>
      </c>
      <c r="J1477" t="str">
        <f t="shared" si="183"/>
        <v/>
      </c>
      <c r="K1477" t="str">
        <f t="shared" si="188"/>
        <v/>
      </c>
      <c r="L1477" s="69"/>
      <c r="M1477">
        <f>'TMIS US'!A1468</f>
        <v>0</v>
      </c>
      <c r="N1477" t="str">
        <f>T('TMIS US'!B1468)</f>
        <v/>
      </c>
      <c r="O1477" t="s">
        <v>4290</v>
      </c>
      <c r="P1477" t="str">
        <f t="shared" si="184"/>
        <v/>
      </c>
      <c r="Q1477" t="str">
        <f t="shared" si="185"/>
        <v/>
      </c>
      <c r="R1477" s="69"/>
      <c r="S1477">
        <f>'TMIS CA'!A1468</f>
        <v>0</v>
      </c>
      <c r="T1477" t="str">
        <f>T('TMIS CA'!B1468)</f>
        <v/>
      </c>
      <c r="U1477" t="s">
        <v>4290</v>
      </c>
      <c r="V1477" t="str">
        <f t="shared" si="187"/>
        <v/>
      </c>
      <c r="W1477" t="str">
        <f t="shared" si="186"/>
        <v/>
      </c>
    </row>
    <row r="1478" spans="1:23">
      <c r="A1478">
        <f>'IPTV US'!A1469</f>
        <v>0</v>
      </c>
      <c r="B1478" t="str">
        <f>T('IPTV US'!B1469)</f>
        <v/>
      </c>
      <c r="C1478" t="s">
        <v>4290</v>
      </c>
      <c r="D1478" t="str">
        <f t="shared" si="181"/>
        <v/>
      </c>
      <c r="E1478" t="str">
        <f t="shared" si="182"/>
        <v/>
      </c>
      <c r="F1478" s="68" t="s">
        <v>4289</v>
      </c>
      <c r="G1478">
        <f>'IPTV CA'!A1469</f>
        <v>0</v>
      </c>
      <c r="H1478" t="str">
        <f>T('IPTV CA'!B1469)</f>
        <v/>
      </c>
      <c r="I1478" t="s">
        <v>4290</v>
      </c>
      <c r="J1478" t="str">
        <f t="shared" si="183"/>
        <v/>
      </c>
      <c r="K1478" t="str">
        <f t="shared" si="188"/>
        <v/>
      </c>
      <c r="L1478" s="69"/>
      <c r="M1478">
        <f>'TMIS US'!A1469</f>
        <v>0</v>
      </c>
      <c r="N1478" t="str">
        <f>T('TMIS US'!B1469)</f>
        <v/>
      </c>
      <c r="O1478" t="s">
        <v>4290</v>
      </c>
      <c r="P1478" t="str">
        <f t="shared" si="184"/>
        <v/>
      </c>
      <c r="Q1478" t="str">
        <f t="shared" si="185"/>
        <v/>
      </c>
      <c r="R1478" s="69"/>
      <c r="S1478">
        <f>'TMIS CA'!A1469</f>
        <v>0</v>
      </c>
      <c r="T1478" t="str">
        <f>T('TMIS CA'!B1469)</f>
        <v/>
      </c>
      <c r="U1478" t="s">
        <v>4290</v>
      </c>
      <c r="V1478" t="str">
        <f t="shared" si="187"/>
        <v/>
      </c>
      <c r="W1478" t="str">
        <f t="shared" si="186"/>
        <v/>
      </c>
    </row>
    <row r="1479" spans="1:23">
      <c r="A1479">
        <f>'IPTV US'!A1470</f>
        <v>0</v>
      </c>
      <c r="B1479" t="str">
        <f>T('IPTV US'!B1470)</f>
        <v/>
      </c>
      <c r="C1479" t="s">
        <v>4290</v>
      </c>
      <c r="D1479" t="str">
        <f t="shared" si="181"/>
        <v/>
      </c>
      <c r="E1479" t="str">
        <f t="shared" si="182"/>
        <v/>
      </c>
      <c r="F1479" s="68" t="s">
        <v>4289</v>
      </c>
      <c r="G1479">
        <f>'IPTV CA'!A1470</f>
        <v>0</v>
      </c>
      <c r="H1479" t="str">
        <f>T('IPTV CA'!B1470)</f>
        <v/>
      </c>
      <c r="I1479" t="s">
        <v>4290</v>
      </c>
      <c r="J1479" t="str">
        <f t="shared" si="183"/>
        <v/>
      </c>
      <c r="K1479" t="str">
        <f t="shared" si="188"/>
        <v/>
      </c>
      <c r="L1479" s="69"/>
      <c r="M1479">
        <f>'TMIS US'!A1470</f>
        <v>0</v>
      </c>
      <c r="N1479" t="str">
        <f>T('TMIS US'!B1470)</f>
        <v/>
      </c>
      <c r="O1479" t="s">
        <v>4290</v>
      </c>
      <c r="P1479" t="str">
        <f t="shared" si="184"/>
        <v/>
      </c>
      <c r="Q1479" t="str">
        <f t="shared" si="185"/>
        <v/>
      </c>
      <c r="R1479" s="69"/>
      <c r="S1479">
        <f>'TMIS CA'!A1470</f>
        <v>0</v>
      </c>
      <c r="T1479" t="str">
        <f>T('TMIS CA'!B1470)</f>
        <v/>
      </c>
      <c r="U1479" t="s">
        <v>4290</v>
      </c>
      <c r="V1479" t="str">
        <f t="shared" si="187"/>
        <v/>
      </c>
      <c r="W1479" t="str">
        <f t="shared" si="186"/>
        <v/>
      </c>
    </row>
    <row r="1480" spans="1:23">
      <c r="A1480">
        <f>'IPTV US'!A1471</f>
        <v>0</v>
      </c>
      <c r="B1480" t="str">
        <f>T('IPTV US'!B1471)</f>
        <v/>
      </c>
      <c r="C1480" t="s">
        <v>4290</v>
      </c>
      <c r="D1480" t="str">
        <f t="shared" si="181"/>
        <v/>
      </c>
      <c r="E1480" t="str">
        <f t="shared" si="182"/>
        <v/>
      </c>
      <c r="F1480" s="68" t="s">
        <v>4289</v>
      </c>
      <c r="G1480">
        <f>'IPTV CA'!A1471</f>
        <v>0</v>
      </c>
      <c r="H1480" t="str">
        <f>T('IPTV CA'!B1471)</f>
        <v/>
      </c>
      <c r="I1480" t="s">
        <v>4290</v>
      </c>
      <c r="J1480" t="str">
        <f t="shared" si="183"/>
        <v/>
      </c>
      <c r="K1480" t="str">
        <f t="shared" si="188"/>
        <v/>
      </c>
      <c r="L1480" s="69"/>
      <c r="M1480">
        <f>'TMIS US'!A1471</f>
        <v>0</v>
      </c>
      <c r="N1480" t="str">
        <f>T('TMIS US'!B1471)</f>
        <v/>
      </c>
      <c r="O1480" t="s">
        <v>4290</v>
      </c>
      <c r="P1480" t="str">
        <f t="shared" si="184"/>
        <v/>
      </c>
      <c r="Q1480" t="str">
        <f t="shared" si="185"/>
        <v/>
      </c>
      <c r="R1480" s="69"/>
      <c r="S1480">
        <f>'TMIS CA'!A1471</f>
        <v>0</v>
      </c>
      <c r="T1480" t="str">
        <f>T('TMIS CA'!B1471)</f>
        <v/>
      </c>
      <c r="U1480" t="s">
        <v>4290</v>
      </c>
      <c r="V1480" t="str">
        <f t="shared" si="187"/>
        <v/>
      </c>
      <c r="W1480" t="str">
        <f t="shared" si="186"/>
        <v/>
      </c>
    </row>
    <row r="1481" spans="1:23">
      <c r="A1481">
        <f>'IPTV US'!A1472</f>
        <v>0</v>
      </c>
      <c r="B1481" t="str">
        <f>T('IPTV US'!B1472)</f>
        <v/>
      </c>
      <c r="C1481" t="s">
        <v>4290</v>
      </c>
      <c r="D1481" t="str">
        <f t="shared" si="181"/>
        <v/>
      </c>
      <c r="E1481" t="str">
        <f t="shared" si="182"/>
        <v/>
      </c>
      <c r="F1481" s="68" t="s">
        <v>4289</v>
      </c>
      <c r="G1481">
        <f>'IPTV CA'!A1472</f>
        <v>0</v>
      </c>
      <c r="H1481" t="str">
        <f>T('IPTV CA'!B1472)</f>
        <v/>
      </c>
      <c r="I1481" t="s">
        <v>4290</v>
      </c>
      <c r="J1481" t="str">
        <f t="shared" si="183"/>
        <v/>
      </c>
      <c r="K1481" t="str">
        <f t="shared" si="188"/>
        <v/>
      </c>
      <c r="L1481" s="69"/>
      <c r="M1481">
        <f>'TMIS US'!A1472</f>
        <v>0</v>
      </c>
      <c r="N1481" t="str">
        <f>T('TMIS US'!B1472)</f>
        <v/>
      </c>
      <c r="O1481" t="s">
        <v>4290</v>
      </c>
      <c r="P1481" t="str">
        <f t="shared" si="184"/>
        <v/>
      </c>
      <c r="Q1481" t="str">
        <f t="shared" si="185"/>
        <v/>
      </c>
      <c r="R1481" s="69"/>
      <c r="S1481">
        <f>'TMIS CA'!A1472</f>
        <v>0</v>
      </c>
      <c r="T1481" t="str">
        <f>T('TMIS CA'!B1472)</f>
        <v/>
      </c>
      <c r="U1481" t="s">
        <v>4290</v>
      </c>
      <c r="V1481" t="str">
        <f t="shared" si="187"/>
        <v/>
      </c>
      <c r="W1481" t="str">
        <f t="shared" si="186"/>
        <v/>
      </c>
    </row>
    <row r="1482" spans="1:23">
      <c r="A1482">
        <f>'IPTV US'!A1473</f>
        <v>0</v>
      </c>
      <c r="B1482" t="str">
        <f>T('IPTV US'!B1473)</f>
        <v/>
      </c>
      <c r="C1482" t="s">
        <v>4290</v>
      </c>
      <c r="D1482" t="str">
        <f t="shared" si="181"/>
        <v/>
      </c>
      <c r="E1482" t="str">
        <f t="shared" si="182"/>
        <v/>
      </c>
      <c r="F1482" s="68" t="s">
        <v>4289</v>
      </c>
      <c r="G1482">
        <f>'IPTV CA'!A1473</f>
        <v>0</v>
      </c>
      <c r="H1482" t="str">
        <f>T('IPTV CA'!B1473)</f>
        <v/>
      </c>
      <c r="I1482" t="s">
        <v>4290</v>
      </c>
      <c r="J1482" t="str">
        <f t="shared" si="183"/>
        <v/>
      </c>
      <c r="K1482" t="str">
        <f t="shared" si="188"/>
        <v/>
      </c>
      <c r="L1482" s="69"/>
      <c r="M1482">
        <f>'TMIS US'!A1473</f>
        <v>0</v>
      </c>
      <c r="N1482" t="str">
        <f>T('TMIS US'!B1473)</f>
        <v/>
      </c>
      <c r="O1482" t="s">
        <v>4290</v>
      </c>
      <c r="P1482" t="str">
        <f t="shared" si="184"/>
        <v/>
      </c>
      <c r="Q1482" t="str">
        <f t="shared" si="185"/>
        <v/>
      </c>
      <c r="R1482" s="69"/>
      <c r="S1482">
        <f>'TMIS CA'!A1473</f>
        <v>0</v>
      </c>
      <c r="T1482" t="str">
        <f>T('TMIS CA'!B1473)</f>
        <v/>
      </c>
      <c r="U1482" t="s">
        <v>4290</v>
      </c>
      <c r="V1482" t="str">
        <f t="shared" si="187"/>
        <v/>
      </c>
      <c r="W1482" t="str">
        <f t="shared" si="186"/>
        <v/>
      </c>
    </row>
    <row r="1483" spans="1:23">
      <c r="A1483">
        <f>'IPTV US'!A1474</f>
        <v>0</v>
      </c>
      <c r="B1483" t="str">
        <f>T('IPTV US'!B1474)</f>
        <v/>
      </c>
      <c r="C1483" t="s">
        <v>4290</v>
      </c>
      <c r="D1483" t="str">
        <f t="shared" ref="D1483:D1504" si="189">IF(C1483="Active",IF(B1483="","Please Notify - Channel Removed",""),"")</f>
        <v/>
      </c>
      <c r="E1483" t="str">
        <f t="shared" ref="E1483:E1504" si="190">IF(C1483="Vacant",IF(B1483="","","Please Notify - Channel Added"),"")</f>
        <v/>
      </c>
      <c r="F1483" s="68" t="s">
        <v>4289</v>
      </c>
      <c r="G1483">
        <f>'IPTV CA'!A1474</f>
        <v>0</v>
      </c>
      <c r="H1483" t="str">
        <f>T('IPTV CA'!B1474)</f>
        <v/>
      </c>
      <c r="I1483" t="s">
        <v>4290</v>
      </c>
      <c r="J1483" t="str">
        <f t="shared" ref="J1483:J1504" si="191">IF(I1483="Active",IF(H1483="","Please Notify - Channel Removed",""),"")</f>
        <v/>
      </c>
      <c r="K1483" t="str">
        <f t="shared" si="188"/>
        <v/>
      </c>
      <c r="L1483" s="69"/>
      <c r="M1483">
        <f>'TMIS US'!A1474</f>
        <v>0</v>
      </c>
      <c r="N1483" t="str">
        <f>T('TMIS US'!B1474)</f>
        <v/>
      </c>
      <c r="O1483" t="s">
        <v>4290</v>
      </c>
      <c r="P1483" t="str">
        <f t="shared" ref="P1483:P1546" si="192">IF(O1483="Active",IF(N1483="","Please Notify - Channel Removed",""),"")</f>
        <v/>
      </c>
      <c r="Q1483" t="str">
        <f t="shared" si="185"/>
        <v/>
      </c>
      <c r="R1483" s="69"/>
      <c r="S1483">
        <f>'TMIS CA'!A1474</f>
        <v>0</v>
      </c>
      <c r="T1483" t="str">
        <f>T('TMIS CA'!B1474)</f>
        <v/>
      </c>
      <c r="U1483" t="s">
        <v>4290</v>
      </c>
      <c r="V1483" t="str">
        <f t="shared" si="187"/>
        <v/>
      </c>
      <c r="W1483" t="str">
        <f t="shared" si="186"/>
        <v/>
      </c>
    </row>
    <row r="1484" spans="1:23">
      <c r="A1484">
        <f>'IPTV US'!A1475</f>
        <v>0</v>
      </c>
      <c r="B1484" t="str">
        <f>T('IPTV US'!B1475)</f>
        <v/>
      </c>
      <c r="C1484" t="s">
        <v>4290</v>
      </c>
      <c r="D1484" t="str">
        <f t="shared" si="189"/>
        <v/>
      </c>
      <c r="E1484" t="str">
        <f t="shared" si="190"/>
        <v/>
      </c>
      <c r="F1484" s="68" t="s">
        <v>4289</v>
      </c>
      <c r="G1484">
        <f>'IPTV CA'!A1475</f>
        <v>0</v>
      </c>
      <c r="H1484" t="str">
        <f>T('IPTV CA'!B1475)</f>
        <v/>
      </c>
      <c r="I1484" t="s">
        <v>4290</v>
      </c>
      <c r="J1484" t="str">
        <f t="shared" si="191"/>
        <v/>
      </c>
      <c r="K1484" t="str">
        <f>IF(I1484="Vacant",IF(H1484="","","Please Notify - Channel Added"),"")</f>
        <v/>
      </c>
      <c r="L1484" s="69"/>
      <c r="M1484">
        <f>'TMIS US'!A1475</f>
        <v>0</v>
      </c>
      <c r="N1484" t="str">
        <f>T('TMIS US'!B1475)</f>
        <v/>
      </c>
      <c r="O1484" t="s">
        <v>4290</v>
      </c>
      <c r="P1484" t="str">
        <f t="shared" si="192"/>
        <v/>
      </c>
      <c r="Q1484" t="str">
        <f t="shared" ref="Q1484:Q1504" si="193">IF(O1484="Vacant",IF(N1484="","","Please Notify - Channel Added"),"")</f>
        <v/>
      </c>
      <c r="R1484" s="69"/>
      <c r="S1484">
        <f>'TMIS CA'!A1475</f>
        <v>0</v>
      </c>
      <c r="T1484" t="str">
        <f>T('TMIS CA'!B1475)</f>
        <v/>
      </c>
      <c r="U1484" t="s">
        <v>4290</v>
      </c>
      <c r="V1484" t="str">
        <f t="shared" si="187"/>
        <v/>
      </c>
      <c r="W1484" t="str">
        <f t="shared" ref="W1484:W1504" si="194">IF(U1484="Vacant",IF(T1484="","","Please Notify - Channel Added"),"")</f>
        <v/>
      </c>
    </row>
    <row r="1485" spans="1:23">
      <c r="A1485">
        <f>'IPTV US'!A1476</f>
        <v>0</v>
      </c>
      <c r="B1485" t="str">
        <f>T('IPTV US'!B1476)</f>
        <v/>
      </c>
      <c r="C1485" t="s">
        <v>4290</v>
      </c>
      <c r="D1485" t="str">
        <f t="shared" si="189"/>
        <v/>
      </c>
      <c r="E1485" t="str">
        <f t="shared" si="190"/>
        <v/>
      </c>
      <c r="F1485" s="68" t="s">
        <v>4289</v>
      </c>
      <c r="G1485">
        <f>'IPTV CA'!A1476</f>
        <v>0</v>
      </c>
      <c r="H1485" t="str">
        <f>T('IPTV CA'!B1476)</f>
        <v/>
      </c>
      <c r="I1485" t="s">
        <v>4290</v>
      </c>
      <c r="J1485" t="str">
        <f t="shared" si="191"/>
        <v/>
      </c>
      <c r="K1485" t="str">
        <f t="shared" si="188"/>
        <v/>
      </c>
      <c r="L1485" s="69"/>
      <c r="M1485">
        <f>'TMIS US'!A1476</f>
        <v>0</v>
      </c>
      <c r="N1485" t="str">
        <f>T('TMIS US'!B1476)</f>
        <v/>
      </c>
      <c r="O1485" t="s">
        <v>4290</v>
      </c>
      <c r="P1485" t="str">
        <f t="shared" si="192"/>
        <v/>
      </c>
      <c r="Q1485" t="str">
        <f t="shared" si="193"/>
        <v/>
      </c>
      <c r="R1485" s="69"/>
      <c r="S1485">
        <f>'TMIS CA'!A1476</f>
        <v>0</v>
      </c>
      <c r="T1485" t="str">
        <f>T('TMIS CA'!B1476)</f>
        <v/>
      </c>
      <c r="U1485" t="s">
        <v>4290</v>
      </c>
      <c r="V1485" t="str">
        <f t="shared" si="187"/>
        <v/>
      </c>
      <c r="W1485" t="str">
        <f t="shared" si="194"/>
        <v/>
      </c>
    </row>
    <row r="1486" spans="1:23">
      <c r="A1486">
        <f>'IPTV US'!A1477</f>
        <v>0</v>
      </c>
      <c r="B1486" t="str">
        <f>T('IPTV US'!B1477)</f>
        <v/>
      </c>
      <c r="C1486" t="s">
        <v>4290</v>
      </c>
      <c r="D1486" t="str">
        <f t="shared" si="189"/>
        <v/>
      </c>
      <c r="E1486" t="str">
        <f t="shared" si="190"/>
        <v/>
      </c>
      <c r="F1486" s="68" t="s">
        <v>4289</v>
      </c>
      <c r="G1486">
        <f>'IPTV CA'!A1477</f>
        <v>0</v>
      </c>
      <c r="H1486" t="str">
        <f>T('IPTV CA'!B1477)</f>
        <v/>
      </c>
      <c r="I1486" t="s">
        <v>4290</v>
      </c>
      <c r="J1486" t="str">
        <f t="shared" si="191"/>
        <v/>
      </c>
      <c r="K1486" t="str">
        <f t="shared" si="188"/>
        <v/>
      </c>
      <c r="L1486" s="69"/>
      <c r="M1486">
        <f>'TMIS US'!A1477</f>
        <v>0</v>
      </c>
      <c r="N1486" t="str">
        <f>T('TMIS US'!B1477)</f>
        <v/>
      </c>
      <c r="O1486" t="s">
        <v>4290</v>
      </c>
      <c r="P1486" t="str">
        <f t="shared" si="192"/>
        <v/>
      </c>
      <c r="Q1486" t="str">
        <f t="shared" si="193"/>
        <v/>
      </c>
      <c r="R1486" s="69"/>
      <c r="S1486">
        <f>'TMIS CA'!A1477</f>
        <v>0</v>
      </c>
      <c r="T1486" t="str">
        <f>T('TMIS CA'!B1477)</f>
        <v/>
      </c>
      <c r="U1486" t="s">
        <v>4290</v>
      </c>
      <c r="V1486" t="str">
        <f t="shared" ref="V1486:V1549" si="195">IF(U1486="Active",IF(T1486="","Please Notify - Channel Removed",""),"")</f>
        <v/>
      </c>
      <c r="W1486" t="str">
        <f t="shared" si="194"/>
        <v/>
      </c>
    </row>
    <row r="1487" spans="1:23">
      <c r="A1487">
        <f>'IPTV US'!A1478</f>
        <v>0</v>
      </c>
      <c r="B1487" t="str">
        <f>T('IPTV US'!B1478)</f>
        <v/>
      </c>
      <c r="C1487" t="s">
        <v>4290</v>
      </c>
      <c r="D1487" t="str">
        <f t="shared" si="189"/>
        <v/>
      </c>
      <c r="E1487" t="str">
        <f t="shared" si="190"/>
        <v/>
      </c>
      <c r="F1487" s="68" t="s">
        <v>4289</v>
      </c>
      <c r="G1487">
        <f>'IPTV CA'!A1478</f>
        <v>0</v>
      </c>
      <c r="H1487" t="str">
        <f>T('IPTV CA'!B1478)</f>
        <v/>
      </c>
      <c r="I1487" t="s">
        <v>4290</v>
      </c>
      <c r="J1487" t="str">
        <f t="shared" si="191"/>
        <v/>
      </c>
      <c r="K1487" t="str">
        <f t="shared" si="188"/>
        <v/>
      </c>
      <c r="L1487" s="69"/>
      <c r="M1487">
        <f>'TMIS US'!A1478</f>
        <v>0</v>
      </c>
      <c r="N1487" t="str">
        <f>T('TMIS US'!B1478)</f>
        <v/>
      </c>
      <c r="O1487" t="s">
        <v>4290</v>
      </c>
      <c r="P1487" t="str">
        <f t="shared" si="192"/>
        <v/>
      </c>
      <c r="Q1487" t="str">
        <f t="shared" si="193"/>
        <v/>
      </c>
      <c r="R1487" s="69"/>
      <c r="S1487">
        <f>'TMIS CA'!A1478</f>
        <v>0</v>
      </c>
      <c r="T1487" t="str">
        <f>T('TMIS CA'!B1478)</f>
        <v/>
      </c>
      <c r="U1487" t="s">
        <v>4290</v>
      </c>
      <c r="V1487" t="str">
        <f t="shared" si="195"/>
        <v/>
      </c>
      <c r="W1487" t="str">
        <f t="shared" si="194"/>
        <v/>
      </c>
    </row>
    <row r="1488" spans="1:23">
      <c r="A1488">
        <f>'IPTV US'!A1479</f>
        <v>0</v>
      </c>
      <c r="B1488" t="str">
        <f>T('IPTV US'!B1479)</f>
        <v/>
      </c>
      <c r="C1488" t="s">
        <v>4290</v>
      </c>
      <c r="D1488" t="str">
        <f t="shared" si="189"/>
        <v/>
      </c>
      <c r="E1488" t="str">
        <f t="shared" si="190"/>
        <v/>
      </c>
      <c r="F1488" s="68" t="s">
        <v>4289</v>
      </c>
      <c r="G1488">
        <f>'IPTV CA'!A1479</f>
        <v>0</v>
      </c>
      <c r="H1488" t="str">
        <f>T('IPTV CA'!B1479)</f>
        <v/>
      </c>
      <c r="I1488" t="s">
        <v>4290</v>
      </c>
      <c r="J1488" t="str">
        <f t="shared" si="191"/>
        <v/>
      </c>
      <c r="K1488" t="str">
        <f t="shared" si="188"/>
        <v/>
      </c>
      <c r="L1488" s="69"/>
      <c r="M1488">
        <f>'TMIS US'!A1479</f>
        <v>0</v>
      </c>
      <c r="N1488" t="str">
        <f>T('TMIS US'!B1479)</f>
        <v/>
      </c>
      <c r="O1488" t="s">
        <v>4290</v>
      </c>
      <c r="P1488" t="str">
        <f t="shared" si="192"/>
        <v/>
      </c>
      <c r="Q1488" t="str">
        <f t="shared" si="193"/>
        <v/>
      </c>
      <c r="R1488" s="69"/>
      <c r="S1488">
        <f>'TMIS CA'!A1479</f>
        <v>0</v>
      </c>
      <c r="T1488" t="str">
        <f>T('TMIS CA'!B1479)</f>
        <v/>
      </c>
      <c r="U1488" t="s">
        <v>4290</v>
      </c>
      <c r="V1488" t="str">
        <f t="shared" si="195"/>
        <v/>
      </c>
      <c r="W1488" t="str">
        <f t="shared" si="194"/>
        <v/>
      </c>
    </row>
    <row r="1489" spans="1:23">
      <c r="A1489">
        <f>'IPTV US'!A1480</f>
        <v>0</v>
      </c>
      <c r="B1489" t="str">
        <f>T('IPTV US'!B1480)</f>
        <v/>
      </c>
      <c r="C1489" t="s">
        <v>4290</v>
      </c>
      <c r="D1489" t="str">
        <f t="shared" si="189"/>
        <v/>
      </c>
      <c r="E1489" t="str">
        <f t="shared" si="190"/>
        <v/>
      </c>
      <c r="F1489" s="68" t="s">
        <v>4289</v>
      </c>
      <c r="G1489">
        <f>'IPTV CA'!A1480</f>
        <v>0</v>
      </c>
      <c r="H1489" t="str">
        <f>T('IPTV CA'!B1480)</f>
        <v/>
      </c>
      <c r="I1489" t="s">
        <v>4290</v>
      </c>
      <c r="J1489" t="str">
        <f t="shared" si="191"/>
        <v/>
      </c>
      <c r="K1489" t="str">
        <f t="shared" si="188"/>
        <v/>
      </c>
      <c r="L1489" s="69"/>
      <c r="M1489">
        <f>'TMIS US'!A1480</f>
        <v>0</v>
      </c>
      <c r="N1489" t="str">
        <f>T('TMIS US'!B1480)</f>
        <v/>
      </c>
      <c r="O1489" t="s">
        <v>4290</v>
      </c>
      <c r="P1489" t="str">
        <f t="shared" si="192"/>
        <v/>
      </c>
      <c r="Q1489" t="str">
        <f t="shared" si="193"/>
        <v/>
      </c>
      <c r="R1489" s="69"/>
      <c r="S1489">
        <f>'TMIS CA'!A1480</f>
        <v>0</v>
      </c>
      <c r="T1489" t="str">
        <f>T('TMIS CA'!B1480)</f>
        <v/>
      </c>
      <c r="U1489" t="s">
        <v>4290</v>
      </c>
      <c r="V1489" t="str">
        <f t="shared" si="195"/>
        <v/>
      </c>
      <c r="W1489" t="str">
        <f t="shared" si="194"/>
        <v/>
      </c>
    </row>
    <row r="1490" spans="1:23">
      <c r="A1490">
        <f>'IPTV US'!A1481</f>
        <v>0</v>
      </c>
      <c r="B1490" t="str">
        <f>T('IPTV US'!B1481)</f>
        <v/>
      </c>
      <c r="C1490" t="s">
        <v>4290</v>
      </c>
      <c r="D1490" t="str">
        <f t="shared" si="189"/>
        <v/>
      </c>
      <c r="E1490" t="str">
        <f t="shared" si="190"/>
        <v/>
      </c>
      <c r="F1490" s="68" t="s">
        <v>4289</v>
      </c>
      <c r="G1490">
        <f>'IPTV CA'!A1481</f>
        <v>0</v>
      </c>
      <c r="H1490" t="str">
        <f>T('IPTV CA'!B1481)</f>
        <v/>
      </c>
      <c r="I1490" t="s">
        <v>4290</v>
      </c>
      <c r="J1490" t="str">
        <f t="shared" si="191"/>
        <v/>
      </c>
      <c r="K1490" t="str">
        <f t="shared" si="188"/>
        <v/>
      </c>
      <c r="L1490" s="69"/>
      <c r="M1490">
        <f>'TMIS US'!A1481</f>
        <v>0</v>
      </c>
      <c r="N1490" t="str">
        <f>T('TMIS US'!B1481)</f>
        <v/>
      </c>
      <c r="O1490" t="s">
        <v>4290</v>
      </c>
      <c r="P1490" t="str">
        <f t="shared" si="192"/>
        <v/>
      </c>
      <c r="Q1490" t="str">
        <f t="shared" si="193"/>
        <v/>
      </c>
      <c r="R1490" s="69"/>
      <c r="S1490">
        <f>'TMIS CA'!A1481</f>
        <v>0</v>
      </c>
      <c r="T1490" t="str">
        <f>T('TMIS CA'!B1481)</f>
        <v/>
      </c>
      <c r="U1490" t="s">
        <v>4290</v>
      </c>
      <c r="V1490" t="str">
        <f t="shared" si="195"/>
        <v/>
      </c>
      <c r="W1490" t="str">
        <f t="shared" si="194"/>
        <v/>
      </c>
    </row>
    <row r="1491" spans="1:23">
      <c r="A1491">
        <f>'IPTV US'!A1482</f>
        <v>0</v>
      </c>
      <c r="B1491" t="str">
        <f>T('IPTV US'!B1482)</f>
        <v/>
      </c>
      <c r="C1491" t="s">
        <v>4290</v>
      </c>
      <c r="D1491" t="str">
        <f t="shared" si="189"/>
        <v/>
      </c>
      <c r="E1491" t="str">
        <f t="shared" si="190"/>
        <v/>
      </c>
      <c r="F1491" s="68" t="s">
        <v>4289</v>
      </c>
      <c r="G1491">
        <f>'IPTV CA'!A1482</f>
        <v>0</v>
      </c>
      <c r="H1491" t="str">
        <f>T('IPTV CA'!B1482)</f>
        <v/>
      </c>
      <c r="I1491" t="s">
        <v>4290</v>
      </c>
      <c r="J1491" t="str">
        <f t="shared" si="191"/>
        <v/>
      </c>
      <c r="K1491" t="str">
        <f t="shared" si="188"/>
        <v/>
      </c>
      <c r="L1491" s="69"/>
      <c r="M1491">
        <f>'TMIS US'!A1482</f>
        <v>0</v>
      </c>
      <c r="N1491" t="str">
        <f>T('TMIS US'!B1482)</f>
        <v/>
      </c>
      <c r="O1491" t="s">
        <v>4290</v>
      </c>
      <c r="P1491" t="str">
        <f t="shared" si="192"/>
        <v/>
      </c>
      <c r="Q1491" t="str">
        <f t="shared" si="193"/>
        <v/>
      </c>
      <c r="R1491" s="69"/>
      <c r="S1491">
        <f>'TMIS CA'!A1482</f>
        <v>0</v>
      </c>
      <c r="T1491" t="str">
        <f>T('TMIS CA'!B1482)</f>
        <v/>
      </c>
      <c r="U1491" t="s">
        <v>4290</v>
      </c>
      <c r="V1491" t="str">
        <f t="shared" si="195"/>
        <v/>
      </c>
      <c r="W1491" t="str">
        <f t="shared" si="194"/>
        <v/>
      </c>
    </row>
    <row r="1492" spans="1:23">
      <c r="A1492">
        <f>'IPTV US'!A1483</f>
        <v>0</v>
      </c>
      <c r="B1492" t="str">
        <f>T('IPTV US'!B1483)</f>
        <v/>
      </c>
      <c r="C1492" t="s">
        <v>4290</v>
      </c>
      <c r="D1492" t="str">
        <f t="shared" si="189"/>
        <v/>
      </c>
      <c r="E1492" t="str">
        <f t="shared" si="190"/>
        <v/>
      </c>
      <c r="F1492" s="68" t="s">
        <v>4289</v>
      </c>
      <c r="G1492">
        <f>'IPTV CA'!A1483</f>
        <v>0</v>
      </c>
      <c r="H1492" t="str">
        <f>T('IPTV CA'!B1483)</f>
        <v/>
      </c>
      <c r="I1492" t="s">
        <v>4290</v>
      </c>
      <c r="J1492" t="str">
        <f t="shared" si="191"/>
        <v/>
      </c>
      <c r="K1492" t="str">
        <f t="shared" si="188"/>
        <v/>
      </c>
      <c r="L1492" s="69"/>
      <c r="M1492">
        <f>'TMIS US'!A1483</f>
        <v>0</v>
      </c>
      <c r="N1492" t="str">
        <f>T('TMIS US'!B1483)</f>
        <v/>
      </c>
      <c r="O1492" t="s">
        <v>4290</v>
      </c>
      <c r="P1492" t="str">
        <f t="shared" si="192"/>
        <v/>
      </c>
      <c r="Q1492" t="str">
        <f t="shared" si="193"/>
        <v/>
      </c>
      <c r="R1492" s="69"/>
      <c r="S1492">
        <f>'TMIS CA'!A1483</f>
        <v>0</v>
      </c>
      <c r="T1492" t="str">
        <f>T('TMIS CA'!B1483)</f>
        <v/>
      </c>
      <c r="U1492" t="s">
        <v>4290</v>
      </c>
      <c r="V1492" t="str">
        <f t="shared" si="195"/>
        <v/>
      </c>
      <c r="W1492" t="str">
        <f t="shared" si="194"/>
        <v/>
      </c>
    </row>
    <row r="1493" spans="1:23">
      <c r="A1493">
        <f>'IPTV US'!A1484</f>
        <v>0</v>
      </c>
      <c r="B1493" t="str">
        <f>T('IPTV US'!B1484)</f>
        <v/>
      </c>
      <c r="C1493" t="s">
        <v>4290</v>
      </c>
      <c r="D1493" t="str">
        <f t="shared" si="189"/>
        <v/>
      </c>
      <c r="E1493" t="str">
        <f t="shared" si="190"/>
        <v/>
      </c>
      <c r="F1493" s="68" t="s">
        <v>4289</v>
      </c>
      <c r="G1493">
        <f>'IPTV CA'!A1484</f>
        <v>0</v>
      </c>
      <c r="H1493" t="str">
        <f>T('IPTV CA'!B1484)</f>
        <v/>
      </c>
      <c r="I1493" t="s">
        <v>4290</v>
      </c>
      <c r="J1493" t="str">
        <f t="shared" si="191"/>
        <v/>
      </c>
      <c r="K1493" t="str">
        <f t="shared" si="188"/>
        <v/>
      </c>
      <c r="L1493" s="69"/>
      <c r="M1493">
        <f>'TMIS US'!A1484</f>
        <v>0</v>
      </c>
      <c r="N1493" t="str">
        <f>T('TMIS US'!B1484)</f>
        <v/>
      </c>
      <c r="O1493" t="s">
        <v>4290</v>
      </c>
      <c r="P1493" t="str">
        <f t="shared" si="192"/>
        <v/>
      </c>
      <c r="Q1493" t="str">
        <f t="shared" si="193"/>
        <v/>
      </c>
      <c r="R1493" s="69"/>
      <c r="S1493">
        <f>'TMIS CA'!A1484</f>
        <v>0</v>
      </c>
      <c r="T1493" t="str">
        <f>T('TMIS CA'!B1484)</f>
        <v/>
      </c>
      <c r="U1493" t="s">
        <v>4290</v>
      </c>
      <c r="V1493" t="str">
        <f t="shared" si="195"/>
        <v/>
      </c>
      <c r="W1493" t="str">
        <f t="shared" si="194"/>
        <v/>
      </c>
    </row>
    <row r="1494" spans="1:23">
      <c r="A1494">
        <f>'IPTV US'!A1485</f>
        <v>0</v>
      </c>
      <c r="B1494" t="str">
        <f>T('IPTV US'!B1485)</f>
        <v/>
      </c>
      <c r="C1494" t="s">
        <v>4290</v>
      </c>
      <c r="D1494" t="str">
        <f t="shared" si="189"/>
        <v/>
      </c>
      <c r="E1494" t="str">
        <f t="shared" si="190"/>
        <v/>
      </c>
      <c r="F1494" s="68" t="s">
        <v>4289</v>
      </c>
      <c r="G1494">
        <f>'IPTV CA'!A1485</f>
        <v>0</v>
      </c>
      <c r="H1494" t="str">
        <f>T('IPTV CA'!B1485)</f>
        <v/>
      </c>
      <c r="I1494" t="s">
        <v>4290</v>
      </c>
      <c r="J1494" t="str">
        <f t="shared" si="191"/>
        <v/>
      </c>
      <c r="K1494" t="str">
        <f t="shared" si="188"/>
        <v/>
      </c>
      <c r="L1494" s="69"/>
      <c r="M1494">
        <f>'TMIS US'!A1485</f>
        <v>0</v>
      </c>
      <c r="N1494" t="str">
        <f>T('TMIS US'!B1485)</f>
        <v/>
      </c>
      <c r="O1494" t="s">
        <v>4290</v>
      </c>
      <c r="P1494" t="str">
        <f t="shared" si="192"/>
        <v/>
      </c>
      <c r="Q1494" t="str">
        <f t="shared" si="193"/>
        <v/>
      </c>
      <c r="R1494" s="69"/>
      <c r="S1494">
        <f>'TMIS CA'!A1485</f>
        <v>0</v>
      </c>
      <c r="T1494" t="str">
        <f>T('TMIS CA'!B1485)</f>
        <v/>
      </c>
      <c r="U1494" t="s">
        <v>4290</v>
      </c>
      <c r="V1494" t="str">
        <f t="shared" si="195"/>
        <v/>
      </c>
      <c r="W1494" t="str">
        <f t="shared" si="194"/>
        <v/>
      </c>
    </row>
    <row r="1495" spans="1:23">
      <c r="A1495">
        <f>'IPTV US'!A1486</f>
        <v>0</v>
      </c>
      <c r="B1495" t="str">
        <f>T('IPTV US'!B1486)</f>
        <v/>
      </c>
      <c r="C1495" t="s">
        <v>4290</v>
      </c>
      <c r="D1495" t="str">
        <f t="shared" si="189"/>
        <v/>
      </c>
      <c r="E1495" t="str">
        <f t="shared" si="190"/>
        <v/>
      </c>
      <c r="F1495" s="68" t="s">
        <v>4289</v>
      </c>
      <c r="G1495">
        <f>'IPTV CA'!A1486</f>
        <v>0</v>
      </c>
      <c r="H1495" t="str">
        <f>T('IPTV CA'!B1486)</f>
        <v/>
      </c>
      <c r="I1495" t="s">
        <v>4290</v>
      </c>
      <c r="J1495" t="str">
        <f t="shared" si="191"/>
        <v/>
      </c>
      <c r="K1495" t="str">
        <f t="shared" si="188"/>
        <v/>
      </c>
      <c r="L1495" s="69"/>
      <c r="M1495">
        <f>'TMIS US'!A1486</f>
        <v>0</v>
      </c>
      <c r="N1495" t="str">
        <f>T('TMIS US'!B1486)</f>
        <v/>
      </c>
      <c r="O1495" t="s">
        <v>4290</v>
      </c>
      <c r="P1495" t="str">
        <f t="shared" si="192"/>
        <v/>
      </c>
      <c r="Q1495" t="str">
        <f t="shared" si="193"/>
        <v/>
      </c>
      <c r="R1495" s="69"/>
      <c r="S1495">
        <f>'TMIS CA'!A1486</f>
        <v>0</v>
      </c>
      <c r="T1495" t="str">
        <f>T('TMIS CA'!B1486)</f>
        <v/>
      </c>
      <c r="U1495" t="s">
        <v>4290</v>
      </c>
      <c r="V1495" t="str">
        <f t="shared" si="195"/>
        <v/>
      </c>
      <c r="W1495" t="str">
        <f t="shared" si="194"/>
        <v/>
      </c>
    </row>
    <row r="1496" spans="1:23">
      <c r="A1496">
        <f>'IPTV US'!A1487</f>
        <v>0</v>
      </c>
      <c r="B1496" t="str">
        <f>T('IPTV US'!B1487)</f>
        <v/>
      </c>
      <c r="C1496" t="s">
        <v>4290</v>
      </c>
      <c r="D1496" t="str">
        <f t="shared" si="189"/>
        <v/>
      </c>
      <c r="E1496" t="str">
        <f t="shared" si="190"/>
        <v/>
      </c>
      <c r="F1496" s="68" t="s">
        <v>4289</v>
      </c>
      <c r="G1496">
        <f>'IPTV CA'!A1487</f>
        <v>0</v>
      </c>
      <c r="H1496" t="str">
        <f>T('IPTV CA'!B1487)</f>
        <v/>
      </c>
      <c r="I1496" t="s">
        <v>4290</v>
      </c>
      <c r="J1496" t="str">
        <f t="shared" si="191"/>
        <v/>
      </c>
      <c r="K1496" t="str">
        <f t="shared" si="188"/>
        <v/>
      </c>
      <c r="L1496" s="69"/>
      <c r="M1496">
        <f>'TMIS US'!A1487</f>
        <v>0</v>
      </c>
      <c r="N1496" t="str">
        <f>T('TMIS US'!B1487)</f>
        <v/>
      </c>
      <c r="O1496" t="s">
        <v>4290</v>
      </c>
      <c r="P1496" t="str">
        <f t="shared" si="192"/>
        <v/>
      </c>
      <c r="Q1496" t="str">
        <f t="shared" si="193"/>
        <v/>
      </c>
      <c r="R1496" s="69"/>
      <c r="S1496">
        <f>'TMIS CA'!A1487</f>
        <v>0</v>
      </c>
      <c r="T1496" t="str">
        <f>T('TMIS CA'!B1487)</f>
        <v/>
      </c>
      <c r="U1496" t="s">
        <v>4290</v>
      </c>
      <c r="V1496" t="str">
        <f t="shared" si="195"/>
        <v/>
      </c>
      <c r="W1496" t="str">
        <f t="shared" si="194"/>
        <v/>
      </c>
    </row>
    <row r="1497" spans="1:23">
      <c r="A1497">
        <f>'IPTV US'!A1488</f>
        <v>0</v>
      </c>
      <c r="B1497" t="str">
        <f>T('IPTV US'!B1488)</f>
        <v/>
      </c>
      <c r="C1497" t="s">
        <v>4290</v>
      </c>
      <c r="D1497" t="str">
        <f t="shared" si="189"/>
        <v/>
      </c>
      <c r="E1497" t="str">
        <f t="shared" si="190"/>
        <v/>
      </c>
      <c r="F1497" s="68" t="s">
        <v>4289</v>
      </c>
      <c r="G1497">
        <f>'IPTV CA'!A1488</f>
        <v>0</v>
      </c>
      <c r="H1497" t="str">
        <f>T('IPTV CA'!B1488)</f>
        <v/>
      </c>
      <c r="I1497" t="s">
        <v>4290</v>
      </c>
      <c r="J1497" t="str">
        <f t="shared" si="191"/>
        <v/>
      </c>
      <c r="K1497" t="str">
        <f t="shared" si="188"/>
        <v/>
      </c>
      <c r="L1497" s="69"/>
      <c r="M1497">
        <f>'TMIS US'!A1488</f>
        <v>0</v>
      </c>
      <c r="N1497" t="str">
        <f>T('TMIS US'!B1488)</f>
        <v/>
      </c>
      <c r="O1497" t="s">
        <v>4290</v>
      </c>
      <c r="P1497" t="str">
        <f t="shared" si="192"/>
        <v/>
      </c>
      <c r="Q1497" t="str">
        <f t="shared" si="193"/>
        <v/>
      </c>
      <c r="R1497" s="69"/>
      <c r="S1497">
        <f>'TMIS CA'!A1488</f>
        <v>0</v>
      </c>
      <c r="T1497" t="str">
        <f>T('TMIS CA'!B1488)</f>
        <v/>
      </c>
      <c r="U1497" t="s">
        <v>4290</v>
      </c>
      <c r="V1497" t="str">
        <f t="shared" si="195"/>
        <v/>
      </c>
      <c r="W1497" t="str">
        <f t="shared" si="194"/>
        <v/>
      </c>
    </row>
    <row r="1498" spans="1:23">
      <c r="A1498">
        <f>'IPTV US'!A1489</f>
        <v>0</v>
      </c>
      <c r="B1498" t="str">
        <f>T('IPTV US'!B1489)</f>
        <v/>
      </c>
      <c r="C1498" t="s">
        <v>4290</v>
      </c>
      <c r="D1498" t="str">
        <f t="shared" si="189"/>
        <v/>
      </c>
      <c r="E1498" t="str">
        <f t="shared" si="190"/>
        <v/>
      </c>
      <c r="F1498" s="68" t="s">
        <v>4289</v>
      </c>
      <c r="G1498">
        <f>'IPTV CA'!A1489</f>
        <v>0</v>
      </c>
      <c r="H1498" t="str">
        <f>T('IPTV CA'!B1489)</f>
        <v/>
      </c>
      <c r="I1498" t="s">
        <v>4290</v>
      </c>
      <c r="J1498" t="str">
        <f t="shared" si="191"/>
        <v/>
      </c>
      <c r="K1498" t="str">
        <f t="shared" si="188"/>
        <v/>
      </c>
      <c r="L1498" s="69"/>
      <c r="M1498">
        <f>'TMIS US'!A1489</f>
        <v>0</v>
      </c>
      <c r="N1498" t="str">
        <f>T('TMIS US'!B1489)</f>
        <v/>
      </c>
      <c r="O1498" t="s">
        <v>4290</v>
      </c>
      <c r="P1498" t="str">
        <f t="shared" si="192"/>
        <v/>
      </c>
      <c r="Q1498" t="str">
        <f t="shared" si="193"/>
        <v/>
      </c>
      <c r="R1498" s="69"/>
      <c r="S1498">
        <f>'TMIS CA'!A1489</f>
        <v>0</v>
      </c>
      <c r="T1498" t="str">
        <f>T('TMIS CA'!B1489)</f>
        <v/>
      </c>
      <c r="U1498" t="s">
        <v>4290</v>
      </c>
      <c r="V1498" t="str">
        <f t="shared" si="195"/>
        <v/>
      </c>
      <c r="W1498" t="str">
        <f t="shared" si="194"/>
        <v/>
      </c>
    </row>
    <row r="1499" spans="1:23">
      <c r="A1499">
        <f>'IPTV US'!A1490</f>
        <v>0</v>
      </c>
      <c r="B1499" t="str">
        <f>T('IPTV US'!B1490)</f>
        <v/>
      </c>
      <c r="C1499" t="s">
        <v>4290</v>
      </c>
      <c r="D1499" t="str">
        <f t="shared" si="189"/>
        <v/>
      </c>
      <c r="E1499" t="str">
        <f t="shared" si="190"/>
        <v/>
      </c>
      <c r="F1499" s="68" t="s">
        <v>4289</v>
      </c>
      <c r="G1499">
        <f>'IPTV CA'!A1490</f>
        <v>0</v>
      </c>
      <c r="H1499" t="str">
        <f>T('IPTV CA'!B1490)</f>
        <v/>
      </c>
      <c r="I1499" t="s">
        <v>4290</v>
      </c>
      <c r="J1499" t="str">
        <f t="shared" si="191"/>
        <v/>
      </c>
      <c r="K1499" t="str">
        <f t="shared" si="188"/>
        <v/>
      </c>
      <c r="L1499" s="69"/>
      <c r="M1499">
        <f>'TMIS US'!A1490</f>
        <v>0</v>
      </c>
      <c r="N1499" t="str">
        <f>T('TMIS US'!B1490)</f>
        <v/>
      </c>
      <c r="O1499" t="s">
        <v>4290</v>
      </c>
      <c r="P1499" t="str">
        <f t="shared" si="192"/>
        <v/>
      </c>
      <c r="Q1499" t="str">
        <f t="shared" si="193"/>
        <v/>
      </c>
      <c r="R1499" s="69"/>
      <c r="S1499">
        <f>'TMIS CA'!A1490</f>
        <v>0</v>
      </c>
      <c r="T1499" t="str">
        <f>T('TMIS CA'!B1490)</f>
        <v/>
      </c>
      <c r="U1499" t="s">
        <v>4290</v>
      </c>
      <c r="V1499" t="str">
        <f t="shared" si="195"/>
        <v/>
      </c>
      <c r="W1499" t="str">
        <f t="shared" si="194"/>
        <v/>
      </c>
    </row>
    <row r="1500" spans="1:23">
      <c r="A1500">
        <f>'IPTV US'!A1491</f>
        <v>0</v>
      </c>
      <c r="B1500" t="str">
        <f>T('IPTV US'!B1491)</f>
        <v/>
      </c>
      <c r="C1500" t="s">
        <v>4290</v>
      </c>
      <c r="D1500" t="str">
        <f t="shared" si="189"/>
        <v/>
      </c>
      <c r="E1500" t="str">
        <f t="shared" si="190"/>
        <v/>
      </c>
      <c r="F1500" s="68" t="s">
        <v>4289</v>
      </c>
      <c r="G1500">
        <f>'IPTV CA'!A1491</f>
        <v>0</v>
      </c>
      <c r="H1500" t="str">
        <f>T('IPTV CA'!B1491)</f>
        <v/>
      </c>
      <c r="I1500" t="s">
        <v>4290</v>
      </c>
      <c r="J1500" t="str">
        <f t="shared" si="191"/>
        <v/>
      </c>
      <c r="K1500" t="str">
        <f t="shared" si="188"/>
        <v/>
      </c>
      <c r="L1500" s="69"/>
      <c r="M1500">
        <f>'TMIS US'!A1491</f>
        <v>0</v>
      </c>
      <c r="N1500" t="str">
        <f>T('TMIS US'!B1491)</f>
        <v/>
      </c>
      <c r="O1500" t="s">
        <v>4290</v>
      </c>
      <c r="P1500" t="str">
        <f t="shared" si="192"/>
        <v/>
      </c>
      <c r="Q1500" t="str">
        <f t="shared" si="193"/>
        <v/>
      </c>
      <c r="R1500" s="69"/>
      <c r="S1500">
        <f>'TMIS CA'!A1491</f>
        <v>0</v>
      </c>
      <c r="T1500" t="str">
        <f>T('TMIS CA'!B1491)</f>
        <v/>
      </c>
      <c r="U1500" t="s">
        <v>4290</v>
      </c>
      <c r="V1500" t="str">
        <f t="shared" si="195"/>
        <v/>
      </c>
      <c r="W1500" t="str">
        <f t="shared" si="194"/>
        <v/>
      </c>
    </row>
    <row r="1501" spans="1:23">
      <c r="A1501">
        <f>'IPTV US'!A1492</f>
        <v>0</v>
      </c>
      <c r="B1501" t="str">
        <f>T('IPTV US'!B1492)</f>
        <v/>
      </c>
      <c r="C1501" t="s">
        <v>4290</v>
      </c>
      <c r="D1501" t="str">
        <f t="shared" si="189"/>
        <v/>
      </c>
      <c r="E1501" t="str">
        <f t="shared" si="190"/>
        <v/>
      </c>
      <c r="F1501" s="68" t="s">
        <v>4289</v>
      </c>
      <c r="G1501">
        <f>'IPTV CA'!A1492</f>
        <v>0</v>
      </c>
      <c r="H1501" t="str">
        <f>T('IPTV CA'!B1492)</f>
        <v/>
      </c>
      <c r="I1501" t="s">
        <v>4290</v>
      </c>
      <c r="J1501" t="str">
        <f t="shared" si="191"/>
        <v/>
      </c>
      <c r="K1501" t="str">
        <f t="shared" si="188"/>
        <v/>
      </c>
      <c r="L1501" s="69"/>
      <c r="M1501">
        <f>'TMIS US'!A1492</f>
        <v>0</v>
      </c>
      <c r="N1501" t="str">
        <f>T('TMIS US'!B1492)</f>
        <v/>
      </c>
      <c r="O1501" t="s">
        <v>4290</v>
      </c>
      <c r="P1501" t="str">
        <f t="shared" si="192"/>
        <v/>
      </c>
      <c r="Q1501" t="str">
        <f t="shared" si="193"/>
        <v/>
      </c>
      <c r="R1501" s="69"/>
      <c r="S1501">
        <f>'TMIS CA'!A1492</f>
        <v>0</v>
      </c>
      <c r="T1501" t="str">
        <f>T('TMIS CA'!B1492)</f>
        <v/>
      </c>
      <c r="U1501" t="s">
        <v>4290</v>
      </c>
      <c r="V1501" t="str">
        <f t="shared" si="195"/>
        <v/>
      </c>
      <c r="W1501" t="str">
        <f t="shared" si="194"/>
        <v/>
      </c>
    </row>
    <row r="1502" spans="1:23">
      <c r="A1502">
        <f>'IPTV US'!A1493</f>
        <v>0</v>
      </c>
      <c r="B1502" t="str">
        <f>T('IPTV US'!B1493)</f>
        <v/>
      </c>
      <c r="C1502" t="s">
        <v>4290</v>
      </c>
      <c r="D1502" t="str">
        <f t="shared" si="189"/>
        <v/>
      </c>
      <c r="E1502" t="str">
        <f t="shared" si="190"/>
        <v/>
      </c>
      <c r="F1502" s="68" t="s">
        <v>4289</v>
      </c>
      <c r="G1502">
        <f>'IPTV CA'!A1493</f>
        <v>0</v>
      </c>
      <c r="H1502" t="str">
        <f>T('IPTV CA'!B1493)</f>
        <v/>
      </c>
      <c r="I1502" t="s">
        <v>4290</v>
      </c>
      <c r="J1502" t="str">
        <f t="shared" si="191"/>
        <v/>
      </c>
      <c r="K1502" t="str">
        <f t="shared" si="188"/>
        <v/>
      </c>
      <c r="L1502" s="69"/>
      <c r="M1502">
        <f>'TMIS US'!A1493</f>
        <v>0</v>
      </c>
      <c r="N1502" t="str">
        <f>T('TMIS US'!B1493)</f>
        <v/>
      </c>
      <c r="O1502" t="s">
        <v>4290</v>
      </c>
      <c r="P1502" t="str">
        <f t="shared" si="192"/>
        <v/>
      </c>
      <c r="Q1502" t="str">
        <f t="shared" si="193"/>
        <v/>
      </c>
      <c r="R1502" s="69"/>
      <c r="S1502">
        <f>'TMIS CA'!A1493</f>
        <v>0</v>
      </c>
      <c r="T1502" t="str">
        <f>T('TMIS CA'!B1493)</f>
        <v/>
      </c>
      <c r="U1502" t="s">
        <v>4290</v>
      </c>
      <c r="V1502" t="str">
        <f t="shared" si="195"/>
        <v/>
      </c>
      <c r="W1502" t="str">
        <f t="shared" si="194"/>
        <v/>
      </c>
    </row>
    <row r="1503" spans="1:23">
      <c r="A1503">
        <f>'IPTV US'!A1494</f>
        <v>0</v>
      </c>
      <c r="B1503" t="str">
        <f>T('IPTV US'!B1494)</f>
        <v/>
      </c>
      <c r="C1503" t="s">
        <v>4290</v>
      </c>
      <c r="D1503" t="str">
        <f t="shared" si="189"/>
        <v/>
      </c>
      <c r="E1503" t="str">
        <f t="shared" si="190"/>
        <v/>
      </c>
      <c r="F1503" s="68" t="s">
        <v>4289</v>
      </c>
      <c r="G1503">
        <f>'IPTV CA'!A1494</f>
        <v>0</v>
      </c>
      <c r="H1503" t="str">
        <f>T('IPTV CA'!B1494)</f>
        <v/>
      </c>
      <c r="I1503" t="s">
        <v>4290</v>
      </c>
      <c r="J1503" t="str">
        <f t="shared" si="191"/>
        <v/>
      </c>
      <c r="K1503" t="str">
        <f t="shared" si="188"/>
        <v/>
      </c>
      <c r="L1503" s="69"/>
      <c r="M1503">
        <f>'TMIS US'!A1494</f>
        <v>0</v>
      </c>
      <c r="N1503" t="str">
        <f>T('TMIS US'!B1494)</f>
        <v/>
      </c>
      <c r="O1503" t="s">
        <v>4290</v>
      </c>
      <c r="P1503" t="str">
        <f t="shared" si="192"/>
        <v/>
      </c>
      <c r="Q1503" t="str">
        <f t="shared" si="193"/>
        <v/>
      </c>
      <c r="R1503" s="69"/>
      <c r="S1503">
        <f>'TMIS CA'!A1494</f>
        <v>0</v>
      </c>
      <c r="T1503" t="str">
        <f>T('TMIS CA'!B1494)</f>
        <v/>
      </c>
      <c r="U1503" t="s">
        <v>4290</v>
      </c>
      <c r="V1503" t="str">
        <f t="shared" si="195"/>
        <v/>
      </c>
      <c r="W1503" t="str">
        <f t="shared" si="194"/>
        <v/>
      </c>
    </row>
    <row r="1504" spans="1:23">
      <c r="A1504">
        <f>'IPTV US'!A1495</f>
        <v>0</v>
      </c>
      <c r="B1504" t="str">
        <f>T('IPTV US'!B1495)</f>
        <v/>
      </c>
      <c r="C1504" t="s">
        <v>4290</v>
      </c>
      <c r="D1504" t="str">
        <f t="shared" si="189"/>
        <v/>
      </c>
      <c r="E1504" t="str">
        <f t="shared" si="190"/>
        <v/>
      </c>
      <c r="F1504" s="68" t="s">
        <v>4289</v>
      </c>
      <c r="G1504">
        <f>'IPTV CA'!A1495</f>
        <v>0</v>
      </c>
      <c r="H1504" t="str">
        <f>T('IPTV CA'!B1495)</f>
        <v/>
      </c>
      <c r="I1504" t="s">
        <v>4290</v>
      </c>
      <c r="J1504" t="str">
        <f t="shared" si="191"/>
        <v/>
      </c>
      <c r="K1504" t="str">
        <f t="shared" si="188"/>
        <v/>
      </c>
      <c r="L1504" s="69"/>
      <c r="M1504">
        <f>'TMIS US'!A1495</f>
        <v>0</v>
      </c>
      <c r="N1504" t="str">
        <f>T('TMIS US'!B1495)</f>
        <v/>
      </c>
      <c r="O1504" t="s">
        <v>4290</v>
      </c>
      <c r="P1504" t="str">
        <f t="shared" si="192"/>
        <v/>
      </c>
      <c r="Q1504" t="str">
        <f t="shared" si="193"/>
        <v/>
      </c>
      <c r="R1504" s="69"/>
      <c r="S1504">
        <f>'TMIS CA'!A1495</f>
        <v>0</v>
      </c>
      <c r="T1504" t="str">
        <f>T('TMIS CA'!B1495)</f>
        <v/>
      </c>
      <c r="U1504" t="s">
        <v>4290</v>
      </c>
      <c r="V1504" t="str">
        <f t="shared" si="195"/>
        <v/>
      </c>
      <c r="W1504" t="str">
        <f t="shared" si="194"/>
        <v/>
      </c>
    </row>
  </sheetData>
  <mergeCells count="1">
    <mergeCell ref="A8:K9"/>
  </mergeCells>
  <conditionalFormatting sqref="B3:B6 D3:D6">
    <cfRule type="cellIs" dxfId="28" priority="10" operator="greaterThan">
      <formula>0</formula>
    </cfRule>
  </conditionalFormatting>
  <conditionalFormatting sqref="C2">
    <cfRule type="cellIs" dxfId="27" priority="9" operator="greaterThan">
      <formula>0</formula>
    </cfRule>
  </conditionalFormatting>
  <conditionalFormatting sqref="D11:E1504">
    <cfRule type="containsText" dxfId="26" priority="8" operator="containsText" text="Notify">
      <formula>NOT(ISERROR(SEARCH("Notify",D11)))</formula>
    </cfRule>
  </conditionalFormatting>
  <conditionalFormatting sqref="E2 G2">
    <cfRule type="cellIs" dxfId="25" priority="11" operator="greaterThan">
      <formula>0</formula>
    </cfRule>
  </conditionalFormatting>
  <conditionalFormatting sqref="F3:F6">
    <cfRule type="cellIs" dxfId="24" priority="6" operator="greaterThan">
      <formula>0</formula>
    </cfRule>
  </conditionalFormatting>
  <conditionalFormatting sqref="J11:L1504">
    <cfRule type="containsText" dxfId="23" priority="7" operator="containsText" text="Notify">
      <formula>NOT(ISERROR(SEARCH("Notify",J11)))</formula>
    </cfRule>
  </conditionalFormatting>
  <conditionalFormatting sqref="P11:Q11 P11:P1504">
    <cfRule type="containsText" dxfId="22" priority="5" operator="containsText" text="Notify">
      <formula>NOT(ISERROR(SEARCH("Notify",P11)))</formula>
    </cfRule>
  </conditionalFormatting>
  <conditionalFormatting sqref="Q12:Q1504">
    <cfRule type="containsText" dxfId="21" priority="3" operator="containsText" text="Notify">
      <formula>NOT(ISERROR(SEARCH("Notify",Q12)))</formula>
    </cfRule>
  </conditionalFormatting>
  <conditionalFormatting sqref="V11:V1504">
    <cfRule type="containsText" dxfId="20" priority="2" operator="containsText" text="Notify">
      <formula>NOT(ISERROR(SEARCH("Notify",V11)))</formula>
    </cfRule>
  </conditionalFormatting>
  <conditionalFormatting sqref="W11:W1504">
    <cfRule type="containsText" dxfId="19" priority="1" operator="containsText" text="Notify">
      <formula>NOT(ISERROR(SEARCH("Notify",W11)))</formula>
    </cfRule>
  </conditionalFormatting>
  <dataValidations count="1">
    <dataValidation type="list" showInputMessage="1" showErrorMessage="1" sqref="C11:C1504 I11:I1504 O11:O1504 U11:U1504" xr:uid="{5389CEA7-2DB4-4C26-AE5F-780AD0B66958}">
      <formula1>"Active,Vacant"</formula1>
    </dataValidation>
  </dataValidation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abbe2acf-c6f6-49e6-859a-2017c2aad9ac">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E466727140CC4196BC222D88FCF0D2" ma:contentTypeVersion="13" ma:contentTypeDescription="Create a new document." ma:contentTypeScope="" ma:versionID="053ee6f057a4b652d9fde770235e116d">
  <xsd:schema xmlns:xsd="http://www.w3.org/2001/XMLSchema" xmlns:xs="http://www.w3.org/2001/XMLSchema" xmlns:p="http://schemas.microsoft.com/office/2006/metadata/properties" xmlns:ns2="abbe2acf-c6f6-49e6-859a-2017c2aad9ac" xmlns:ns3="a05943f3-591a-45f4-814a-718eb86053fb" targetNamespace="http://schemas.microsoft.com/office/2006/metadata/properties" ma:root="true" ma:fieldsID="a0a42e768205daeeafdd171a82deb987" ns2:_="" ns3:_="">
    <xsd:import namespace="abbe2acf-c6f6-49e6-859a-2017c2aad9ac"/>
    <xsd:import namespace="a05943f3-591a-45f4-814a-718eb86053f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be2acf-c6f6-49e6-859a-2017c2aad9ac"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5943f3-591a-45f4-814a-718eb86053f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407F93-3D0E-469F-B61A-1A36933015BE}"/>
</file>

<file path=customXml/itemProps2.xml><?xml version="1.0" encoding="utf-8"?>
<ds:datastoreItem xmlns:ds="http://schemas.openxmlformats.org/officeDocument/2006/customXml" ds:itemID="{DF551E5D-5567-420D-894E-546CE51FD0FE}"/>
</file>

<file path=customXml/itemProps3.xml><?xml version="1.0" encoding="utf-8"?>
<ds:datastoreItem xmlns:ds="http://schemas.openxmlformats.org/officeDocument/2006/customXml" ds:itemID="{5B468064-ED54-47F5-80A8-5E69880E81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Essakhani</dc:creator>
  <cp:keywords/>
  <dc:description/>
  <cp:lastModifiedBy/>
  <cp:revision/>
  <dcterms:created xsi:type="dcterms:W3CDTF">2025-05-22T13:40:48Z</dcterms:created>
  <dcterms:modified xsi:type="dcterms:W3CDTF">2025-10-02T05:04:47Z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0x01010094E466727140CC4196BC222D88FCF0D2</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{"FileActivityType":"9","FileActivityTimeStamp":"2025-08-06T18:17:32.697Z","FileActivityUsersOnPage":[{"DisplayName":"Elena Golubchikova","Id":"elena.golubchikova@xperi.com"},{"DisplayName":"Claudia Cardenuto","Id":"claudia.cardenuto@xperi.com"}],"FileActivityNavigationId":null}</vt:lpwstr>
  </property>
  <property fmtid="{D5CDD505-2E9C-101B-9397-08002B2CF9AE}" pid="6" name="TriggerFlowInfo">
    <vt:lpwstr/>
  </property>
</Properties>
</file>